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PIYUSH\Documents\Excel DEMO products\"/>
    </mc:Choice>
  </mc:AlternateContent>
  <xr:revisionPtr revIDLastSave="0" documentId="13_ncr:1_{6F0DD243-5D96-4F93-9B2C-6B842D09C232}" xr6:coauthVersionLast="47" xr6:coauthVersionMax="47" xr10:uidLastSave="{00000000-0000-0000-0000-000000000000}"/>
  <bookViews>
    <workbookView xWindow="-120" yWindow="-120" windowWidth="20730" windowHeight="11160" activeTab="1" xr2:uid="{7D434EED-A823-4A69-96C0-11751E9A85DD}"/>
  </bookViews>
  <sheets>
    <sheet name="ENTERIES" sheetId="1" r:id="rId1"/>
    <sheet name="Dashboard" sheetId="6" r:id="rId2"/>
    <sheet name="PIVOT TABLES" sheetId="5" r:id="rId3"/>
    <sheet name="AttendanceData" sheetId="4" state="hidden" r:id="rId4"/>
    <sheet name="Sheet2" sheetId="2" state="hidden" r:id="rId5"/>
  </sheets>
  <definedNames>
    <definedName name="_xlnm._FilterDatabase" localSheetId="3" hidden="1">AttendanceData!$A$2:$A$1082</definedName>
    <definedName name="Slicer_Date">#N/A</definedName>
    <definedName name="Slicer_EmployeeNO.">#N/A</definedName>
  </definedNames>
  <calcPr calcId="191029"/>
  <pivotCaches>
    <pivotCache cacheId="4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4" i="1" l="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13" i="1"/>
  <c r="H11" i="1"/>
  <c r="H12" i="1" s="1"/>
  <c r="I11" i="1"/>
  <c r="I12" i="1" s="1"/>
  <c r="J11" i="1"/>
  <c r="J12" i="1" s="1"/>
  <c r="K11" i="1"/>
  <c r="K12" i="1" s="1"/>
  <c r="L11" i="1"/>
  <c r="L12" i="1" s="1"/>
  <c r="M11" i="1"/>
  <c r="M12" i="1" s="1"/>
  <c r="N11" i="1"/>
  <c r="N12" i="1" s="1"/>
  <c r="O11" i="1"/>
  <c r="O12" i="1" s="1"/>
  <c r="P11" i="1"/>
  <c r="P12" i="1" s="1"/>
  <c r="Q11" i="1"/>
  <c r="Q12" i="1" s="1"/>
  <c r="R11" i="1"/>
  <c r="R12" i="1" s="1"/>
  <c r="S11" i="1"/>
  <c r="S12" i="1" s="1"/>
  <c r="T11" i="1"/>
  <c r="T12" i="1" s="1"/>
  <c r="U11" i="1"/>
  <c r="U12" i="1" s="1"/>
  <c r="V11" i="1"/>
  <c r="V12" i="1" s="1"/>
  <c r="W11" i="1"/>
  <c r="W12" i="1" s="1"/>
  <c r="X11" i="1"/>
  <c r="X12" i="1" s="1"/>
  <c r="Y11" i="1"/>
  <c r="Y12" i="1" s="1"/>
  <c r="Z11" i="1"/>
  <c r="Z12" i="1" s="1"/>
  <c r="AA11" i="1"/>
  <c r="AA12" i="1" s="1"/>
  <c r="AB11" i="1"/>
  <c r="AB12" i="1" s="1"/>
  <c r="AC11" i="1"/>
  <c r="AC12" i="1" s="1"/>
  <c r="AD11" i="1"/>
  <c r="AD12" i="1" s="1"/>
  <c r="AE11" i="1"/>
  <c r="AE12" i="1" s="1"/>
  <c r="AF11" i="1"/>
  <c r="AF12" i="1" s="1"/>
  <c r="AG11" i="1"/>
  <c r="AG12" i="1" s="1"/>
  <c r="AH11" i="1"/>
  <c r="AH12" i="1" s="1"/>
  <c r="AI11" i="1"/>
  <c r="AI12" i="1" s="1"/>
  <c r="AJ11" i="1"/>
  <c r="AJ12" i="1" s="1"/>
  <c r="AK11" i="1"/>
  <c r="AK12" i="1" s="1"/>
  <c r="G11" i="1"/>
  <c r="K8" i="6"/>
  <c r="G8" i="6"/>
  <c r="C8" i="6"/>
  <c r="O8" i="6" l="1"/>
  <c r="G12" i="1"/>
  <c r="AO16" i="1" s="1"/>
  <c r="AQ16" i="1" s="1"/>
  <c r="AO31" i="1" l="1"/>
  <c r="AQ31" i="1" s="1"/>
  <c r="AO44" i="1"/>
  <c r="AQ44" i="1" s="1"/>
  <c r="AO39" i="1"/>
  <c r="AQ39" i="1" s="1"/>
  <c r="AO22" i="1"/>
  <c r="AQ22" i="1" s="1"/>
  <c r="AO25" i="1"/>
  <c r="AQ25" i="1" s="1"/>
  <c r="AO38" i="1"/>
  <c r="AQ38" i="1" s="1"/>
  <c r="AO28" i="1"/>
  <c r="AQ28" i="1" s="1"/>
  <c r="AO41" i="1"/>
  <c r="AQ41" i="1" s="1"/>
  <c r="AO19" i="1"/>
  <c r="AQ19" i="1" s="1"/>
  <c r="AO32" i="1"/>
  <c r="AQ32" i="1" s="1"/>
  <c r="AO48" i="1"/>
  <c r="AQ48" i="1" s="1"/>
  <c r="AO13" i="1"/>
  <c r="AQ13" i="1" s="1"/>
  <c r="AO29" i="1"/>
  <c r="AQ29" i="1" s="1"/>
  <c r="AO45" i="1"/>
  <c r="AQ45" i="1" s="1"/>
  <c r="AO47" i="1"/>
  <c r="AQ47" i="1" s="1"/>
  <c r="AO26" i="1"/>
  <c r="AQ26" i="1" s="1"/>
  <c r="AO42" i="1"/>
  <c r="AQ42" i="1" s="1"/>
  <c r="AO35" i="1"/>
  <c r="AQ35" i="1" s="1"/>
  <c r="AO36" i="1"/>
  <c r="AQ36" i="1" s="1"/>
  <c r="AO23" i="1"/>
  <c r="AQ23" i="1" s="1"/>
  <c r="AO17" i="1"/>
  <c r="AQ17" i="1" s="1"/>
  <c r="AO33" i="1"/>
  <c r="AQ33" i="1" s="1"/>
  <c r="AO49" i="1"/>
  <c r="AQ49" i="1" s="1"/>
  <c r="AO14" i="1"/>
  <c r="AQ14" i="1" s="1"/>
  <c r="AO30" i="1"/>
  <c r="AQ30" i="1" s="1"/>
  <c r="AO46" i="1"/>
  <c r="AQ46" i="1" s="1"/>
  <c r="AO43" i="1"/>
  <c r="AQ43" i="1" s="1"/>
  <c r="AO20" i="1"/>
  <c r="AQ20" i="1" s="1"/>
  <c r="AO24" i="1"/>
  <c r="AQ24" i="1" s="1"/>
  <c r="AO40" i="1"/>
  <c r="AQ40" i="1" s="1"/>
  <c r="AO27" i="1"/>
  <c r="AQ27" i="1" s="1"/>
  <c r="AO21" i="1"/>
  <c r="AQ21" i="1" s="1"/>
  <c r="AO37" i="1"/>
  <c r="AQ37" i="1" s="1"/>
  <c r="AO15" i="1"/>
  <c r="AQ15" i="1" s="1"/>
  <c r="AO18" i="1"/>
  <c r="AQ18" i="1" s="1"/>
  <c r="AO34" i="1"/>
  <c r="AQ34" i="1" s="1"/>
  <c r="AO50" i="1"/>
  <c r="AQ50" i="1" s="1"/>
  <c r="AQ2012" i="1"/>
  <c r="AO2012" i="1"/>
  <c r="AN2012" i="1"/>
  <c r="AM2012" i="1"/>
  <c r="AQ2011" i="1"/>
  <c r="AO2011" i="1"/>
  <c r="AN2011" i="1"/>
  <c r="AM2011" i="1"/>
  <c r="AQ2010" i="1"/>
  <c r="AO2010" i="1"/>
  <c r="AN2010" i="1"/>
  <c r="AM2010" i="1"/>
  <c r="AQ2009" i="1"/>
  <c r="AO2009" i="1"/>
  <c r="AN2009" i="1"/>
  <c r="AM2009" i="1"/>
  <c r="AQ2008" i="1"/>
  <c r="AO2008" i="1"/>
  <c r="AN2008" i="1"/>
  <c r="AM2008" i="1"/>
  <c r="AQ2007" i="1"/>
  <c r="AO2007" i="1"/>
  <c r="AN2007" i="1"/>
  <c r="AM2007" i="1"/>
  <c r="AQ2006" i="1"/>
  <c r="AO2006" i="1"/>
  <c r="AN2006" i="1"/>
  <c r="AM2006" i="1"/>
  <c r="AQ2005" i="1"/>
  <c r="AO2005" i="1"/>
  <c r="AN2005" i="1"/>
  <c r="AM2005" i="1"/>
  <c r="AQ2004" i="1"/>
  <c r="AO2004" i="1"/>
  <c r="AN2004" i="1"/>
  <c r="AM2004" i="1"/>
  <c r="AQ2003" i="1"/>
  <c r="AO2003" i="1"/>
  <c r="AN2003" i="1"/>
  <c r="AM2003" i="1"/>
  <c r="AQ2002" i="1"/>
  <c r="AO2002" i="1"/>
  <c r="AN2002" i="1"/>
  <c r="AM2002" i="1"/>
  <c r="AQ2001" i="1"/>
  <c r="AO2001" i="1"/>
  <c r="AN2001" i="1"/>
  <c r="AM2001" i="1"/>
  <c r="AQ2000" i="1"/>
  <c r="AO2000" i="1"/>
  <c r="AN2000" i="1"/>
  <c r="AM2000" i="1"/>
  <c r="AQ1999" i="1"/>
  <c r="AO1999" i="1"/>
  <c r="AN1999" i="1"/>
  <c r="AM1999" i="1"/>
  <c r="AQ1998" i="1"/>
  <c r="AO1998" i="1"/>
  <c r="AN1998" i="1"/>
  <c r="AM1998" i="1"/>
  <c r="AQ1997" i="1"/>
  <c r="AO1997" i="1"/>
  <c r="AN1997" i="1"/>
  <c r="AM1997" i="1"/>
  <c r="AQ1996" i="1"/>
  <c r="AO1996" i="1"/>
  <c r="AN1996" i="1"/>
  <c r="AM1996" i="1"/>
  <c r="AQ1995" i="1"/>
  <c r="AO1995" i="1"/>
  <c r="AN1995" i="1"/>
  <c r="AM1995" i="1"/>
  <c r="AQ1994" i="1"/>
  <c r="AO1994" i="1"/>
  <c r="AN1994" i="1"/>
  <c r="AM1994" i="1"/>
  <c r="AQ1993" i="1"/>
  <c r="AO1993" i="1"/>
  <c r="AN1993" i="1"/>
  <c r="AM1993" i="1"/>
  <c r="AQ1992" i="1"/>
  <c r="AO1992" i="1"/>
  <c r="AN1992" i="1"/>
  <c r="AM1992" i="1"/>
  <c r="AQ1991" i="1"/>
  <c r="AO1991" i="1"/>
  <c r="AN1991" i="1"/>
  <c r="AM1991" i="1"/>
  <c r="AQ1990" i="1"/>
  <c r="AO1990" i="1"/>
  <c r="AN1990" i="1"/>
  <c r="AM1990" i="1"/>
  <c r="AQ1989" i="1"/>
  <c r="AO1989" i="1"/>
  <c r="AN1989" i="1"/>
  <c r="AM1989" i="1"/>
  <c r="AQ1988" i="1"/>
  <c r="AO1988" i="1"/>
  <c r="AN1988" i="1"/>
  <c r="AM1988" i="1"/>
  <c r="AQ1987" i="1"/>
  <c r="AO1987" i="1"/>
  <c r="AN1987" i="1"/>
  <c r="AM1987" i="1"/>
  <c r="AQ1986" i="1"/>
  <c r="AO1986" i="1"/>
  <c r="AN1986" i="1"/>
  <c r="AM1986" i="1"/>
  <c r="AQ1985" i="1"/>
  <c r="AO1985" i="1"/>
  <c r="AN1985" i="1"/>
  <c r="AM1985" i="1"/>
  <c r="AQ1984" i="1"/>
  <c r="AO1984" i="1"/>
  <c r="AN1984" i="1"/>
  <c r="AM1984" i="1"/>
  <c r="AQ1983" i="1"/>
  <c r="AO1983" i="1"/>
  <c r="AN1983" i="1"/>
  <c r="AM1983" i="1"/>
  <c r="AQ1982" i="1"/>
  <c r="AO1982" i="1"/>
  <c r="AN1982" i="1"/>
  <c r="AM1982" i="1"/>
  <c r="AQ1981" i="1"/>
  <c r="AO1981" i="1"/>
  <c r="AN1981" i="1"/>
  <c r="AM1981" i="1"/>
  <c r="AQ1980" i="1"/>
  <c r="AO1980" i="1"/>
  <c r="AN1980" i="1"/>
  <c r="AM1980" i="1"/>
  <c r="AQ1979" i="1"/>
  <c r="AO1979" i="1"/>
  <c r="AN1979" i="1"/>
  <c r="AM1979" i="1"/>
  <c r="AQ1978" i="1"/>
  <c r="AO1978" i="1"/>
  <c r="AN1978" i="1"/>
  <c r="AM1978" i="1"/>
  <c r="AQ1977" i="1"/>
  <c r="AO1977" i="1"/>
  <c r="AN1977" i="1"/>
  <c r="AM1977" i="1"/>
  <c r="AQ1976" i="1"/>
  <c r="AO1976" i="1"/>
  <c r="AN1976" i="1"/>
  <c r="AM1976" i="1"/>
  <c r="AQ1975" i="1"/>
  <c r="AO1975" i="1"/>
  <c r="AN1975" i="1"/>
  <c r="AM1975" i="1"/>
  <c r="AQ1974" i="1"/>
  <c r="AO1974" i="1"/>
  <c r="AN1974" i="1"/>
  <c r="AM1974" i="1"/>
  <c r="AQ1973" i="1"/>
  <c r="AO1973" i="1"/>
  <c r="AN1973" i="1"/>
  <c r="AM1973" i="1"/>
  <c r="AQ1972" i="1"/>
  <c r="AO1972" i="1"/>
  <c r="AN1972" i="1"/>
  <c r="AM1972" i="1"/>
  <c r="AQ1971" i="1"/>
  <c r="AO1971" i="1"/>
  <c r="AN1971" i="1"/>
  <c r="AM1971" i="1"/>
  <c r="AQ1970" i="1"/>
  <c r="AO1970" i="1"/>
  <c r="AN1970" i="1"/>
  <c r="AM1970" i="1"/>
  <c r="AQ1969" i="1"/>
  <c r="AO1969" i="1"/>
  <c r="AN1969" i="1"/>
  <c r="AM1969" i="1"/>
  <c r="AQ1968" i="1"/>
  <c r="AO1968" i="1"/>
  <c r="AN1968" i="1"/>
  <c r="AM1968" i="1"/>
  <c r="AQ1967" i="1"/>
  <c r="AO1967" i="1"/>
  <c r="AN1967" i="1"/>
  <c r="AM1967" i="1"/>
  <c r="AQ1966" i="1"/>
  <c r="AO1966" i="1"/>
  <c r="AN1966" i="1"/>
  <c r="AM1966" i="1"/>
  <c r="AQ1965" i="1"/>
  <c r="AO1965" i="1"/>
  <c r="AN1965" i="1"/>
  <c r="AM1965" i="1"/>
  <c r="AQ1964" i="1"/>
  <c r="AO1964" i="1"/>
  <c r="AN1964" i="1"/>
  <c r="AM1964" i="1"/>
  <c r="AQ1963" i="1"/>
  <c r="AO1963" i="1"/>
  <c r="AN1963" i="1"/>
  <c r="AM1963" i="1"/>
  <c r="AQ1962" i="1"/>
  <c r="AO1962" i="1"/>
  <c r="AN1962" i="1"/>
  <c r="AM1962" i="1"/>
  <c r="AQ1961" i="1"/>
  <c r="AO1961" i="1"/>
  <c r="AN1961" i="1"/>
  <c r="AM1961" i="1"/>
  <c r="AQ1960" i="1"/>
  <c r="AO1960" i="1"/>
  <c r="AN1960" i="1"/>
  <c r="AM1960" i="1"/>
  <c r="AQ1959" i="1"/>
  <c r="AO1959" i="1"/>
  <c r="AN1959" i="1"/>
  <c r="AM1959" i="1"/>
  <c r="AQ1958" i="1"/>
  <c r="AO1958" i="1"/>
  <c r="AN1958" i="1"/>
  <c r="AM1958" i="1"/>
  <c r="AQ1957" i="1"/>
  <c r="AO1957" i="1"/>
  <c r="AN1957" i="1"/>
  <c r="AM1957" i="1"/>
  <c r="AQ1956" i="1"/>
  <c r="AO1956" i="1"/>
  <c r="AN1956" i="1"/>
  <c r="AM1956" i="1"/>
  <c r="AQ1955" i="1"/>
  <c r="AO1955" i="1"/>
  <c r="AN1955" i="1"/>
  <c r="AM1955" i="1"/>
  <c r="AQ1954" i="1"/>
  <c r="AO1954" i="1"/>
  <c r="AN1954" i="1"/>
  <c r="AM1954" i="1"/>
  <c r="AQ1953" i="1"/>
  <c r="AO1953" i="1"/>
  <c r="AN1953" i="1"/>
  <c r="AM1953" i="1"/>
  <c r="AQ1952" i="1"/>
  <c r="AO1952" i="1"/>
  <c r="AN1952" i="1"/>
  <c r="AM1952" i="1"/>
  <c r="AQ1951" i="1"/>
  <c r="AO1951" i="1"/>
  <c r="AN1951" i="1"/>
  <c r="AM1951" i="1"/>
  <c r="AQ1950" i="1"/>
  <c r="AO1950" i="1"/>
  <c r="AN1950" i="1"/>
  <c r="AM1950" i="1"/>
  <c r="AQ1949" i="1"/>
  <c r="AO1949" i="1"/>
  <c r="AN1949" i="1"/>
  <c r="AM1949" i="1"/>
  <c r="AQ1948" i="1"/>
  <c r="AO1948" i="1"/>
  <c r="AN1948" i="1"/>
  <c r="AM1948" i="1"/>
  <c r="AQ1947" i="1"/>
  <c r="AO1947" i="1"/>
  <c r="AN1947" i="1"/>
  <c r="AM1947" i="1"/>
  <c r="AQ1946" i="1"/>
  <c r="AO1946" i="1"/>
  <c r="AN1946" i="1"/>
  <c r="AM1946" i="1"/>
  <c r="AQ1945" i="1"/>
  <c r="AO1945" i="1"/>
  <c r="AN1945" i="1"/>
  <c r="AM1945" i="1"/>
  <c r="AQ1944" i="1"/>
  <c r="AO1944" i="1"/>
  <c r="AN1944" i="1"/>
  <c r="AM1944" i="1"/>
  <c r="AQ1943" i="1"/>
  <c r="AO1943" i="1"/>
  <c r="AN1943" i="1"/>
  <c r="AM1943" i="1"/>
  <c r="AQ1942" i="1"/>
  <c r="AO1942" i="1"/>
  <c r="AN1942" i="1"/>
  <c r="AM1942" i="1"/>
  <c r="AQ1941" i="1"/>
  <c r="AO1941" i="1"/>
  <c r="AN1941" i="1"/>
  <c r="AM1941" i="1"/>
  <c r="AQ1940" i="1"/>
  <c r="AO1940" i="1"/>
  <c r="AN1940" i="1"/>
  <c r="AM1940" i="1"/>
  <c r="AQ1939" i="1"/>
  <c r="AO1939" i="1"/>
  <c r="AN1939" i="1"/>
  <c r="AM1939" i="1"/>
  <c r="AQ1938" i="1"/>
  <c r="AO1938" i="1"/>
  <c r="AN1938" i="1"/>
  <c r="AM1938" i="1"/>
  <c r="AQ1937" i="1"/>
  <c r="AO1937" i="1"/>
  <c r="AN1937" i="1"/>
  <c r="AM1937" i="1"/>
  <c r="AQ1936" i="1"/>
  <c r="AO1936" i="1"/>
  <c r="AN1936" i="1"/>
  <c r="AM1936" i="1"/>
  <c r="AQ1935" i="1"/>
  <c r="AO1935" i="1"/>
  <c r="AN1935" i="1"/>
  <c r="AM1935" i="1"/>
  <c r="AQ1934" i="1"/>
  <c r="AO1934" i="1"/>
  <c r="AN1934" i="1"/>
  <c r="AM1934" i="1"/>
  <c r="AQ1933" i="1"/>
  <c r="AO1933" i="1"/>
  <c r="AN1933" i="1"/>
  <c r="AM1933" i="1"/>
  <c r="AQ1932" i="1"/>
  <c r="AO1932" i="1"/>
  <c r="AN1932" i="1"/>
  <c r="AM1932" i="1"/>
  <c r="AQ1931" i="1"/>
  <c r="AO1931" i="1"/>
  <c r="AN1931" i="1"/>
  <c r="AM1931" i="1"/>
  <c r="AQ1930" i="1"/>
  <c r="AO1930" i="1"/>
  <c r="AN1930" i="1"/>
  <c r="AM1930" i="1"/>
  <c r="AQ1929" i="1"/>
  <c r="AO1929" i="1"/>
  <c r="AN1929" i="1"/>
  <c r="AM1929" i="1"/>
  <c r="AQ1928" i="1"/>
  <c r="AO1928" i="1"/>
  <c r="AN1928" i="1"/>
  <c r="AM1928" i="1"/>
  <c r="AQ1927" i="1"/>
  <c r="AO1927" i="1"/>
  <c r="AN1927" i="1"/>
  <c r="AM1927" i="1"/>
  <c r="AQ1926" i="1"/>
  <c r="AO1926" i="1"/>
  <c r="AN1926" i="1"/>
  <c r="AM1926" i="1"/>
  <c r="AQ1925" i="1"/>
  <c r="AO1925" i="1"/>
  <c r="AN1925" i="1"/>
  <c r="AM1925" i="1"/>
  <c r="AQ1924" i="1"/>
  <c r="AO1924" i="1"/>
  <c r="AN1924" i="1"/>
  <c r="AM1924" i="1"/>
  <c r="AQ1923" i="1"/>
  <c r="AO1923" i="1"/>
  <c r="AN1923" i="1"/>
  <c r="AM1923" i="1"/>
  <c r="AQ1922" i="1"/>
  <c r="AO1922" i="1"/>
  <c r="AN1922" i="1"/>
  <c r="AM1922" i="1"/>
  <c r="AQ1921" i="1"/>
  <c r="AO1921" i="1"/>
  <c r="AN1921" i="1"/>
  <c r="AM1921" i="1"/>
  <c r="AQ1920" i="1"/>
  <c r="AO1920" i="1"/>
  <c r="AN1920" i="1"/>
  <c r="AM1920" i="1"/>
  <c r="AQ1919" i="1"/>
  <c r="AO1919" i="1"/>
  <c r="AN1919" i="1"/>
  <c r="AM1919" i="1"/>
  <c r="AQ1918" i="1"/>
  <c r="AO1918" i="1"/>
  <c r="AN1918" i="1"/>
  <c r="AM1918" i="1"/>
  <c r="AQ1917" i="1"/>
  <c r="AO1917" i="1"/>
  <c r="AN1917" i="1"/>
  <c r="AM1917" i="1"/>
  <c r="AQ1916" i="1"/>
  <c r="AO1916" i="1"/>
  <c r="AN1916" i="1"/>
  <c r="AM1916" i="1"/>
  <c r="AQ1915" i="1"/>
  <c r="AO1915" i="1"/>
  <c r="AN1915" i="1"/>
  <c r="AM1915" i="1"/>
  <c r="AQ1914" i="1"/>
  <c r="AO1914" i="1"/>
  <c r="AN1914" i="1"/>
  <c r="AM1914" i="1"/>
  <c r="AQ1913" i="1"/>
  <c r="AO1913" i="1"/>
  <c r="AN1913" i="1"/>
  <c r="AM1913" i="1"/>
  <c r="AQ1912" i="1"/>
  <c r="AO1912" i="1"/>
  <c r="AN1912" i="1"/>
  <c r="AM1912" i="1"/>
  <c r="AQ1911" i="1"/>
  <c r="AO1911" i="1"/>
  <c r="AN1911" i="1"/>
  <c r="AM1911" i="1"/>
  <c r="AQ1910" i="1"/>
  <c r="AO1910" i="1"/>
  <c r="AN1910" i="1"/>
  <c r="AM1910" i="1"/>
  <c r="AQ1909" i="1"/>
  <c r="AO1909" i="1"/>
  <c r="AN1909" i="1"/>
  <c r="AM1909" i="1"/>
  <c r="AQ1908" i="1"/>
  <c r="AO1908" i="1"/>
  <c r="AN1908" i="1"/>
  <c r="AM1908" i="1"/>
  <c r="AQ1907" i="1"/>
  <c r="AO1907" i="1"/>
  <c r="AN1907" i="1"/>
  <c r="AM1907" i="1"/>
  <c r="AQ1906" i="1"/>
  <c r="AO1906" i="1"/>
  <c r="AN1906" i="1"/>
  <c r="AM1906" i="1"/>
  <c r="AQ1905" i="1"/>
  <c r="AO1905" i="1"/>
  <c r="AN1905" i="1"/>
  <c r="AM1905" i="1"/>
  <c r="AQ1904" i="1"/>
  <c r="AO1904" i="1"/>
  <c r="AN1904" i="1"/>
  <c r="AM1904" i="1"/>
  <c r="AQ1903" i="1"/>
  <c r="AO1903" i="1"/>
  <c r="AN1903" i="1"/>
  <c r="AM1903" i="1"/>
  <c r="AQ1902" i="1"/>
  <c r="AO1902" i="1"/>
  <c r="AN1902" i="1"/>
  <c r="AM1902" i="1"/>
  <c r="AQ1901" i="1"/>
  <c r="AO1901" i="1"/>
  <c r="AN1901" i="1"/>
  <c r="AM1901" i="1"/>
  <c r="AQ1900" i="1"/>
  <c r="AO1900" i="1"/>
  <c r="AN1900" i="1"/>
  <c r="AM1900" i="1"/>
  <c r="AQ1899" i="1"/>
  <c r="AO1899" i="1"/>
  <c r="AN1899" i="1"/>
  <c r="AM1899" i="1"/>
  <c r="AQ1898" i="1"/>
  <c r="AO1898" i="1"/>
  <c r="AN1898" i="1"/>
  <c r="AM1898" i="1"/>
  <c r="AQ1897" i="1"/>
  <c r="AO1897" i="1"/>
  <c r="AN1897" i="1"/>
  <c r="AM1897" i="1"/>
  <c r="AQ1896" i="1"/>
  <c r="AO1896" i="1"/>
  <c r="AN1896" i="1"/>
  <c r="AM1896" i="1"/>
  <c r="AQ1895" i="1"/>
  <c r="AO1895" i="1"/>
  <c r="AN1895" i="1"/>
  <c r="AM1895" i="1"/>
  <c r="AQ1894" i="1"/>
  <c r="AO1894" i="1"/>
  <c r="AN1894" i="1"/>
  <c r="AM1894" i="1"/>
  <c r="AQ1893" i="1"/>
  <c r="AO1893" i="1"/>
  <c r="AN1893" i="1"/>
  <c r="AM1893" i="1"/>
  <c r="AQ1892" i="1"/>
  <c r="AO1892" i="1"/>
  <c r="AN1892" i="1"/>
  <c r="AM1892" i="1"/>
  <c r="AQ1891" i="1"/>
  <c r="AO1891" i="1"/>
  <c r="AN1891" i="1"/>
  <c r="AM1891" i="1"/>
  <c r="AQ1890" i="1"/>
  <c r="AO1890" i="1"/>
  <c r="AN1890" i="1"/>
  <c r="AM1890" i="1"/>
  <c r="AQ1889" i="1"/>
  <c r="AO1889" i="1"/>
  <c r="AN1889" i="1"/>
  <c r="AM1889" i="1"/>
  <c r="AQ1888" i="1"/>
  <c r="AO1888" i="1"/>
  <c r="AN1888" i="1"/>
  <c r="AM1888" i="1"/>
  <c r="AQ1887" i="1"/>
  <c r="AO1887" i="1"/>
  <c r="AN1887" i="1"/>
  <c r="AM1887" i="1"/>
  <c r="AQ1886" i="1"/>
  <c r="AO1886" i="1"/>
  <c r="AN1886" i="1"/>
  <c r="AM1886" i="1"/>
  <c r="AQ1885" i="1"/>
  <c r="AO1885" i="1"/>
  <c r="AN1885" i="1"/>
  <c r="AM1885" i="1"/>
  <c r="AQ1884" i="1"/>
  <c r="AO1884" i="1"/>
  <c r="AN1884" i="1"/>
  <c r="AM1884" i="1"/>
  <c r="AQ1883" i="1"/>
  <c r="AO1883" i="1"/>
  <c r="AN1883" i="1"/>
  <c r="AM1883" i="1"/>
  <c r="AQ1882" i="1"/>
  <c r="AO1882" i="1"/>
  <c r="AN1882" i="1"/>
  <c r="AM1882" i="1"/>
  <c r="AQ1881" i="1"/>
  <c r="AO1881" i="1"/>
  <c r="AN1881" i="1"/>
  <c r="AM1881" i="1"/>
  <c r="AQ1880" i="1"/>
  <c r="AO1880" i="1"/>
  <c r="AN1880" i="1"/>
  <c r="AM1880" i="1"/>
  <c r="AQ1879" i="1"/>
  <c r="AO1879" i="1"/>
  <c r="AN1879" i="1"/>
  <c r="AM1879" i="1"/>
  <c r="AQ1878" i="1"/>
  <c r="AO1878" i="1"/>
  <c r="AN1878" i="1"/>
  <c r="AM1878" i="1"/>
  <c r="AQ1877" i="1"/>
  <c r="AO1877" i="1"/>
  <c r="AN1877" i="1"/>
  <c r="AM1877" i="1"/>
  <c r="AQ1876" i="1"/>
  <c r="AO1876" i="1"/>
  <c r="AN1876" i="1"/>
  <c r="AM1876" i="1"/>
  <c r="AQ1875" i="1"/>
  <c r="AO1875" i="1"/>
  <c r="AN1875" i="1"/>
  <c r="AM1875" i="1"/>
  <c r="AQ1874" i="1"/>
  <c r="AO1874" i="1"/>
  <c r="AN1874" i="1"/>
  <c r="AM1874" i="1"/>
  <c r="AQ1873" i="1"/>
  <c r="AO1873" i="1"/>
  <c r="AN1873" i="1"/>
  <c r="AM1873" i="1"/>
  <c r="AQ1872" i="1"/>
  <c r="AO1872" i="1"/>
  <c r="AN1872" i="1"/>
  <c r="AM1872" i="1"/>
  <c r="AQ1871" i="1"/>
  <c r="AO1871" i="1"/>
  <c r="AN1871" i="1"/>
  <c r="AM1871" i="1"/>
  <c r="AQ1870" i="1"/>
  <c r="AO1870" i="1"/>
  <c r="AN1870" i="1"/>
  <c r="AM1870" i="1"/>
  <c r="AQ1869" i="1"/>
  <c r="AO1869" i="1"/>
  <c r="AN1869" i="1"/>
  <c r="AM1869" i="1"/>
  <c r="AQ1868" i="1"/>
  <c r="AO1868" i="1"/>
  <c r="AN1868" i="1"/>
  <c r="AM1868" i="1"/>
  <c r="AQ1867" i="1"/>
  <c r="AO1867" i="1"/>
  <c r="AN1867" i="1"/>
  <c r="AM1867" i="1"/>
  <c r="AQ1866" i="1"/>
  <c r="AO1866" i="1"/>
  <c r="AN1866" i="1"/>
  <c r="AM1866" i="1"/>
  <c r="AQ1865" i="1"/>
  <c r="AO1865" i="1"/>
  <c r="AN1865" i="1"/>
  <c r="AM1865" i="1"/>
  <c r="AQ1864" i="1"/>
  <c r="AO1864" i="1"/>
  <c r="AN1864" i="1"/>
  <c r="AM1864" i="1"/>
  <c r="AQ1863" i="1"/>
  <c r="AO1863" i="1"/>
  <c r="AN1863" i="1"/>
  <c r="AM1863" i="1"/>
  <c r="AQ1862" i="1"/>
  <c r="AO1862" i="1"/>
  <c r="AN1862" i="1"/>
  <c r="AM1862" i="1"/>
  <c r="AQ1861" i="1"/>
  <c r="AO1861" i="1"/>
  <c r="AN1861" i="1"/>
  <c r="AM1861" i="1"/>
  <c r="AQ1860" i="1"/>
  <c r="AO1860" i="1"/>
  <c r="AN1860" i="1"/>
  <c r="AM1860" i="1"/>
  <c r="AQ1859" i="1"/>
  <c r="AO1859" i="1"/>
  <c r="AN1859" i="1"/>
  <c r="AM1859" i="1"/>
  <c r="AQ1858" i="1"/>
  <c r="AO1858" i="1"/>
  <c r="AN1858" i="1"/>
  <c r="AM1858" i="1"/>
  <c r="AQ1857" i="1"/>
  <c r="AO1857" i="1"/>
  <c r="AN1857" i="1"/>
  <c r="AM1857" i="1"/>
  <c r="AQ1856" i="1"/>
  <c r="AO1856" i="1"/>
  <c r="AN1856" i="1"/>
  <c r="AM1856" i="1"/>
  <c r="AQ1855" i="1"/>
  <c r="AO1855" i="1"/>
  <c r="AN1855" i="1"/>
  <c r="AM1855" i="1"/>
  <c r="AQ1854" i="1"/>
  <c r="AO1854" i="1"/>
  <c r="AN1854" i="1"/>
  <c r="AM1854" i="1"/>
  <c r="AQ1853" i="1"/>
  <c r="AO1853" i="1"/>
  <c r="AN1853" i="1"/>
  <c r="AM1853" i="1"/>
  <c r="AQ1852" i="1"/>
  <c r="AO1852" i="1"/>
  <c r="AN1852" i="1"/>
  <c r="AM1852" i="1"/>
  <c r="AQ1851" i="1"/>
  <c r="AO1851" i="1"/>
  <c r="AN1851" i="1"/>
  <c r="AM1851" i="1"/>
  <c r="AQ1850" i="1"/>
  <c r="AO1850" i="1"/>
  <c r="AN1850" i="1"/>
  <c r="AM1850" i="1"/>
  <c r="AQ1849" i="1"/>
  <c r="AO1849" i="1"/>
  <c r="AN1849" i="1"/>
  <c r="AM1849" i="1"/>
  <c r="AQ1848" i="1"/>
  <c r="AO1848" i="1"/>
  <c r="AN1848" i="1"/>
  <c r="AM1848" i="1"/>
  <c r="AQ1847" i="1"/>
  <c r="AO1847" i="1"/>
  <c r="AN1847" i="1"/>
  <c r="AM1847" i="1"/>
  <c r="AQ1846" i="1"/>
  <c r="AO1846" i="1"/>
  <c r="AN1846" i="1"/>
  <c r="AM1846" i="1"/>
  <c r="AQ1845" i="1"/>
  <c r="AO1845" i="1"/>
  <c r="AN1845" i="1"/>
  <c r="AM1845" i="1"/>
  <c r="AQ1844" i="1"/>
  <c r="AO1844" i="1"/>
  <c r="AN1844" i="1"/>
  <c r="AM1844" i="1"/>
  <c r="AQ1843" i="1"/>
  <c r="AO1843" i="1"/>
  <c r="AN1843" i="1"/>
  <c r="AM1843" i="1"/>
  <c r="AQ1842" i="1"/>
  <c r="AO1842" i="1"/>
  <c r="AN1842" i="1"/>
  <c r="AM1842" i="1"/>
  <c r="AQ1841" i="1"/>
  <c r="AO1841" i="1"/>
  <c r="AN1841" i="1"/>
  <c r="AM1841" i="1"/>
  <c r="AQ1840" i="1"/>
  <c r="AO1840" i="1"/>
  <c r="AN1840" i="1"/>
  <c r="AM1840" i="1"/>
  <c r="AQ1839" i="1"/>
  <c r="AO1839" i="1"/>
  <c r="AN1839" i="1"/>
  <c r="AM1839" i="1"/>
  <c r="AQ1838" i="1"/>
  <c r="AO1838" i="1"/>
  <c r="AN1838" i="1"/>
  <c r="AM1838" i="1"/>
  <c r="AQ1837" i="1"/>
  <c r="AO1837" i="1"/>
  <c r="AN1837" i="1"/>
  <c r="AM1837" i="1"/>
  <c r="AQ1836" i="1"/>
  <c r="AO1836" i="1"/>
  <c r="AN1836" i="1"/>
  <c r="AM1836" i="1"/>
  <c r="AQ1835" i="1"/>
  <c r="AO1835" i="1"/>
  <c r="AN1835" i="1"/>
  <c r="AM1835" i="1"/>
  <c r="AQ1834" i="1"/>
  <c r="AO1834" i="1"/>
  <c r="AN1834" i="1"/>
  <c r="AM1834" i="1"/>
  <c r="AQ1833" i="1"/>
  <c r="AO1833" i="1"/>
  <c r="AN1833" i="1"/>
  <c r="AM1833" i="1"/>
  <c r="AQ1832" i="1"/>
  <c r="AO1832" i="1"/>
  <c r="AN1832" i="1"/>
  <c r="AM1832" i="1"/>
  <c r="AQ1831" i="1"/>
  <c r="AO1831" i="1"/>
  <c r="AN1831" i="1"/>
  <c r="AM1831" i="1"/>
  <c r="AQ1830" i="1"/>
  <c r="AO1830" i="1"/>
  <c r="AN1830" i="1"/>
  <c r="AM1830" i="1"/>
  <c r="AQ1829" i="1"/>
  <c r="AO1829" i="1"/>
  <c r="AN1829" i="1"/>
  <c r="AM1829" i="1"/>
  <c r="AQ1828" i="1"/>
  <c r="AO1828" i="1"/>
  <c r="AN1828" i="1"/>
  <c r="AM1828" i="1"/>
  <c r="AQ1827" i="1"/>
  <c r="AO1827" i="1"/>
  <c r="AN1827" i="1"/>
  <c r="AM1827" i="1"/>
  <c r="AQ1826" i="1"/>
  <c r="AO1826" i="1"/>
  <c r="AN1826" i="1"/>
  <c r="AM1826" i="1"/>
  <c r="AQ1825" i="1"/>
  <c r="AO1825" i="1"/>
  <c r="AN1825" i="1"/>
  <c r="AM1825" i="1"/>
  <c r="AQ1824" i="1"/>
  <c r="AO1824" i="1"/>
  <c r="AN1824" i="1"/>
  <c r="AM1824" i="1"/>
  <c r="AQ1823" i="1"/>
  <c r="AO1823" i="1"/>
  <c r="AN1823" i="1"/>
  <c r="AM1823" i="1"/>
  <c r="AQ1822" i="1"/>
  <c r="AO1822" i="1"/>
  <c r="AN1822" i="1"/>
  <c r="AM1822" i="1"/>
  <c r="AQ1821" i="1"/>
  <c r="AO1821" i="1"/>
  <c r="AN1821" i="1"/>
  <c r="AM1821" i="1"/>
  <c r="AQ1820" i="1"/>
  <c r="AO1820" i="1"/>
  <c r="AN1820" i="1"/>
  <c r="AM1820" i="1"/>
  <c r="AQ1819" i="1"/>
  <c r="AO1819" i="1"/>
  <c r="AN1819" i="1"/>
  <c r="AM1819" i="1"/>
  <c r="AQ1818" i="1"/>
  <c r="AO1818" i="1"/>
  <c r="AN1818" i="1"/>
  <c r="AM1818" i="1"/>
  <c r="AQ1817" i="1"/>
  <c r="AO1817" i="1"/>
  <c r="AN1817" i="1"/>
  <c r="AM1817" i="1"/>
  <c r="AQ1816" i="1"/>
  <c r="AO1816" i="1"/>
  <c r="AN1816" i="1"/>
  <c r="AM1816" i="1"/>
  <c r="AQ1815" i="1"/>
  <c r="AO1815" i="1"/>
  <c r="AN1815" i="1"/>
  <c r="AM1815" i="1"/>
  <c r="AQ1814" i="1"/>
  <c r="AO1814" i="1"/>
  <c r="AN1814" i="1"/>
  <c r="AM1814" i="1"/>
  <c r="AQ1813" i="1"/>
  <c r="AO1813" i="1"/>
  <c r="AN1813" i="1"/>
  <c r="AM1813" i="1"/>
  <c r="AQ1812" i="1"/>
  <c r="AO1812" i="1"/>
  <c r="AN1812" i="1"/>
  <c r="AM1812" i="1"/>
  <c r="AQ1811" i="1"/>
  <c r="AO1811" i="1"/>
  <c r="AN1811" i="1"/>
  <c r="AM1811" i="1"/>
  <c r="AQ1810" i="1"/>
  <c r="AO1810" i="1"/>
  <c r="AN1810" i="1"/>
  <c r="AM1810" i="1"/>
  <c r="AQ1809" i="1"/>
  <c r="AO1809" i="1"/>
  <c r="AN1809" i="1"/>
  <c r="AM1809" i="1"/>
  <c r="AQ1808" i="1"/>
  <c r="AO1808" i="1"/>
  <c r="AN1808" i="1"/>
  <c r="AM1808" i="1"/>
  <c r="AQ1807" i="1"/>
  <c r="AO1807" i="1"/>
  <c r="AN1807" i="1"/>
  <c r="AM1807" i="1"/>
  <c r="AQ1806" i="1"/>
  <c r="AO1806" i="1"/>
  <c r="AN1806" i="1"/>
  <c r="AM1806" i="1"/>
  <c r="AQ1805" i="1"/>
  <c r="AO1805" i="1"/>
  <c r="AN1805" i="1"/>
  <c r="AM1805" i="1"/>
  <c r="AQ1804" i="1"/>
  <c r="AO1804" i="1"/>
  <c r="AN1804" i="1"/>
  <c r="AM1804" i="1"/>
  <c r="AQ1803" i="1"/>
  <c r="AO1803" i="1"/>
  <c r="AN1803" i="1"/>
  <c r="AM1803" i="1"/>
  <c r="AQ1802" i="1"/>
  <c r="AO1802" i="1"/>
  <c r="AN1802" i="1"/>
  <c r="AM1802" i="1"/>
  <c r="AQ1801" i="1"/>
  <c r="AO1801" i="1"/>
  <c r="AN1801" i="1"/>
  <c r="AM1801" i="1"/>
  <c r="AQ1800" i="1"/>
  <c r="AO1800" i="1"/>
  <c r="AN1800" i="1"/>
  <c r="AM1800" i="1"/>
  <c r="AQ1799" i="1"/>
  <c r="AO1799" i="1"/>
  <c r="AN1799" i="1"/>
  <c r="AM1799" i="1"/>
  <c r="AQ1798" i="1"/>
  <c r="AO1798" i="1"/>
  <c r="AN1798" i="1"/>
  <c r="AM1798" i="1"/>
  <c r="AQ1797" i="1"/>
  <c r="AO1797" i="1"/>
  <c r="AN1797" i="1"/>
  <c r="AM1797" i="1"/>
  <c r="AQ1796" i="1"/>
  <c r="AO1796" i="1"/>
  <c r="AN1796" i="1"/>
  <c r="AM1796" i="1"/>
  <c r="AQ1795" i="1"/>
  <c r="AO1795" i="1"/>
  <c r="AN1795" i="1"/>
  <c r="AM1795" i="1"/>
  <c r="AQ1794" i="1"/>
  <c r="AO1794" i="1"/>
  <c r="AN1794" i="1"/>
  <c r="AM1794" i="1"/>
  <c r="AQ1793" i="1"/>
  <c r="AO1793" i="1"/>
  <c r="AN1793" i="1"/>
  <c r="AM1793" i="1"/>
  <c r="AQ1792" i="1"/>
  <c r="AO1792" i="1"/>
  <c r="AN1792" i="1"/>
  <c r="AM1792" i="1"/>
  <c r="AQ1791" i="1"/>
  <c r="AO1791" i="1"/>
  <c r="AN1791" i="1"/>
  <c r="AM1791" i="1"/>
  <c r="AQ1790" i="1"/>
  <c r="AO1790" i="1"/>
  <c r="AN1790" i="1"/>
  <c r="AM1790" i="1"/>
  <c r="AQ1789" i="1"/>
  <c r="AO1789" i="1"/>
  <c r="AN1789" i="1"/>
  <c r="AM1789" i="1"/>
  <c r="AQ1788" i="1"/>
  <c r="AO1788" i="1"/>
  <c r="AN1788" i="1"/>
  <c r="AM1788" i="1"/>
  <c r="AQ1787" i="1"/>
  <c r="AO1787" i="1"/>
  <c r="AN1787" i="1"/>
  <c r="AM1787" i="1"/>
  <c r="AQ1786" i="1"/>
  <c r="AO1786" i="1"/>
  <c r="AN1786" i="1"/>
  <c r="AM1786" i="1"/>
  <c r="AQ1785" i="1"/>
  <c r="AO1785" i="1"/>
  <c r="AN1785" i="1"/>
  <c r="AM1785" i="1"/>
  <c r="AQ1784" i="1"/>
  <c r="AO1784" i="1"/>
  <c r="AN1784" i="1"/>
  <c r="AM1784" i="1"/>
  <c r="AQ1783" i="1"/>
  <c r="AO1783" i="1"/>
  <c r="AN1783" i="1"/>
  <c r="AM1783" i="1"/>
  <c r="AQ1782" i="1"/>
  <c r="AO1782" i="1"/>
  <c r="AN1782" i="1"/>
  <c r="AM1782" i="1"/>
  <c r="AQ1781" i="1"/>
  <c r="AO1781" i="1"/>
  <c r="AN1781" i="1"/>
  <c r="AM1781" i="1"/>
  <c r="AQ1780" i="1"/>
  <c r="AO1780" i="1"/>
  <c r="AN1780" i="1"/>
  <c r="AM1780" i="1"/>
  <c r="AQ1779" i="1"/>
  <c r="AO1779" i="1"/>
  <c r="AN1779" i="1"/>
  <c r="AM1779" i="1"/>
  <c r="AQ1778" i="1"/>
  <c r="AO1778" i="1"/>
  <c r="AN1778" i="1"/>
  <c r="AM1778" i="1"/>
  <c r="AQ1777" i="1"/>
  <c r="AO1777" i="1"/>
  <c r="AN1777" i="1"/>
  <c r="AM1777" i="1"/>
  <c r="AQ1776" i="1"/>
  <c r="AO1776" i="1"/>
  <c r="AN1776" i="1"/>
  <c r="AM1776" i="1"/>
  <c r="AQ1775" i="1"/>
  <c r="AO1775" i="1"/>
  <c r="AN1775" i="1"/>
  <c r="AM1775" i="1"/>
  <c r="AQ1774" i="1"/>
  <c r="AO1774" i="1"/>
  <c r="AN1774" i="1"/>
  <c r="AM1774" i="1"/>
  <c r="AQ1773" i="1"/>
  <c r="AO1773" i="1"/>
  <c r="AN1773" i="1"/>
  <c r="AM1773" i="1"/>
  <c r="AQ1772" i="1"/>
  <c r="AO1772" i="1"/>
  <c r="AN1772" i="1"/>
  <c r="AM1772" i="1"/>
  <c r="AQ1771" i="1"/>
  <c r="AO1771" i="1"/>
  <c r="AN1771" i="1"/>
  <c r="AM1771" i="1"/>
  <c r="AQ1770" i="1"/>
  <c r="AO1770" i="1"/>
  <c r="AN1770" i="1"/>
  <c r="AM1770" i="1"/>
  <c r="AQ1769" i="1"/>
  <c r="AO1769" i="1"/>
  <c r="AN1769" i="1"/>
  <c r="AM1769" i="1"/>
  <c r="AQ1768" i="1"/>
  <c r="AO1768" i="1"/>
  <c r="AN1768" i="1"/>
  <c r="AM1768" i="1"/>
  <c r="AQ1767" i="1"/>
  <c r="AO1767" i="1"/>
  <c r="AN1767" i="1"/>
  <c r="AM1767" i="1"/>
  <c r="AQ1766" i="1"/>
  <c r="AO1766" i="1"/>
  <c r="AN1766" i="1"/>
  <c r="AM1766" i="1"/>
  <c r="AQ1765" i="1"/>
  <c r="AO1765" i="1"/>
  <c r="AN1765" i="1"/>
  <c r="AM1765" i="1"/>
  <c r="AQ1764" i="1"/>
  <c r="AO1764" i="1"/>
  <c r="AN1764" i="1"/>
  <c r="AM1764" i="1"/>
  <c r="AQ1763" i="1"/>
  <c r="AO1763" i="1"/>
  <c r="AN1763" i="1"/>
  <c r="AM1763" i="1"/>
  <c r="AQ1762" i="1"/>
  <c r="AO1762" i="1"/>
  <c r="AN1762" i="1"/>
  <c r="AM1762" i="1"/>
  <c r="AQ1761" i="1"/>
  <c r="AO1761" i="1"/>
  <c r="AN1761" i="1"/>
  <c r="AM1761" i="1"/>
  <c r="AQ1760" i="1"/>
  <c r="AO1760" i="1"/>
  <c r="AN1760" i="1"/>
  <c r="AM1760" i="1"/>
  <c r="AQ1759" i="1"/>
  <c r="AO1759" i="1"/>
  <c r="AN1759" i="1"/>
  <c r="AM1759" i="1"/>
  <c r="AQ1758" i="1"/>
  <c r="AO1758" i="1"/>
  <c r="AN1758" i="1"/>
  <c r="AM1758" i="1"/>
  <c r="AQ1757" i="1"/>
  <c r="AO1757" i="1"/>
  <c r="AN1757" i="1"/>
  <c r="AM1757" i="1"/>
  <c r="AQ1756" i="1"/>
  <c r="AO1756" i="1"/>
  <c r="AN1756" i="1"/>
  <c r="AM1756" i="1"/>
  <c r="AQ1755" i="1"/>
  <c r="AO1755" i="1"/>
  <c r="AN1755" i="1"/>
  <c r="AM1755" i="1"/>
  <c r="AQ1754" i="1"/>
  <c r="AO1754" i="1"/>
  <c r="AN1754" i="1"/>
  <c r="AM1754" i="1"/>
  <c r="AQ1753" i="1"/>
  <c r="AO1753" i="1"/>
  <c r="AN1753" i="1"/>
  <c r="AM1753" i="1"/>
  <c r="AQ1752" i="1"/>
  <c r="AO1752" i="1"/>
  <c r="AN1752" i="1"/>
  <c r="AM1752" i="1"/>
  <c r="AQ1751" i="1"/>
  <c r="AO1751" i="1"/>
  <c r="AN1751" i="1"/>
  <c r="AM1751" i="1"/>
  <c r="AQ1750" i="1"/>
  <c r="AO1750" i="1"/>
  <c r="AN1750" i="1"/>
  <c r="AM1750" i="1"/>
  <c r="AQ1749" i="1"/>
  <c r="AO1749" i="1"/>
  <c r="AN1749" i="1"/>
  <c r="AM1749" i="1"/>
  <c r="AQ1748" i="1"/>
  <c r="AO1748" i="1"/>
  <c r="AN1748" i="1"/>
  <c r="AM1748" i="1"/>
  <c r="AQ1747" i="1"/>
  <c r="AO1747" i="1"/>
  <c r="AN1747" i="1"/>
  <c r="AM1747" i="1"/>
  <c r="AQ1746" i="1"/>
  <c r="AO1746" i="1"/>
  <c r="AN1746" i="1"/>
  <c r="AM1746" i="1"/>
  <c r="AQ1745" i="1"/>
  <c r="AO1745" i="1"/>
  <c r="AN1745" i="1"/>
  <c r="AM1745" i="1"/>
  <c r="AQ1744" i="1"/>
  <c r="AO1744" i="1"/>
  <c r="AN1744" i="1"/>
  <c r="AM1744" i="1"/>
  <c r="AQ1743" i="1"/>
  <c r="AO1743" i="1"/>
  <c r="AN1743" i="1"/>
  <c r="AM1743" i="1"/>
  <c r="AQ1742" i="1"/>
  <c r="AO1742" i="1"/>
  <c r="AN1742" i="1"/>
  <c r="AM1742" i="1"/>
  <c r="AQ1741" i="1"/>
  <c r="AO1741" i="1"/>
  <c r="AN1741" i="1"/>
  <c r="AM1741" i="1"/>
  <c r="AQ1740" i="1"/>
  <c r="AO1740" i="1"/>
  <c r="AN1740" i="1"/>
  <c r="AM1740" i="1"/>
  <c r="AQ1739" i="1"/>
  <c r="AO1739" i="1"/>
  <c r="AN1739" i="1"/>
  <c r="AM1739" i="1"/>
  <c r="AQ1738" i="1"/>
  <c r="AO1738" i="1"/>
  <c r="AN1738" i="1"/>
  <c r="AM1738" i="1"/>
  <c r="AQ1737" i="1"/>
  <c r="AO1737" i="1"/>
  <c r="AN1737" i="1"/>
  <c r="AM1737" i="1"/>
  <c r="AQ1736" i="1"/>
  <c r="AO1736" i="1"/>
  <c r="AN1736" i="1"/>
  <c r="AM1736" i="1"/>
  <c r="AQ1735" i="1"/>
  <c r="AO1735" i="1"/>
  <c r="AN1735" i="1"/>
  <c r="AM1735" i="1"/>
  <c r="AQ1734" i="1"/>
  <c r="AO1734" i="1"/>
  <c r="AN1734" i="1"/>
  <c r="AM1734" i="1"/>
  <c r="AQ1733" i="1"/>
  <c r="AO1733" i="1"/>
  <c r="AN1733" i="1"/>
  <c r="AM1733" i="1"/>
  <c r="AQ1732" i="1"/>
  <c r="AO1732" i="1"/>
  <c r="AN1732" i="1"/>
  <c r="AM1732" i="1"/>
  <c r="AQ1731" i="1"/>
  <c r="AO1731" i="1"/>
  <c r="AN1731" i="1"/>
  <c r="AM1731" i="1"/>
  <c r="AQ1730" i="1"/>
  <c r="AO1730" i="1"/>
  <c r="AN1730" i="1"/>
  <c r="AM1730" i="1"/>
  <c r="AQ1729" i="1"/>
  <c r="AO1729" i="1"/>
  <c r="AN1729" i="1"/>
  <c r="AM1729" i="1"/>
  <c r="AQ1728" i="1"/>
  <c r="AO1728" i="1"/>
  <c r="AN1728" i="1"/>
  <c r="AM1728" i="1"/>
  <c r="AQ1727" i="1"/>
  <c r="AO1727" i="1"/>
  <c r="AN1727" i="1"/>
  <c r="AM1727" i="1"/>
  <c r="AQ1726" i="1"/>
  <c r="AO1726" i="1"/>
  <c r="AN1726" i="1"/>
  <c r="AM1726" i="1"/>
  <c r="AQ1725" i="1"/>
  <c r="AO1725" i="1"/>
  <c r="AN1725" i="1"/>
  <c r="AM1725" i="1"/>
  <c r="AQ1724" i="1"/>
  <c r="AO1724" i="1"/>
  <c r="AN1724" i="1"/>
  <c r="AM1724" i="1"/>
  <c r="AQ1723" i="1"/>
  <c r="AO1723" i="1"/>
  <c r="AN1723" i="1"/>
  <c r="AM1723" i="1"/>
  <c r="AQ1722" i="1"/>
  <c r="AO1722" i="1"/>
  <c r="AN1722" i="1"/>
  <c r="AM1722" i="1"/>
  <c r="AQ1721" i="1"/>
  <c r="AO1721" i="1"/>
  <c r="AN1721" i="1"/>
  <c r="AM1721" i="1"/>
  <c r="AQ1720" i="1"/>
  <c r="AO1720" i="1"/>
  <c r="AN1720" i="1"/>
  <c r="AM1720" i="1"/>
  <c r="AQ1719" i="1"/>
  <c r="AO1719" i="1"/>
  <c r="AN1719" i="1"/>
  <c r="AM1719" i="1"/>
  <c r="AQ1718" i="1"/>
  <c r="AO1718" i="1"/>
  <c r="AN1718" i="1"/>
  <c r="AM1718" i="1"/>
  <c r="AQ1717" i="1"/>
  <c r="AO1717" i="1"/>
  <c r="AN1717" i="1"/>
  <c r="AM1717" i="1"/>
  <c r="AQ1716" i="1"/>
  <c r="AO1716" i="1"/>
  <c r="AN1716" i="1"/>
  <c r="AM1716" i="1"/>
  <c r="AQ1715" i="1"/>
  <c r="AO1715" i="1"/>
  <c r="AN1715" i="1"/>
  <c r="AM1715" i="1"/>
  <c r="AQ1714" i="1"/>
  <c r="AO1714" i="1"/>
  <c r="AN1714" i="1"/>
  <c r="AM1714" i="1"/>
  <c r="AQ1713" i="1"/>
  <c r="AO1713" i="1"/>
  <c r="AN1713" i="1"/>
  <c r="AM1713" i="1"/>
  <c r="AQ1712" i="1"/>
  <c r="AO1712" i="1"/>
  <c r="AN1712" i="1"/>
  <c r="AM1712" i="1"/>
  <c r="AQ1711" i="1"/>
  <c r="AO1711" i="1"/>
  <c r="AN1711" i="1"/>
  <c r="AM1711" i="1"/>
  <c r="AQ1710" i="1"/>
  <c r="AO1710" i="1"/>
  <c r="AN1710" i="1"/>
  <c r="AM1710" i="1"/>
  <c r="AQ1709" i="1"/>
  <c r="AO1709" i="1"/>
  <c r="AN1709" i="1"/>
  <c r="AM1709" i="1"/>
  <c r="AQ1708" i="1"/>
  <c r="AO1708" i="1"/>
  <c r="AN1708" i="1"/>
  <c r="AM1708" i="1"/>
  <c r="AQ1707" i="1"/>
  <c r="AO1707" i="1"/>
  <c r="AN1707" i="1"/>
  <c r="AM1707" i="1"/>
  <c r="AQ1706" i="1"/>
  <c r="AO1706" i="1"/>
  <c r="AN1706" i="1"/>
  <c r="AM1706" i="1"/>
  <c r="AQ1705" i="1"/>
  <c r="AO1705" i="1"/>
  <c r="AN1705" i="1"/>
  <c r="AM1705" i="1"/>
  <c r="AQ1704" i="1"/>
  <c r="AO1704" i="1"/>
  <c r="AN1704" i="1"/>
  <c r="AM1704" i="1"/>
  <c r="AQ1703" i="1"/>
  <c r="AO1703" i="1"/>
  <c r="AN1703" i="1"/>
  <c r="AM1703" i="1"/>
  <c r="AQ1702" i="1"/>
  <c r="AO1702" i="1"/>
  <c r="AN1702" i="1"/>
  <c r="AM1702" i="1"/>
  <c r="AQ1701" i="1"/>
  <c r="AO1701" i="1"/>
  <c r="AN1701" i="1"/>
  <c r="AM1701" i="1"/>
  <c r="AQ1700" i="1"/>
  <c r="AO1700" i="1"/>
  <c r="AN1700" i="1"/>
  <c r="AM1700" i="1"/>
  <c r="AQ1699" i="1"/>
  <c r="AO1699" i="1"/>
  <c r="AN1699" i="1"/>
  <c r="AM1699" i="1"/>
  <c r="AQ1698" i="1"/>
  <c r="AO1698" i="1"/>
  <c r="AN1698" i="1"/>
  <c r="AM1698" i="1"/>
  <c r="AQ1697" i="1"/>
  <c r="AO1697" i="1"/>
  <c r="AN1697" i="1"/>
  <c r="AM1697" i="1"/>
  <c r="AQ1696" i="1"/>
  <c r="AO1696" i="1"/>
  <c r="AN1696" i="1"/>
  <c r="AM1696" i="1"/>
  <c r="AQ1695" i="1"/>
  <c r="AO1695" i="1"/>
  <c r="AN1695" i="1"/>
  <c r="AM1695" i="1"/>
  <c r="AQ1694" i="1"/>
  <c r="AO1694" i="1"/>
  <c r="AN1694" i="1"/>
  <c r="AM1694" i="1"/>
  <c r="AQ1693" i="1"/>
  <c r="AO1693" i="1"/>
  <c r="AN1693" i="1"/>
  <c r="AM1693" i="1"/>
  <c r="AQ1692" i="1"/>
  <c r="AO1692" i="1"/>
  <c r="AN1692" i="1"/>
  <c r="AM1692" i="1"/>
  <c r="AQ1691" i="1"/>
  <c r="AO1691" i="1"/>
  <c r="AN1691" i="1"/>
  <c r="AM1691" i="1"/>
  <c r="AQ1690" i="1"/>
  <c r="AO1690" i="1"/>
  <c r="AN1690" i="1"/>
  <c r="AM1690" i="1"/>
  <c r="AQ1689" i="1"/>
  <c r="AO1689" i="1"/>
  <c r="AN1689" i="1"/>
  <c r="AM1689" i="1"/>
  <c r="AQ1688" i="1"/>
  <c r="AO1688" i="1"/>
  <c r="AN1688" i="1"/>
  <c r="AM1688" i="1"/>
  <c r="AQ1687" i="1"/>
  <c r="AO1687" i="1"/>
  <c r="AN1687" i="1"/>
  <c r="AM1687" i="1"/>
  <c r="AQ1686" i="1"/>
  <c r="AO1686" i="1"/>
  <c r="AN1686" i="1"/>
  <c r="AM1686" i="1"/>
  <c r="AQ1685" i="1"/>
  <c r="AO1685" i="1"/>
  <c r="AN1685" i="1"/>
  <c r="AM1685" i="1"/>
  <c r="AQ1684" i="1"/>
  <c r="AO1684" i="1"/>
  <c r="AN1684" i="1"/>
  <c r="AM1684" i="1"/>
  <c r="AQ1683" i="1"/>
  <c r="AO1683" i="1"/>
  <c r="AN1683" i="1"/>
  <c r="AM1683" i="1"/>
  <c r="AQ1682" i="1"/>
  <c r="AO1682" i="1"/>
  <c r="AN1682" i="1"/>
  <c r="AM1682" i="1"/>
  <c r="AQ1681" i="1"/>
  <c r="AO1681" i="1"/>
  <c r="AN1681" i="1"/>
  <c r="AM1681" i="1"/>
  <c r="AQ1680" i="1"/>
  <c r="AO1680" i="1"/>
  <c r="AN1680" i="1"/>
  <c r="AM1680" i="1"/>
  <c r="AQ1679" i="1"/>
  <c r="AO1679" i="1"/>
  <c r="AN1679" i="1"/>
  <c r="AM1679" i="1"/>
  <c r="AQ1678" i="1"/>
  <c r="AO1678" i="1"/>
  <c r="AN1678" i="1"/>
  <c r="AM1678" i="1"/>
  <c r="AQ1677" i="1"/>
  <c r="AO1677" i="1"/>
  <c r="AN1677" i="1"/>
  <c r="AM1677" i="1"/>
  <c r="AQ1676" i="1"/>
  <c r="AO1676" i="1"/>
  <c r="AN1676" i="1"/>
  <c r="AM1676" i="1"/>
  <c r="AQ1675" i="1"/>
  <c r="AO1675" i="1"/>
  <c r="AN1675" i="1"/>
  <c r="AM1675" i="1"/>
  <c r="AQ1674" i="1"/>
  <c r="AO1674" i="1"/>
  <c r="AN1674" i="1"/>
  <c r="AM1674" i="1"/>
  <c r="AQ1673" i="1"/>
  <c r="AO1673" i="1"/>
  <c r="AN1673" i="1"/>
  <c r="AM1673" i="1"/>
  <c r="AQ1672" i="1"/>
  <c r="AO1672" i="1"/>
  <c r="AN1672" i="1"/>
  <c r="AM1672" i="1"/>
  <c r="AQ1671" i="1"/>
  <c r="AO1671" i="1"/>
  <c r="AN1671" i="1"/>
  <c r="AM1671" i="1"/>
  <c r="AQ1670" i="1"/>
  <c r="AO1670" i="1"/>
  <c r="AN1670" i="1"/>
  <c r="AM1670" i="1"/>
  <c r="AQ1669" i="1"/>
  <c r="AO1669" i="1"/>
  <c r="AN1669" i="1"/>
  <c r="AM1669" i="1"/>
  <c r="AQ1668" i="1"/>
  <c r="AO1668" i="1"/>
  <c r="AN1668" i="1"/>
  <c r="AM1668" i="1"/>
  <c r="AQ1667" i="1"/>
  <c r="AO1667" i="1"/>
  <c r="AN1667" i="1"/>
  <c r="AM1667" i="1"/>
  <c r="AQ1666" i="1"/>
  <c r="AO1666" i="1"/>
  <c r="AN1666" i="1"/>
  <c r="AM1666" i="1"/>
  <c r="AQ1665" i="1"/>
  <c r="AO1665" i="1"/>
  <c r="AN1665" i="1"/>
  <c r="AM1665" i="1"/>
  <c r="AQ1664" i="1"/>
  <c r="AO1664" i="1"/>
  <c r="AN1664" i="1"/>
  <c r="AM1664" i="1"/>
  <c r="AQ1663" i="1"/>
  <c r="AO1663" i="1"/>
  <c r="AN1663" i="1"/>
  <c r="AM1663" i="1"/>
  <c r="AQ1662" i="1"/>
  <c r="AO1662" i="1"/>
  <c r="AN1662" i="1"/>
  <c r="AM1662" i="1"/>
  <c r="AQ1661" i="1"/>
  <c r="AO1661" i="1"/>
  <c r="AN1661" i="1"/>
  <c r="AM1661" i="1"/>
  <c r="AQ1660" i="1"/>
  <c r="AO1660" i="1"/>
  <c r="AN1660" i="1"/>
  <c r="AM1660" i="1"/>
  <c r="AQ1659" i="1"/>
  <c r="AO1659" i="1"/>
  <c r="AN1659" i="1"/>
  <c r="AM1659" i="1"/>
  <c r="AQ1658" i="1"/>
  <c r="AO1658" i="1"/>
  <c r="AN1658" i="1"/>
  <c r="AM1658" i="1"/>
  <c r="AQ1657" i="1"/>
  <c r="AO1657" i="1"/>
  <c r="AN1657" i="1"/>
  <c r="AM1657" i="1"/>
  <c r="AQ1656" i="1"/>
  <c r="AO1656" i="1"/>
  <c r="AN1656" i="1"/>
  <c r="AM1656" i="1"/>
  <c r="AQ1655" i="1"/>
  <c r="AO1655" i="1"/>
  <c r="AN1655" i="1"/>
  <c r="AM1655" i="1"/>
  <c r="AQ1654" i="1"/>
  <c r="AO1654" i="1"/>
  <c r="AN1654" i="1"/>
  <c r="AM1654" i="1"/>
  <c r="AQ1653" i="1"/>
  <c r="AO1653" i="1"/>
  <c r="AN1653" i="1"/>
  <c r="AM1653" i="1"/>
  <c r="AQ1652" i="1"/>
  <c r="AO1652" i="1"/>
  <c r="AN1652" i="1"/>
  <c r="AM1652" i="1"/>
  <c r="AQ1651" i="1"/>
  <c r="AO1651" i="1"/>
  <c r="AN1651" i="1"/>
  <c r="AM1651" i="1"/>
  <c r="AQ1650" i="1"/>
  <c r="AO1650" i="1"/>
  <c r="AN1650" i="1"/>
  <c r="AM1650" i="1"/>
  <c r="AQ1649" i="1"/>
  <c r="AO1649" i="1"/>
  <c r="AN1649" i="1"/>
  <c r="AM1649" i="1"/>
  <c r="AQ1648" i="1"/>
  <c r="AO1648" i="1"/>
  <c r="AN1648" i="1"/>
  <c r="AM1648" i="1"/>
  <c r="AQ1647" i="1"/>
  <c r="AO1647" i="1"/>
  <c r="AN1647" i="1"/>
  <c r="AM1647" i="1"/>
  <c r="AQ1646" i="1"/>
  <c r="AO1646" i="1"/>
  <c r="AN1646" i="1"/>
  <c r="AM1646" i="1"/>
  <c r="AQ1645" i="1"/>
  <c r="AO1645" i="1"/>
  <c r="AN1645" i="1"/>
  <c r="AM1645" i="1"/>
  <c r="AQ1644" i="1"/>
  <c r="AO1644" i="1"/>
  <c r="AN1644" i="1"/>
  <c r="AM1644" i="1"/>
  <c r="AQ1643" i="1"/>
  <c r="AO1643" i="1"/>
  <c r="AN1643" i="1"/>
  <c r="AM1643" i="1"/>
  <c r="AQ1642" i="1"/>
  <c r="AO1642" i="1"/>
  <c r="AN1642" i="1"/>
  <c r="AM1642" i="1"/>
  <c r="AQ1641" i="1"/>
  <c r="AO1641" i="1"/>
  <c r="AN1641" i="1"/>
  <c r="AM1641" i="1"/>
  <c r="AQ1640" i="1"/>
  <c r="AO1640" i="1"/>
  <c r="AN1640" i="1"/>
  <c r="AM1640" i="1"/>
  <c r="AQ1639" i="1"/>
  <c r="AO1639" i="1"/>
  <c r="AN1639" i="1"/>
  <c r="AM1639" i="1"/>
  <c r="AQ1638" i="1"/>
  <c r="AO1638" i="1"/>
  <c r="AN1638" i="1"/>
  <c r="AM1638" i="1"/>
  <c r="AQ1637" i="1"/>
  <c r="AO1637" i="1"/>
  <c r="AN1637" i="1"/>
  <c r="AM1637" i="1"/>
  <c r="AQ1636" i="1"/>
  <c r="AO1636" i="1"/>
  <c r="AN1636" i="1"/>
  <c r="AM1636" i="1"/>
  <c r="AQ1635" i="1"/>
  <c r="AO1635" i="1"/>
  <c r="AN1635" i="1"/>
  <c r="AM1635" i="1"/>
  <c r="AQ1634" i="1"/>
  <c r="AO1634" i="1"/>
  <c r="AN1634" i="1"/>
  <c r="AM1634" i="1"/>
  <c r="AQ1633" i="1"/>
  <c r="AO1633" i="1"/>
  <c r="AN1633" i="1"/>
  <c r="AM1633" i="1"/>
  <c r="AQ1632" i="1"/>
  <c r="AO1632" i="1"/>
  <c r="AN1632" i="1"/>
  <c r="AM1632" i="1"/>
  <c r="AQ1631" i="1"/>
  <c r="AO1631" i="1"/>
  <c r="AN1631" i="1"/>
  <c r="AM1631" i="1"/>
  <c r="AQ1630" i="1"/>
  <c r="AO1630" i="1"/>
  <c r="AN1630" i="1"/>
  <c r="AM1630" i="1"/>
  <c r="AQ1629" i="1"/>
  <c r="AO1629" i="1"/>
  <c r="AN1629" i="1"/>
  <c r="AM1629" i="1"/>
  <c r="AQ1628" i="1"/>
  <c r="AO1628" i="1"/>
  <c r="AN1628" i="1"/>
  <c r="AM1628" i="1"/>
  <c r="AQ1627" i="1"/>
  <c r="AO1627" i="1"/>
  <c r="AN1627" i="1"/>
  <c r="AM1627" i="1"/>
  <c r="AQ1626" i="1"/>
  <c r="AO1626" i="1"/>
  <c r="AN1626" i="1"/>
  <c r="AM1626" i="1"/>
  <c r="AQ1625" i="1"/>
  <c r="AO1625" i="1"/>
  <c r="AN1625" i="1"/>
  <c r="AM1625" i="1"/>
  <c r="AQ1624" i="1"/>
  <c r="AO1624" i="1"/>
  <c r="AN1624" i="1"/>
  <c r="AM1624" i="1"/>
  <c r="AQ1623" i="1"/>
  <c r="AO1623" i="1"/>
  <c r="AN1623" i="1"/>
  <c r="AM1623" i="1"/>
  <c r="AQ1622" i="1"/>
  <c r="AO1622" i="1"/>
  <c r="AN1622" i="1"/>
  <c r="AM1622" i="1"/>
  <c r="AQ1621" i="1"/>
  <c r="AO1621" i="1"/>
  <c r="AN1621" i="1"/>
  <c r="AM1621" i="1"/>
  <c r="AQ1620" i="1"/>
  <c r="AO1620" i="1"/>
  <c r="AN1620" i="1"/>
  <c r="AM1620" i="1"/>
  <c r="AQ1619" i="1"/>
  <c r="AO1619" i="1"/>
  <c r="AN1619" i="1"/>
  <c r="AM1619" i="1"/>
  <c r="AQ1618" i="1"/>
  <c r="AO1618" i="1"/>
  <c r="AN1618" i="1"/>
  <c r="AM1618" i="1"/>
  <c r="AQ1617" i="1"/>
  <c r="AO1617" i="1"/>
  <c r="AN1617" i="1"/>
  <c r="AM1617" i="1"/>
  <c r="AQ1616" i="1"/>
  <c r="AO1616" i="1"/>
  <c r="AN1616" i="1"/>
  <c r="AM1616" i="1"/>
  <c r="AQ1615" i="1"/>
  <c r="AO1615" i="1"/>
  <c r="AN1615" i="1"/>
  <c r="AM1615" i="1"/>
  <c r="AQ1614" i="1"/>
  <c r="AO1614" i="1"/>
  <c r="AN1614" i="1"/>
  <c r="AM1614" i="1"/>
  <c r="AQ1613" i="1"/>
  <c r="AO1613" i="1"/>
  <c r="AN1613" i="1"/>
  <c r="AM1613" i="1"/>
  <c r="AQ1612" i="1"/>
  <c r="AO1612" i="1"/>
  <c r="AN1612" i="1"/>
  <c r="AM1612" i="1"/>
  <c r="AQ1611" i="1"/>
  <c r="AO1611" i="1"/>
  <c r="AN1611" i="1"/>
  <c r="AM1611" i="1"/>
  <c r="AQ1610" i="1"/>
  <c r="AO1610" i="1"/>
  <c r="AN1610" i="1"/>
  <c r="AM1610" i="1"/>
  <c r="AQ1609" i="1"/>
  <c r="AO1609" i="1"/>
  <c r="AN1609" i="1"/>
  <c r="AM1609" i="1"/>
  <c r="AQ1608" i="1"/>
  <c r="AO1608" i="1"/>
  <c r="AN1608" i="1"/>
  <c r="AM1608" i="1"/>
  <c r="AQ1607" i="1"/>
  <c r="AO1607" i="1"/>
  <c r="AN1607" i="1"/>
  <c r="AM1607" i="1"/>
  <c r="AQ1606" i="1"/>
  <c r="AO1606" i="1"/>
  <c r="AN1606" i="1"/>
  <c r="AM1606" i="1"/>
  <c r="AQ1605" i="1"/>
  <c r="AO1605" i="1"/>
  <c r="AN1605" i="1"/>
  <c r="AM1605" i="1"/>
  <c r="AQ1604" i="1"/>
  <c r="AO1604" i="1"/>
  <c r="AN1604" i="1"/>
  <c r="AM1604" i="1"/>
  <c r="AQ1603" i="1"/>
  <c r="AO1603" i="1"/>
  <c r="AN1603" i="1"/>
  <c r="AM1603" i="1"/>
  <c r="AQ1602" i="1"/>
  <c r="AO1602" i="1"/>
  <c r="AN1602" i="1"/>
  <c r="AM1602" i="1"/>
  <c r="AQ1601" i="1"/>
  <c r="AO1601" i="1"/>
  <c r="AN1601" i="1"/>
  <c r="AM1601" i="1"/>
  <c r="AQ1600" i="1"/>
  <c r="AO1600" i="1"/>
  <c r="AN1600" i="1"/>
  <c r="AM1600" i="1"/>
  <c r="AQ1599" i="1"/>
  <c r="AO1599" i="1"/>
  <c r="AN1599" i="1"/>
  <c r="AM1599" i="1"/>
  <c r="AQ1598" i="1"/>
  <c r="AO1598" i="1"/>
  <c r="AN1598" i="1"/>
  <c r="AM1598" i="1"/>
  <c r="AQ1597" i="1"/>
  <c r="AO1597" i="1"/>
  <c r="AN1597" i="1"/>
  <c r="AM1597" i="1"/>
  <c r="AQ1596" i="1"/>
  <c r="AO1596" i="1"/>
  <c r="AN1596" i="1"/>
  <c r="AM1596" i="1"/>
  <c r="AQ1595" i="1"/>
  <c r="AO1595" i="1"/>
  <c r="AN1595" i="1"/>
  <c r="AM1595" i="1"/>
  <c r="AQ1594" i="1"/>
  <c r="AO1594" i="1"/>
  <c r="AN1594" i="1"/>
  <c r="AM1594" i="1"/>
  <c r="AQ1593" i="1"/>
  <c r="AO1593" i="1"/>
  <c r="AN1593" i="1"/>
  <c r="AM1593" i="1"/>
  <c r="AQ1592" i="1"/>
  <c r="AO1592" i="1"/>
  <c r="AN1592" i="1"/>
  <c r="AM1592" i="1"/>
  <c r="AQ1591" i="1"/>
  <c r="AO1591" i="1"/>
  <c r="AN1591" i="1"/>
  <c r="AM1591" i="1"/>
  <c r="AQ1590" i="1"/>
  <c r="AO1590" i="1"/>
  <c r="AN1590" i="1"/>
  <c r="AM1590" i="1"/>
  <c r="AQ1589" i="1"/>
  <c r="AO1589" i="1"/>
  <c r="AN1589" i="1"/>
  <c r="AM1589" i="1"/>
  <c r="AQ1588" i="1"/>
  <c r="AO1588" i="1"/>
  <c r="AN1588" i="1"/>
  <c r="AM1588" i="1"/>
  <c r="AQ1587" i="1"/>
  <c r="AO1587" i="1"/>
  <c r="AN1587" i="1"/>
  <c r="AM1587" i="1"/>
  <c r="AQ1586" i="1"/>
  <c r="AO1586" i="1"/>
  <c r="AN1586" i="1"/>
  <c r="AM1586" i="1"/>
  <c r="AQ1585" i="1"/>
  <c r="AO1585" i="1"/>
  <c r="AN1585" i="1"/>
  <c r="AM1585" i="1"/>
  <c r="AQ1584" i="1"/>
  <c r="AO1584" i="1"/>
  <c r="AN1584" i="1"/>
  <c r="AM1584" i="1"/>
  <c r="AQ1583" i="1"/>
  <c r="AO1583" i="1"/>
  <c r="AN1583" i="1"/>
  <c r="AM1583" i="1"/>
  <c r="AQ1582" i="1"/>
  <c r="AO1582" i="1"/>
  <c r="AN1582" i="1"/>
  <c r="AM1582" i="1"/>
  <c r="AQ1581" i="1"/>
  <c r="AO1581" i="1"/>
  <c r="AN1581" i="1"/>
  <c r="AM1581" i="1"/>
  <c r="AQ1580" i="1"/>
  <c r="AO1580" i="1"/>
  <c r="AN1580" i="1"/>
  <c r="AM1580" i="1"/>
  <c r="AQ1579" i="1"/>
  <c r="AO1579" i="1"/>
  <c r="AN1579" i="1"/>
  <c r="AM1579" i="1"/>
  <c r="AQ1578" i="1"/>
  <c r="AO1578" i="1"/>
  <c r="AN1578" i="1"/>
  <c r="AM1578" i="1"/>
  <c r="AQ1577" i="1"/>
  <c r="AO1577" i="1"/>
  <c r="AN1577" i="1"/>
  <c r="AM1577" i="1"/>
  <c r="AQ1576" i="1"/>
  <c r="AO1576" i="1"/>
  <c r="AN1576" i="1"/>
  <c r="AM1576" i="1"/>
  <c r="AQ1575" i="1"/>
  <c r="AO1575" i="1"/>
  <c r="AN1575" i="1"/>
  <c r="AM1575" i="1"/>
  <c r="AQ1574" i="1"/>
  <c r="AO1574" i="1"/>
  <c r="AN1574" i="1"/>
  <c r="AM1574" i="1"/>
  <c r="AQ1573" i="1"/>
  <c r="AO1573" i="1"/>
  <c r="AN1573" i="1"/>
  <c r="AM1573" i="1"/>
  <c r="AQ1572" i="1"/>
  <c r="AO1572" i="1"/>
  <c r="AN1572" i="1"/>
  <c r="AM1572" i="1"/>
  <c r="AQ1571" i="1"/>
  <c r="AO1571" i="1"/>
  <c r="AN1571" i="1"/>
  <c r="AM1571" i="1"/>
  <c r="AQ1570" i="1"/>
  <c r="AO1570" i="1"/>
  <c r="AN1570" i="1"/>
  <c r="AM1570" i="1"/>
  <c r="AQ1569" i="1"/>
  <c r="AO1569" i="1"/>
  <c r="AN1569" i="1"/>
  <c r="AM1569" i="1"/>
  <c r="AQ1568" i="1"/>
  <c r="AO1568" i="1"/>
  <c r="AN1568" i="1"/>
  <c r="AM1568" i="1"/>
  <c r="AQ1567" i="1"/>
  <c r="AO1567" i="1"/>
  <c r="AN1567" i="1"/>
  <c r="AM1567" i="1"/>
  <c r="AQ1566" i="1"/>
  <c r="AO1566" i="1"/>
  <c r="AN1566" i="1"/>
  <c r="AM1566" i="1"/>
  <c r="AQ1565" i="1"/>
  <c r="AO1565" i="1"/>
  <c r="AN1565" i="1"/>
  <c r="AM1565" i="1"/>
  <c r="AQ1564" i="1"/>
  <c r="AO1564" i="1"/>
  <c r="AN1564" i="1"/>
  <c r="AM1564" i="1"/>
  <c r="AQ1563" i="1"/>
  <c r="AO1563" i="1"/>
  <c r="AN1563" i="1"/>
  <c r="AM1563" i="1"/>
  <c r="AQ1562" i="1"/>
  <c r="AO1562" i="1"/>
  <c r="AN1562" i="1"/>
  <c r="AM1562" i="1"/>
  <c r="AQ1561" i="1"/>
  <c r="AO1561" i="1"/>
  <c r="AN1561" i="1"/>
  <c r="AM1561" i="1"/>
  <c r="AQ1560" i="1"/>
  <c r="AO1560" i="1"/>
  <c r="AN1560" i="1"/>
  <c r="AM1560" i="1"/>
  <c r="AQ1559" i="1"/>
  <c r="AO1559" i="1"/>
  <c r="AN1559" i="1"/>
  <c r="AM1559" i="1"/>
  <c r="AQ1558" i="1"/>
  <c r="AO1558" i="1"/>
  <c r="AN1558" i="1"/>
  <c r="AM1558" i="1"/>
  <c r="AQ1557" i="1"/>
  <c r="AO1557" i="1"/>
  <c r="AN1557" i="1"/>
  <c r="AM1557" i="1"/>
  <c r="AQ1556" i="1"/>
  <c r="AO1556" i="1"/>
  <c r="AN1556" i="1"/>
  <c r="AM1556" i="1"/>
  <c r="AQ1555" i="1"/>
  <c r="AO1555" i="1"/>
  <c r="AN1555" i="1"/>
  <c r="AM1555" i="1"/>
  <c r="AQ1554" i="1"/>
  <c r="AO1554" i="1"/>
  <c r="AN1554" i="1"/>
  <c r="AM1554" i="1"/>
  <c r="AQ1553" i="1"/>
  <c r="AO1553" i="1"/>
  <c r="AN1553" i="1"/>
  <c r="AM1553" i="1"/>
  <c r="AQ1552" i="1"/>
  <c r="AO1552" i="1"/>
  <c r="AN1552" i="1"/>
  <c r="AM1552" i="1"/>
  <c r="AQ1551" i="1"/>
  <c r="AO1551" i="1"/>
  <c r="AN1551" i="1"/>
  <c r="AM1551" i="1"/>
  <c r="AQ1550" i="1"/>
  <c r="AO1550" i="1"/>
  <c r="AN1550" i="1"/>
  <c r="AM1550" i="1"/>
  <c r="AQ1549" i="1"/>
  <c r="AO1549" i="1"/>
  <c r="AN1549" i="1"/>
  <c r="AM1549" i="1"/>
  <c r="AQ1548" i="1"/>
  <c r="AO1548" i="1"/>
  <c r="AN1548" i="1"/>
  <c r="AM1548" i="1"/>
  <c r="AQ1547" i="1"/>
  <c r="AO1547" i="1"/>
  <c r="AN1547" i="1"/>
  <c r="AM1547" i="1"/>
  <c r="AQ1546" i="1"/>
  <c r="AO1546" i="1"/>
  <c r="AN1546" i="1"/>
  <c r="AM1546" i="1"/>
  <c r="AQ1545" i="1"/>
  <c r="AO1545" i="1"/>
  <c r="AN1545" i="1"/>
  <c r="AM1545" i="1"/>
  <c r="AQ1544" i="1"/>
  <c r="AO1544" i="1"/>
  <c r="AN1544" i="1"/>
  <c r="AM1544" i="1"/>
  <c r="AQ1543" i="1"/>
  <c r="AO1543" i="1"/>
  <c r="AN1543" i="1"/>
  <c r="AM1543" i="1"/>
  <c r="AQ1542" i="1"/>
  <c r="AO1542" i="1"/>
  <c r="AN1542" i="1"/>
  <c r="AM1542" i="1"/>
  <c r="AQ1541" i="1"/>
  <c r="AO1541" i="1"/>
  <c r="AN1541" i="1"/>
  <c r="AM1541" i="1"/>
  <c r="AQ1540" i="1"/>
  <c r="AO1540" i="1"/>
  <c r="AN1540" i="1"/>
  <c r="AM1540" i="1"/>
  <c r="AQ1539" i="1"/>
  <c r="AO1539" i="1"/>
  <c r="AN1539" i="1"/>
  <c r="AM1539" i="1"/>
  <c r="AQ1538" i="1"/>
  <c r="AO1538" i="1"/>
  <c r="AN1538" i="1"/>
  <c r="AM1538" i="1"/>
  <c r="AQ1537" i="1"/>
  <c r="AO1537" i="1"/>
  <c r="AN1537" i="1"/>
  <c r="AM1537" i="1"/>
  <c r="AQ1536" i="1"/>
  <c r="AO1536" i="1"/>
  <c r="AN1536" i="1"/>
  <c r="AM1536" i="1"/>
  <c r="AQ1535" i="1"/>
  <c r="AO1535" i="1"/>
  <c r="AN1535" i="1"/>
  <c r="AM1535" i="1"/>
  <c r="AQ1534" i="1"/>
  <c r="AO1534" i="1"/>
  <c r="AN1534" i="1"/>
  <c r="AM1534" i="1"/>
  <c r="AQ1533" i="1"/>
  <c r="AO1533" i="1"/>
  <c r="AN1533" i="1"/>
  <c r="AM1533" i="1"/>
  <c r="AQ1532" i="1"/>
  <c r="AO1532" i="1"/>
  <c r="AN1532" i="1"/>
  <c r="AM1532" i="1"/>
  <c r="AQ1531" i="1"/>
  <c r="AO1531" i="1"/>
  <c r="AN1531" i="1"/>
  <c r="AM1531" i="1"/>
  <c r="AQ1530" i="1"/>
  <c r="AO1530" i="1"/>
  <c r="AN1530" i="1"/>
  <c r="AM1530" i="1"/>
  <c r="AQ1529" i="1"/>
  <c r="AO1529" i="1"/>
  <c r="AN1529" i="1"/>
  <c r="AM1529" i="1"/>
  <c r="AQ1528" i="1"/>
  <c r="AO1528" i="1"/>
  <c r="AN1528" i="1"/>
  <c r="AM1528" i="1"/>
  <c r="AQ1527" i="1"/>
  <c r="AO1527" i="1"/>
  <c r="AN1527" i="1"/>
  <c r="AM1527" i="1"/>
  <c r="AQ1526" i="1"/>
  <c r="AO1526" i="1"/>
  <c r="AN1526" i="1"/>
  <c r="AM1526" i="1"/>
  <c r="AQ1525" i="1"/>
  <c r="AO1525" i="1"/>
  <c r="AN1525" i="1"/>
  <c r="AM1525" i="1"/>
  <c r="AQ1524" i="1"/>
  <c r="AO1524" i="1"/>
  <c r="AN1524" i="1"/>
  <c r="AM1524" i="1"/>
  <c r="AQ1523" i="1"/>
  <c r="AO1523" i="1"/>
  <c r="AN1523" i="1"/>
  <c r="AM1523" i="1"/>
  <c r="AQ1522" i="1"/>
  <c r="AO1522" i="1"/>
  <c r="AN1522" i="1"/>
  <c r="AM1522" i="1"/>
  <c r="AQ1521" i="1"/>
  <c r="AO1521" i="1"/>
  <c r="AN1521" i="1"/>
  <c r="AM1521" i="1"/>
  <c r="AQ1520" i="1"/>
  <c r="AO1520" i="1"/>
  <c r="AN1520" i="1"/>
  <c r="AM1520" i="1"/>
  <c r="AQ1519" i="1"/>
  <c r="AO1519" i="1"/>
  <c r="AN1519" i="1"/>
  <c r="AM1519" i="1"/>
  <c r="AQ1518" i="1"/>
  <c r="AO1518" i="1"/>
  <c r="AN1518" i="1"/>
  <c r="AM1518" i="1"/>
  <c r="AQ1517" i="1"/>
  <c r="AO1517" i="1"/>
  <c r="AN1517" i="1"/>
  <c r="AM1517" i="1"/>
  <c r="AQ1516" i="1"/>
  <c r="AO1516" i="1"/>
  <c r="AN1516" i="1"/>
  <c r="AM1516" i="1"/>
  <c r="AQ1515" i="1"/>
  <c r="AO1515" i="1"/>
  <c r="AN1515" i="1"/>
  <c r="AM1515" i="1"/>
  <c r="AQ1514" i="1"/>
  <c r="AO1514" i="1"/>
  <c r="AN1514" i="1"/>
  <c r="AM1514" i="1"/>
  <c r="AQ1513" i="1"/>
  <c r="AO1513" i="1"/>
  <c r="AN1513" i="1"/>
  <c r="AM1513" i="1"/>
  <c r="AQ1512" i="1"/>
  <c r="AO1512" i="1"/>
  <c r="AN1512" i="1"/>
  <c r="AM1512" i="1"/>
  <c r="AQ1511" i="1"/>
  <c r="AO1511" i="1"/>
  <c r="AN1511" i="1"/>
  <c r="AM1511" i="1"/>
  <c r="AQ1510" i="1"/>
  <c r="AO1510" i="1"/>
  <c r="AN1510" i="1"/>
  <c r="AM1510" i="1"/>
  <c r="AQ1509" i="1"/>
  <c r="AO1509" i="1"/>
  <c r="AN1509" i="1"/>
  <c r="AM1509" i="1"/>
  <c r="AQ1508" i="1"/>
  <c r="AO1508" i="1"/>
  <c r="AN1508" i="1"/>
  <c r="AM1508" i="1"/>
  <c r="AQ1507" i="1"/>
  <c r="AO1507" i="1"/>
  <c r="AN1507" i="1"/>
  <c r="AM1507" i="1"/>
  <c r="AQ1506" i="1"/>
  <c r="AO1506" i="1"/>
  <c r="AN1506" i="1"/>
  <c r="AM1506" i="1"/>
  <c r="AQ1505" i="1"/>
  <c r="AO1505" i="1"/>
  <c r="AN1505" i="1"/>
  <c r="AM1505" i="1"/>
  <c r="AQ1504" i="1"/>
  <c r="AO1504" i="1"/>
  <c r="AN1504" i="1"/>
  <c r="AM1504" i="1"/>
  <c r="AQ1503" i="1"/>
  <c r="AO1503" i="1"/>
  <c r="AN1503" i="1"/>
  <c r="AM1503" i="1"/>
  <c r="AQ1502" i="1"/>
  <c r="AO1502" i="1"/>
  <c r="AN1502" i="1"/>
  <c r="AM1502" i="1"/>
  <c r="AQ1501" i="1"/>
  <c r="AO1501" i="1"/>
  <c r="AN1501" i="1"/>
  <c r="AM1501" i="1"/>
  <c r="AQ1500" i="1"/>
  <c r="AO1500" i="1"/>
  <c r="AN1500" i="1"/>
  <c r="AM1500" i="1"/>
  <c r="AQ1499" i="1"/>
  <c r="AO1499" i="1"/>
  <c r="AN1499" i="1"/>
  <c r="AM1499" i="1"/>
  <c r="AQ1498" i="1"/>
  <c r="AO1498" i="1"/>
  <c r="AN1498" i="1"/>
  <c r="AM1498" i="1"/>
  <c r="AQ1497" i="1"/>
  <c r="AO1497" i="1"/>
  <c r="AN1497" i="1"/>
  <c r="AM1497" i="1"/>
  <c r="AQ1496" i="1"/>
  <c r="AO1496" i="1"/>
  <c r="AN1496" i="1"/>
  <c r="AM1496" i="1"/>
  <c r="AQ1495" i="1"/>
  <c r="AO1495" i="1"/>
  <c r="AN1495" i="1"/>
  <c r="AM1495" i="1"/>
  <c r="AQ1494" i="1"/>
  <c r="AO1494" i="1"/>
  <c r="AN1494" i="1"/>
  <c r="AM1494" i="1"/>
  <c r="AQ1493" i="1"/>
  <c r="AO1493" i="1"/>
  <c r="AN1493" i="1"/>
  <c r="AM1493" i="1"/>
  <c r="AQ1492" i="1"/>
  <c r="AO1492" i="1"/>
  <c r="AN1492" i="1"/>
  <c r="AM1492" i="1"/>
  <c r="AQ1491" i="1"/>
  <c r="AO1491" i="1"/>
  <c r="AN1491" i="1"/>
  <c r="AM1491" i="1"/>
  <c r="AQ1490" i="1"/>
  <c r="AO1490" i="1"/>
  <c r="AN1490" i="1"/>
  <c r="AM1490" i="1"/>
  <c r="AQ1489" i="1"/>
  <c r="AO1489" i="1"/>
  <c r="AN1489" i="1"/>
  <c r="AM1489" i="1"/>
  <c r="AQ1488" i="1"/>
  <c r="AO1488" i="1"/>
  <c r="AN1488" i="1"/>
  <c r="AM1488" i="1"/>
  <c r="AQ1487" i="1"/>
  <c r="AO1487" i="1"/>
  <c r="AN1487" i="1"/>
  <c r="AM1487" i="1"/>
  <c r="AQ1486" i="1"/>
  <c r="AO1486" i="1"/>
  <c r="AN1486" i="1"/>
  <c r="AM1486" i="1"/>
  <c r="AQ1485" i="1"/>
  <c r="AO1485" i="1"/>
  <c r="AN1485" i="1"/>
  <c r="AM1485" i="1"/>
  <c r="AQ1484" i="1"/>
  <c r="AO1484" i="1"/>
  <c r="AN1484" i="1"/>
  <c r="AM1484" i="1"/>
  <c r="AQ1483" i="1"/>
  <c r="AO1483" i="1"/>
  <c r="AN1483" i="1"/>
  <c r="AM1483" i="1"/>
  <c r="AQ1482" i="1"/>
  <c r="AO1482" i="1"/>
  <c r="AN1482" i="1"/>
  <c r="AM1482" i="1"/>
  <c r="AQ1481" i="1"/>
  <c r="AO1481" i="1"/>
  <c r="AN1481" i="1"/>
  <c r="AM1481" i="1"/>
  <c r="AQ1480" i="1"/>
  <c r="AO1480" i="1"/>
  <c r="AN1480" i="1"/>
  <c r="AM1480" i="1"/>
  <c r="AQ1479" i="1"/>
  <c r="AO1479" i="1"/>
  <c r="AN1479" i="1"/>
  <c r="AM1479" i="1"/>
  <c r="AQ1478" i="1"/>
  <c r="AO1478" i="1"/>
  <c r="AN1478" i="1"/>
  <c r="AM1478" i="1"/>
  <c r="AQ1477" i="1"/>
  <c r="AO1477" i="1"/>
  <c r="AN1477" i="1"/>
  <c r="AM1477" i="1"/>
  <c r="AQ1476" i="1"/>
  <c r="AO1476" i="1"/>
  <c r="AN1476" i="1"/>
  <c r="AM1476" i="1"/>
  <c r="AQ1475" i="1"/>
  <c r="AO1475" i="1"/>
  <c r="AN1475" i="1"/>
  <c r="AM1475" i="1"/>
  <c r="AQ1474" i="1"/>
  <c r="AO1474" i="1"/>
  <c r="AN1474" i="1"/>
  <c r="AM1474" i="1"/>
  <c r="AQ1473" i="1"/>
  <c r="AO1473" i="1"/>
  <c r="AN1473" i="1"/>
  <c r="AM1473" i="1"/>
  <c r="AQ1472" i="1"/>
  <c r="AO1472" i="1"/>
  <c r="AN1472" i="1"/>
  <c r="AM1472" i="1"/>
  <c r="AQ1471" i="1"/>
  <c r="AO1471" i="1"/>
  <c r="AN1471" i="1"/>
  <c r="AM1471" i="1"/>
  <c r="AQ1470" i="1"/>
  <c r="AO1470" i="1"/>
  <c r="AN1470" i="1"/>
  <c r="AM1470" i="1"/>
  <c r="AQ1469" i="1"/>
  <c r="AO1469" i="1"/>
  <c r="AN1469" i="1"/>
  <c r="AM1469" i="1"/>
  <c r="AQ1468" i="1"/>
  <c r="AO1468" i="1"/>
  <c r="AN1468" i="1"/>
  <c r="AM1468" i="1"/>
  <c r="AQ1467" i="1"/>
  <c r="AO1467" i="1"/>
  <c r="AN1467" i="1"/>
  <c r="AM1467" i="1"/>
  <c r="AQ1466" i="1"/>
  <c r="AO1466" i="1"/>
  <c r="AN1466" i="1"/>
  <c r="AM1466" i="1"/>
  <c r="AQ1465" i="1"/>
  <c r="AO1465" i="1"/>
  <c r="AN1465" i="1"/>
  <c r="AM1465" i="1"/>
  <c r="AQ1464" i="1"/>
  <c r="AO1464" i="1"/>
  <c r="AN1464" i="1"/>
  <c r="AM1464" i="1"/>
  <c r="AQ1463" i="1"/>
  <c r="AO1463" i="1"/>
  <c r="AN1463" i="1"/>
  <c r="AM1463" i="1"/>
  <c r="AQ1462" i="1"/>
  <c r="AO1462" i="1"/>
  <c r="AN1462" i="1"/>
  <c r="AM1462" i="1"/>
  <c r="AQ1461" i="1"/>
  <c r="AO1461" i="1"/>
  <c r="AN1461" i="1"/>
  <c r="AM1461" i="1"/>
  <c r="AQ1460" i="1"/>
  <c r="AO1460" i="1"/>
  <c r="AN1460" i="1"/>
  <c r="AM1460" i="1"/>
  <c r="AQ1459" i="1"/>
  <c r="AO1459" i="1"/>
  <c r="AN1459" i="1"/>
  <c r="AM1459" i="1"/>
  <c r="AQ1458" i="1"/>
  <c r="AO1458" i="1"/>
  <c r="AN1458" i="1"/>
  <c r="AM1458" i="1"/>
  <c r="AQ1457" i="1"/>
  <c r="AO1457" i="1"/>
  <c r="AN1457" i="1"/>
  <c r="AM1457" i="1"/>
  <c r="AQ1456" i="1"/>
  <c r="AO1456" i="1"/>
  <c r="AN1456" i="1"/>
  <c r="AM1456" i="1"/>
  <c r="AQ1455" i="1"/>
  <c r="AO1455" i="1"/>
  <c r="AN1455" i="1"/>
  <c r="AM1455" i="1"/>
  <c r="AQ1454" i="1"/>
  <c r="AO1454" i="1"/>
  <c r="AN1454" i="1"/>
  <c r="AM1454" i="1"/>
  <c r="AQ1453" i="1"/>
  <c r="AO1453" i="1"/>
  <c r="AN1453" i="1"/>
  <c r="AM1453" i="1"/>
  <c r="AQ1452" i="1"/>
  <c r="AO1452" i="1"/>
  <c r="AN1452" i="1"/>
  <c r="AM1452" i="1"/>
  <c r="AQ1451" i="1"/>
  <c r="AO1451" i="1"/>
  <c r="AN1451" i="1"/>
  <c r="AM1451" i="1"/>
  <c r="AQ1450" i="1"/>
  <c r="AO1450" i="1"/>
  <c r="AN1450" i="1"/>
  <c r="AM1450" i="1"/>
  <c r="AQ1449" i="1"/>
  <c r="AO1449" i="1"/>
  <c r="AN1449" i="1"/>
  <c r="AM1449" i="1"/>
  <c r="AQ1448" i="1"/>
  <c r="AO1448" i="1"/>
  <c r="AN1448" i="1"/>
  <c r="AM1448" i="1"/>
  <c r="AQ1447" i="1"/>
  <c r="AO1447" i="1"/>
  <c r="AN1447" i="1"/>
  <c r="AM1447" i="1"/>
  <c r="AQ1446" i="1"/>
  <c r="AO1446" i="1"/>
  <c r="AN1446" i="1"/>
  <c r="AM1446" i="1"/>
  <c r="AQ1445" i="1"/>
  <c r="AO1445" i="1"/>
  <c r="AN1445" i="1"/>
  <c r="AM1445" i="1"/>
  <c r="AQ1444" i="1"/>
  <c r="AO1444" i="1"/>
  <c r="AN1444" i="1"/>
  <c r="AM1444" i="1"/>
  <c r="AQ1443" i="1"/>
  <c r="AO1443" i="1"/>
  <c r="AN1443" i="1"/>
  <c r="AM1443" i="1"/>
  <c r="AQ1442" i="1"/>
  <c r="AO1442" i="1"/>
  <c r="AN1442" i="1"/>
  <c r="AM1442" i="1"/>
  <c r="AQ1441" i="1"/>
  <c r="AO1441" i="1"/>
  <c r="AN1441" i="1"/>
  <c r="AM1441" i="1"/>
  <c r="AQ1440" i="1"/>
  <c r="AO1440" i="1"/>
  <c r="AN1440" i="1"/>
  <c r="AM1440" i="1"/>
  <c r="AQ1439" i="1"/>
  <c r="AO1439" i="1"/>
  <c r="AN1439" i="1"/>
  <c r="AM1439" i="1"/>
  <c r="AQ1438" i="1"/>
  <c r="AO1438" i="1"/>
  <c r="AN1438" i="1"/>
  <c r="AM1438" i="1"/>
  <c r="AQ1437" i="1"/>
  <c r="AO1437" i="1"/>
  <c r="AN1437" i="1"/>
  <c r="AM1437" i="1"/>
  <c r="AQ1436" i="1"/>
  <c r="AO1436" i="1"/>
  <c r="AN1436" i="1"/>
  <c r="AM1436" i="1"/>
  <c r="AQ1435" i="1"/>
  <c r="AO1435" i="1"/>
  <c r="AN1435" i="1"/>
  <c r="AM1435" i="1"/>
  <c r="AQ1434" i="1"/>
  <c r="AO1434" i="1"/>
  <c r="AN1434" i="1"/>
  <c r="AM1434" i="1"/>
  <c r="AQ1433" i="1"/>
  <c r="AO1433" i="1"/>
  <c r="AN1433" i="1"/>
  <c r="AM1433" i="1"/>
  <c r="AQ1432" i="1"/>
  <c r="AO1432" i="1"/>
  <c r="AN1432" i="1"/>
  <c r="AM1432" i="1"/>
  <c r="AQ1431" i="1"/>
  <c r="AO1431" i="1"/>
  <c r="AN1431" i="1"/>
  <c r="AM1431" i="1"/>
  <c r="AQ1430" i="1"/>
  <c r="AO1430" i="1"/>
  <c r="AN1430" i="1"/>
  <c r="AM1430" i="1"/>
  <c r="AQ1429" i="1"/>
  <c r="AO1429" i="1"/>
  <c r="AN1429" i="1"/>
  <c r="AM1429" i="1"/>
  <c r="AQ1428" i="1"/>
  <c r="AO1428" i="1"/>
  <c r="AN1428" i="1"/>
  <c r="AM1428" i="1"/>
  <c r="AQ1427" i="1"/>
  <c r="AO1427" i="1"/>
  <c r="AN1427" i="1"/>
  <c r="AM1427" i="1"/>
  <c r="AQ1426" i="1"/>
  <c r="AO1426" i="1"/>
  <c r="AN1426" i="1"/>
  <c r="AM1426" i="1"/>
  <c r="AQ1425" i="1"/>
  <c r="AO1425" i="1"/>
  <c r="AN1425" i="1"/>
  <c r="AM1425" i="1"/>
  <c r="AQ1424" i="1"/>
  <c r="AO1424" i="1"/>
  <c r="AN1424" i="1"/>
  <c r="AM1424" i="1"/>
  <c r="AQ1423" i="1"/>
  <c r="AO1423" i="1"/>
  <c r="AN1423" i="1"/>
  <c r="AM1423" i="1"/>
  <c r="AQ1422" i="1"/>
  <c r="AO1422" i="1"/>
  <c r="AN1422" i="1"/>
  <c r="AM1422" i="1"/>
  <c r="AQ1421" i="1"/>
  <c r="AO1421" i="1"/>
  <c r="AN1421" i="1"/>
  <c r="AM1421" i="1"/>
  <c r="AQ1420" i="1"/>
  <c r="AO1420" i="1"/>
  <c r="AN1420" i="1"/>
  <c r="AM1420" i="1"/>
  <c r="AQ1419" i="1"/>
  <c r="AO1419" i="1"/>
  <c r="AN1419" i="1"/>
  <c r="AM1419" i="1"/>
  <c r="AQ1418" i="1"/>
  <c r="AO1418" i="1"/>
  <c r="AN1418" i="1"/>
  <c r="AM1418" i="1"/>
  <c r="AQ1417" i="1"/>
  <c r="AO1417" i="1"/>
  <c r="AN1417" i="1"/>
  <c r="AM1417" i="1"/>
  <c r="AQ1416" i="1"/>
  <c r="AO1416" i="1"/>
  <c r="AN1416" i="1"/>
  <c r="AM1416" i="1"/>
  <c r="AQ1415" i="1"/>
  <c r="AO1415" i="1"/>
  <c r="AN1415" i="1"/>
  <c r="AM1415" i="1"/>
  <c r="AQ1414" i="1"/>
  <c r="AO1414" i="1"/>
  <c r="AN1414" i="1"/>
  <c r="AM1414" i="1"/>
  <c r="AQ1413" i="1"/>
  <c r="AO1413" i="1"/>
  <c r="AN1413" i="1"/>
  <c r="AM1413" i="1"/>
  <c r="AQ1412" i="1"/>
  <c r="AO1412" i="1"/>
  <c r="AN1412" i="1"/>
  <c r="AM1412" i="1"/>
  <c r="AQ1411" i="1"/>
  <c r="AO1411" i="1"/>
  <c r="AN1411" i="1"/>
  <c r="AM1411" i="1"/>
  <c r="AQ1410" i="1"/>
  <c r="AO1410" i="1"/>
  <c r="AN1410" i="1"/>
  <c r="AM1410" i="1"/>
  <c r="AQ1409" i="1"/>
  <c r="AO1409" i="1"/>
  <c r="AN1409" i="1"/>
  <c r="AM1409" i="1"/>
  <c r="AQ1408" i="1"/>
  <c r="AO1408" i="1"/>
  <c r="AN1408" i="1"/>
  <c r="AM1408" i="1"/>
  <c r="AQ1407" i="1"/>
  <c r="AO1407" i="1"/>
  <c r="AN1407" i="1"/>
  <c r="AM1407" i="1"/>
  <c r="AQ1406" i="1"/>
  <c r="AO1406" i="1"/>
  <c r="AN1406" i="1"/>
  <c r="AM1406" i="1"/>
  <c r="AQ1405" i="1"/>
  <c r="AO1405" i="1"/>
  <c r="AN1405" i="1"/>
  <c r="AM1405" i="1"/>
  <c r="AQ1404" i="1"/>
  <c r="AO1404" i="1"/>
  <c r="AN1404" i="1"/>
  <c r="AM1404" i="1"/>
  <c r="AQ1403" i="1"/>
  <c r="AO1403" i="1"/>
  <c r="AN1403" i="1"/>
  <c r="AM1403" i="1"/>
  <c r="AQ1402" i="1"/>
  <c r="AO1402" i="1"/>
  <c r="AN1402" i="1"/>
  <c r="AM1402" i="1"/>
  <c r="AQ1401" i="1"/>
  <c r="AO1401" i="1"/>
  <c r="AN1401" i="1"/>
  <c r="AM1401" i="1"/>
  <c r="AQ1400" i="1"/>
  <c r="AO1400" i="1"/>
  <c r="AN1400" i="1"/>
  <c r="AM1400" i="1"/>
  <c r="AQ1399" i="1"/>
  <c r="AO1399" i="1"/>
  <c r="AN1399" i="1"/>
  <c r="AM1399" i="1"/>
  <c r="AQ1398" i="1"/>
  <c r="AO1398" i="1"/>
  <c r="AN1398" i="1"/>
  <c r="AM1398" i="1"/>
  <c r="AQ1397" i="1"/>
  <c r="AO1397" i="1"/>
  <c r="AN1397" i="1"/>
  <c r="AM1397" i="1"/>
  <c r="AQ1396" i="1"/>
  <c r="AO1396" i="1"/>
  <c r="AN1396" i="1"/>
  <c r="AM1396" i="1"/>
  <c r="AQ1395" i="1"/>
  <c r="AO1395" i="1"/>
  <c r="AN1395" i="1"/>
  <c r="AM1395" i="1"/>
  <c r="AQ1394" i="1"/>
  <c r="AO1394" i="1"/>
  <c r="AN1394" i="1"/>
  <c r="AM1394" i="1"/>
  <c r="AQ1393" i="1"/>
  <c r="AO1393" i="1"/>
  <c r="AN1393" i="1"/>
  <c r="AM1393" i="1"/>
  <c r="AQ1392" i="1"/>
  <c r="AO1392" i="1"/>
  <c r="AN1392" i="1"/>
  <c r="AM1392" i="1"/>
  <c r="AQ1391" i="1"/>
  <c r="AO1391" i="1"/>
  <c r="AN1391" i="1"/>
  <c r="AM1391" i="1"/>
  <c r="AQ1390" i="1"/>
  <c r="AO1390" i="1"/>
  <c r="AN1390" i="1"/>
  <c r="AM1390" i="1"/>
  <c r="AQ1389" i="1"/>
  <c r="AO1389" i="1"/>
  <c r="AN1389" i="1"/>
  <c r="AM1389" i="1"/>
  <c r="AQ1388" i="1"/>
  <c r="AO1388" i="1"/>
  <c r="AN1388" i="1"/>
  <c r="AM1388" i="1"/>
  <c r="AQ1387" i="1"/>
  <c r="AO1387" i="1"/>
  <c r="AN1387" i="1"/>
  <c r="AM1387" i="1"/>
  <c r="AQ1386" i="1"/>
  <c r="AO1386" i="1"/>
  <c r="AN1386" i="1"/>
  <c r="AM1386" i="1"/>
  <c r="AQ1385" i="1"/>
  <c r="AO1385" i="1"/>
  <c r="AN1385" i="1"/>
  <c r="AM1385" i="1"/>
  <c r="AQ1384" i="1"/>
  <c r="AO1384" i="1"/>
  <c r="AN1384" i="1"/>
  <c r="AM1384" i="1"/>
  <c r="AQ1383" i="1"/>
  <c r="AO1383" i="1"/>
  <c r="AN1383" i="1"/>
  <c r="AM1383" i="1"/>
  <c r="AQ1382" i="1"/>
  <c r="AO1382" i="1"/>
  <c r="AN1382" i="1"/>
  <c r="AM1382" i="1"/>
  <c r="AQ1381" i="1"/>
  <c r="AO1381" i="1"/>
  <c r="AN1381" i="1"/>
  <c r="AM1381" i="1"/>
  <c r="AQ1380" i="1"/>
  <c r="AO1380" i="1"/>
  <c r="AN1380" i="1"/>
  <c r="AM1380" i="1"/>
  <c r="AQ1379" i="1"/>
  <c r="AO1379" i="1"/>
  <c r="AN1379" i="1"/>
  <c r="AM1379" i="1"/>
  <c r="AQ1378" i="1"/>
  <c r="AO1378" i="1"/>
  <c r="AN1378" i="1"/>
  <c r="AM1378" i="1"/>
  <c r="AQ1377" i="1"/>
  <c r="AO1377" i="1"/>
  <c r="AN1377" i="1"/>
  <c r="AM1377" i="1"/>
  <c r="AQ1376" i="1"/>
  <c r="AO1376" i="1"/>
  <c r="AN1376" i="1"/>
  <c r="AM1376" i="1"/>
  <c r="AQ1375" i="1"/>
  <c r="AO1375" i="1"/>
  <c r="AN1375" i="1"/>
  <c r="AM1375" i="1"/>
  <c r="AQ1374" i="1"/>
  <c r="AO1374" i="1"/>
  <c r="AN1374" i="1"/>
  <c r="AM1374" i="1"/>
  <c r="AQ1373" i="1"/>
  <c r="AO1373" i="1"/>
  <c r="AN1373" i="1"/>
  <c r="AM1373" i="1"/>
  <c r="AQ1372" i="1"/>
  <c r="AO1372" i="1"/>
  <c r="AN1372" i="1"/>
  <c r="AM1372" i="1"/>
  <c r="AQ1371" i="1"/>
  <c r="AO1371" i="1"/>
  <c r="AN1371" i="1"/>
  <c r="AM1371" i="1"/>
  <c r="AQ1370" i="1"/>
  <c r="AO1370" i="1"/>
  <c r="AN1370" i="1"/>
  <c r="AM1370" i="1"/>
  <c r="AQ1369" i="1"/>
  <c r="AO1369" i="1"/>
  <c r="AN1369" i="1"/>
  <c r="AM1369" i="1"/>
  <c r="AQ1368" i="1"/>
  <c r="AO1368" i="1"/>
  <c r="AN1368" i="1"/>
  <c r="AM1368" i="1"/>
  <c r="AQ1367" i="1"/>
  <c r="AO1367" i="1"/>
  <c r="AN1367" i="1"/>
  <c r="AM1367" i="1"/>
  <c r="AQ1366" i="1"/>
  <c r="AO1366" i="1"/>
  <c r="AN1366" i="1"/>
  <c r="AM1366" i="1"/>
  <c r="AQ1365" i="1"/>
  <c r="AO1365" i="1"/>
  <c r="AN1365" i="1"/>
  <c r="AM1365" i="1"/>
  <c r="AQ1364" i="1"/>
  <c r="AO1364" i="1"/>
  <c r="AN1364" i="1"/>
  <c r="AM1364" i="1"/>
  <c r="AQ1363" i="1"/>
  <c r="AO1363" i="1"/>
  <c r="AN1363" i="1"/>
  <c r="AM1363" i="1"/>
  <c r="AQ1362" i="1"/>
  <c r="AO1362" i="1"/>
  <c r="AN1362" i="1"/>
  <c r="AM1362" i="1"/>
  <c r="AQ1361" i="1"/>
  <c r="AO1361" i="1"/>
  <c r="AN1361" i="1"/>
  <c r="AM1361" i="1"/>
  <c r="AQ1360" i="1"/>
  <c r="AO1360" i="1"/>
  <c r="AN1360" i="1"/>
  <c r="AM1360" i="1"/>
  <c r="AQ1359" i="1"/>
  <c r="AO1359" i="1"/>
  <c r="AN1359" i="1"/>
  <c r="AM1359" i="1"/>
  <c r="AQ1358" i="1"/>
  <c r="AO1358" i="1"/>
  <c r="AN1358" i="1"/>
  <c r="AM1358" i="1"/>
  <c r="AQ1357" i="1"/>
  <c r="AO1357" i="1"/>
  <c r="AN1357" i="1"/>
  <c r="AM1357" i="1"/>
  <c r="AQ1356" i="1"/>
  <c r="AO1356" i="1"/>
  <c r="AN1356" i="1"/>
  <c r="AM1356" i="1"/>
  <c r="AQ1355" i="1"/>
  <c r="AO1355" i="1"/>
  <c r="AN1355" i="1"/>
  <c r="AM1355" i="1"/>
  <c r="AQ1354" i="1"/>
  <c r="AO1354" i="1"/>
  <c r="AN1354" i="1"/>
  <c r="AM1354" i="1"/>
  <c r="AQ1353" i="1"/>
  <c r="AO1353" i="1"/>
  <c r="AN1353" i="1"/>
  <c r="AM1353" i="1"/>
  <c r="AQ1352" i="1"/>
  <c r="AO1352" i="1"/>
  <c r="AN1352" i="1"/>
  <c r="AM1352" i="1"/>
  <c r="AQ1351" i="1"/>
  <c r="AO1351" i="1"/>
  <c r="AN1351" i="1"/>
  <c r="AM1351" i="1"/>
  <c r="AQ1350" i="1"/>
  <c r="AO1350" i="1"/>
  <c r="AN1350" i="1"/>
  <c r="AM1350" i="1"/>
  <c r="AQ1349" i="1"/>
  <c r="AO1349" i="1"/>
  <c r="AN1349" i="1"/>
  <c r="AM1349" i="1"/>
  <c r="AQ1348" i="1"/>
  <c r="AO1348" i="1"/>
  <c r="AN1348" i="1"/>
  <c r="AM1348" i="1"/>
  <c r="AQ1347" i="1"/>
  <c r="AO1347" i="1"/>
  <c r="AN1347" i="1"/>
  <c r="AM1347" i="1"/>
  <c r="AQ1346" i="1"/>
  <c r="AO1346" i="1"/>
  <c r="AN1346" i="1"/>
  <c r="AM1346" i="1"/>
  <c r="AQ1345" i="1"/>
  <c r="AO1345" i="1"/>
  <c r="AN1345" i="1"/>
  <c r="AM1345" i="1"/>
  <c r="AQ1344" i="1"/>
  <c r="AO1344" i="1"/>
  <c r="AN1344" i="1"/>
  <c r="AM1344" i="1"/>
  <c r="AQ1343" i="1"/>
  <c r="AO1343" i="1"/>
  <c r="AN1343" i="1"/>
  <c r="AM1343" i="1"/>
  <c r="AQ1342" i="1"/>
  <c r="AO1342" i="1"/>
  <c r="AN1342" i="1"/>
  <c r="AM1342" i="1"/>
  <c r="AQ1341" i="1"/>
  <c r="AO1341" i="1"/>
  <c r="AN1341" i="1"/>
  <c r="AM1341" i="1"/>
  <c r="AQ1340" i="1"/>
  <c r="AO1340" i="1"/>
  <c r="AN1340" i="1"/>
  <c r="AM1340" i="1"/>
  <c r="AQ1339" i="1"/>
  <c r="AO1339" i="1"/>
  <c r="AN1339" i="1"/>
  <c r="AM1339" i="1"/>
  <c r="AQ1338" i="1"/>
  <c r="AO1338" i="1"/>
  <c r="AN1338" i="1"/>
  <c r="AM1338" i="1"/>
  <c r="AQ1337" i="1"/>
  <c r="AO1337" i="1"/>
  <c r="AN1337" i="1"/>
  <c r="AM1337" i="1"/>
  <c r="AQ1336" i="1"/>
  <c r="AO1336" i="1"/>
  <c r="AN1336" i="1"/>
  <c r="AM1336" i="1"/>
  <c r="AQ1335" i="1"/>
  <c r="AO1335" i="1"/>
  <c r="AN1335" i="1"/>
  <c r="AM1335" i="1"/>
  <c r="AQ1334" i="1"/>
  <c r="AO1334" i="1"/>
  <c r="AN1334" i="1"/>
  <c r="AM1334" i="1"/>
  <c r="AQ1333" i="1"/>
  <c r="AO1333" i="1"/>
  <c r="AN1333" i="1"/>
  <c r="AM1333" i="1"/>
  <c r="AQ1332" i="1"/>
  <c r="AO1332" i="1"/>
  <c r="AN1332" i="1"/>
  <c r="AM1332" i="1"/>
  <c r="AQ1331" i="1"/>
  <c r="AO1331" i="1"/>
  <c r="AN1331" i="1"/>
  <c r="AM1331" i="1"/>
  <c r="AQ1330" i="1"/>
  <c r="AO1330" i="1"/>
  <c r="AN1330" i="1"/>
  <c r="AM1330" i="1"/>
  <c r="AQ1329" i="1"/>
  <c r="AO1329" i="1"/>
  <c r="AN1329" i="1"/>
  <c r="AM1329" i="1"/>
  <c r="AQ1328" i="1"/>
  <c r="AO1328" i="1"/>
  <c r="AN1328" i="1"/>
  <c r="AM1328" i="1"/>
  <c r="AQ1327" i="1"/>
  <c r="AO1327" i="1"/>
  <c r="AN1327" i="1"/>
  <c r="AM1327" i="1"/>
  <c r="AQ1326" i="1"/>
  <c r="AO1326" i="1"/>
  <c r="AN1326" i="1"/>
  <c r="AM1326" i="1"/>
  <c r="AQ1325" i="1"/>
  <c r="AO1325" i="1"/>
  <c r="AN1325" i="1"/>
  <c r="AM1325" i="1"/>
  <c r="AQ1324" i="1"/>
  <c r="AO1324" i="1"/>
  <c r="AN1324" i="1"/>
  <c r="AM1324" i="1"/>
  <c r="AQ1323" i="1"/>
  <c r="AO1323" i="1"/>
  <c r="AN1323" i="1"/>
  <c r="AM1323" i="1"/>
  <c r="AQ1322" i="1"/>
  <c r="AO1322" i="1"/>
  <c r="AN1322" i="1"/>
  <c r="AM1322" i="1"/>
  <c r="AQ1321" i="1"/>
  <c r="AO1321" i="1"/>
  <c r="AN1321" i="1"/>
  <c r="AM1321" i="1"/>
  <c r="AQ1320" i="1"/>
  <c r="AO1320" i="1"/>
  <c r="AN1320" i="1"/>
  <c r="AM1320" i="1"/>
  <c r="AQ1319" i="1"/>
  <c r="AO1319" i="1"/>
  <c r="AN1319" i="1"/>
  <c r="AM1319" i="1"/>
  <c r="AQ1318" i="1"/>
  <c r="AO1318" i="1"/>
  <c r="AN1318" i="1"/>
  <c r="AM1318" i="1"/>
  <c r="AQ1317" i="1"/>
  <c r="AO1317" i="1"/>
  <c r="AN1317" i="1"/>
  <c r="AM1317" i="1"/>
  <c r="AQ1316" i="1"/>
  <c r="AO1316" i="1"/>
  <c r="AN1316" i="1"/>
  <c r="AM1316" i="1"/>
  <c r="AQ1315" i="1"/>
  <c r="AO1315" i="1"/>
  <c r="AN1315" i="1"/>
  <c r="AM1315" i="1"/>
  <c r="AQ1314" i="1"/>
  <c r="AO1314" i="1"/>
  <c r="AN1314" i="1"/>
  <c r="AM1314" i="1"/>
  <c r="AQ1313" i="1"/>
  <c r="AO1313" i="1"/>
  <c r="AN1313" i="1"/>
  <c r="AM1313" i="1"/>
  <c r="AQ1312" i="1"/>
  <c r="AO1312" i="1"/>
  <c r="AN1312" i="1"/>
  <c r="AM1312" i="1"/>
  <c r="AQ1311" i="1"/>
  <c r="AO1311" i="1"/>
  <c r="AN1311" i="1"/>
  <c r="AM1311" i="1"/>
  <c r="AQ1310" i="1"/>
  <c r="AO1310" i="1"/>
  <c r="AN1310" i="1"/>
  <c r="AM1310" i="1"/>
  <c r="AQ1309" i="1"/>
  <c r="AO1309" i="1"/>
  <c r="AN1309" i="1"/>
  <c r="AM1309" i="1"/>
  <c r="AQ1308" i="1"/>
  <c r="AO1308" i="1"/>
  <c r="AN1308" i="1"/>
  <c r="AM1308" i="1"/>
  <c r="AQ1307" i="1"/>
  <c r="AO1307" i="1"/>
  <c r="AN1307" i="1"/>
  <c r="AM1307" i="1"/>
  <c r="AQ1306" i="1"/>
  <c r="AO1306" i="1"/>
  <c r="AN1306" i="1"/>
  <c r="AM1306" i="1"/>
  <c r="AQ1305" i="1"/>
  <c r="AO1305" i="1"/>
  <c r="AN1305" i="1"/>
  <c r="AM1305" i="1"/>
  <c r="AQ1304" i="1"/>
  <c r="AO1304" i="1"/>
  <c r="AN1304" i="1"/>
  <c r="AM1304" i="1"/>
  <c r="AQ1303" i="1"/>
  <c r="AO1303" i="1"/>
  <c r="AN1303" i="1"/>
  <c r="AM1303" i="1"/>
  <c r="AQ1302" i="1"/>
  <c r="AO1302" i="1"/>
  <c r="AN1302" i="1"/>
  <c r="AM1302" i="1"/>
  <c r="AQ1301" i="1"/>
  <c r="AO1301" i="1"/>
  <c r="AN1301" i="1"/>
  <c r="AM1301" i="1"/>
  <c r="AQ1300" i="1"/>
  <c r="AO1300" i="1"/>
  <c r="AN1300" i="1"/>
  <c r="AM1300" i="1"/>
  <c r="AQ1299" i="1"/>
  <c r="AO1299" i="1"/>
  <c r="AN1299" i="1"/>
  <c r="AM1299" i="1"/>
  <c r="AQ1298" i="1"/>
  <c r="AO1298" i="1"/>
  <c r="AN1298" i="1"/>
  <c r="AM1298" i="1"/>
  <c r="AQ1297" i="1"/>
  <c r="AO1297" i="1"/>
  <c r="AN1297" i="1"/>
  <c r="AM1297" i="1"/>
  <c r="AQ1296" i="1"/>
  <c r="AO1296" i="1"/>
  <c r="AN1296" i="1"/>
  <c r="AM1296" i="1"/>
  <c r="AQ1295" i="1"/>
  <c r="AO1295" i="1"/>
  <c r="AN1295" i="1"/>
  <c r="AM1295" i="1"/>
  <c r="AQ1294" i="1"/>
  <c r="AO1294" i="1"/>
  <c r="AN1294" i="1"/>
  <c r="AM1294" i="1"/>
  <c r="AQ1293" i="1"/>
  <c r="AO1293" i="1"/>
  <c r="AN1293" i="1"/>
  <c r="AM1293" i="1"/>
  <c r="AQ1292" i="1"/>
  <c r="AO1292" i="1"/>
  <c r="AN1292" i="1"/>
  <c r="AM1292" i="1"/>
  <c r="AQ1291" i="1"/>
  <c r="AO1291" i="1"/>
  <c r="AN1291" i="1"/>
  <c r="AM1291" i="1"/>
  <c r="AQ1290" i="1"/>
  <c r="AO1290" i="1"/>
  <c r="AN1290" i="1"/>
  <c r="AM1290" i="1"/>
  <c r="AQ1289" i="1"/>
  <c r="AO1289" i="1"/>
  <c r="AN1289" i="1"/>
  <c r="AM1289" i="1"/>
  <c r="AQ1288" i="1"/>
  <c r="AO1288" i="1"/>
  <c r="AN1288" i="1"/>
  <c r="AM1288" i="1"/>
  <c r="AQ1287" i="1"/>
  <c r="AO1287" i="1"/>
  <c r="AN1287" i="1"/>
  <c r="AM1287" i="1"/>
  <c r="AQ1286" i="1"/>
  <c r="AO1286" i="1"/>
  <c r="AN1286" i="1"/>
  <c r="AM1286" i="1"/>
  <c r="AQ1285" i="1"/>
  <c r="AO1285" i="1"/>
  <c r="AN1285" i="1"/>
  <c r="AM1285" i="1"/>
  <c r="AQ1284" i="1"/>
  <c r="AO1284" i="1"/>
  <c r="AN1284" i="1"/>
  <c r="AM1284" i="1"/>
  <c r="AQ1283" i="1"/>
  <c r="AO1283" i="1"/>
  <c r="AN1283" i="1"/>
  <c r="AM1283" i="1"/>
  <c r="AQ1282" i="1"/>
  <c r="AO1282" i="1"/>
  <c r="AN1282" i="1"/>
  <c r="AM1282" i="1"/>
  <c r="AQ1281" i="1"/>
  <c r="AO1281" i="1"/>
  <c r="AN1281" i="1"/>
  <c r="AM1281" i="1"/>
  <c r="AQ1280" i="1"/>
  <c r="AO1280" i="1"/>
  <c r="AN1280" i="1"/>
  <c r="AM1280" i="1"/>
  <c r="AQ1279" i="1"/>
  <c r="AO1279" i="1"/>
  <c r="AN1279" i="1"/>
  <c r="AM1279" i="1"/>
  <c r="AQ1278" i="1"/>
  <c r="AO1278" i="1"/>
  <c r="AN1278" i="1"/>
  <c r="AM1278" i="1"/>
  <c r="AQ1277" i="1"/>
  <c r="AO1277" i="1"/>
  <c r="AN1277" i="1"/>
  <c r="AM1277" i="1"/>
  <c r="AQ1276" i="1"/>
  <c r="AO1276" i="1"/>
  <c r="AN1276" i="1"/>
  <c r="AM1276" i="1"/>
  <c r="AQ1275" i="1"/>
  <c r="AO1275" i="1"/>
  <c r="AN1275" i="1"/>
  <c r="AM1275" i="1"/>
  <c r="AQ1274" i="1"/>
  <c r="AO1274" i="1"/>
  <c r="AN1274" i="1"/>
  <c r="AM1274" i="1"/>
  <c r="AQ1273" i="1"/>
  <c r="AO1273" i="1"/>
  <c r="AN1273" i="1"/>
  <c r="AM1273" i="1"/>
  <c r="AQ1272" i="1"/>
  <c r="AO1272" i="1"/>
  <c r="AN1272" i="1"/>
  <c r="AM1272" i="1"/>
  <c r="AQ1271" i="1"/>
  <c r="AO1271" i="1"/>
  <c r="AN1271" i="1"/>
  <c r="AM1271" i="1"/>
  <c r="AQ1270" i="1"/>
  <c r="AO1270" i="1"/>
  <c r="AN1270" i="1"/>
  <c r="AM1270" i="1"/>
  <c r="AQ1269" i="1"/>
  <c r="AO1269" i="1"/>
  <c r="AN1269" i="1"/>
  <c r="AM1269" i="1"/>
  <c r="AQ1268" i="1"/>
  <c r="AO1268" i="1"/>
  <c r="AN1268" i="1"/>
  <c r="AM1268" i="1"/>
  <c r="AQ1267" i="1"/>
  <c r="AO1267" i="1"/>
  <c r="AN1267" i="1"/>
  <c r="AM1267" i="1"/>
  <c r="AQ1266" i="1"/>
  <c r="AO1266" i="1"/>
  <c r="AN1266" i="1"/>
  <c r="AM1266" i="1"/>
  <c r="AQ1265" i="1"/>
  <c r="AO1265" i="1"/>
  <c r="AN1265" i="1"/>
  <c r="AM1265" i="1"/>
  <c r="AQ1264" i="1"/>
  <c r="AO1264" i="1"/>
  <c r="AN1264" i="1"/>
  <c r="AM1264" i="1"/>
  <c r="AQ1263" i="1"/>
  <c r="AO1263" i="1"/>
  <c r="AN1263" i="1"/>
  <c r="AM1263" i="1"/>
  <c r="AQ1262" i="1"/>
  <c r="AO1262" i="1"/>
  <c r="AN1262" i="1"/>
  <c r="AM1262" i="1"/>
  <c r="AQ1261" i="1"/>
  <c r="AO1261" i="1"/>
  <c r="AN1261" i="1"/>
  <c r="AM1261" i="1"/>
  <c r="AQ1260" i="1"/>
  <c r="AO1260" i="1"/>
  <c r="AN1260" i="1"/>
  <c r="AM1260" i="1"/>
  <c r="AQ1259" i="1"/>
  <c r="AO1259" i="1"/>
  <c r="AN1259" i="1"/>
  <c r="AM1259" i="1"/>
  <c r="AQ1258" i="1"/>
  <c r="AO1258" i="1"/>
  <c r="AN1258" i="1"/>
  <c r="AM1258" i="1"/>
  <c r="AQ1257" i="1"/>
  <c r="AO1257" i="1"/>
  <c r="AN1257" i="1"/>
  <c r="AM1257" i="1"/>
  <c r="AQ1256" i="1"/>
  <c r="AO1256" i="1"/>
  <c r="AN1256" i="1"/>
  <c r="AM1256" i="1"/>
  <c r="AQ1255" i="1"/>
  <c r="AO1255" i="1"/>
  <c r="AN1255" i="1"/>
  <c r="AM1255" i="1"/>
  <c r="AQ1254" i="1"/>
  <c r="AO1254" i="1"/>
  <c r="AN1254" i="1"/>
  <c r="AM1254" i="1"/>
  <c r="AQ1253" i="1"/>
  <c r="AO1253" i="1"/>
  <c r="AN1253" i="1"/>
  <c r="AM1253" i="1"/>
  <c r="AQ1252" i="1"/>
  <c r="AO1252" i="1"/>
  <c r="AN1252" i="1"/>
  <c r="AM1252" i="1"/>
  <c r="AQ1251" i="1"/>
  <c r="AO1251" i="1"/>
  <c r="AN1251" i="1"/>
  <c r="AM1251" i="1"/>
  <c r="AQ1250" i="1"/>
  <c r="AO1250" i="1"/>
  <c r="AN1250" i="1"/>
  <c r="AM1250" i="1"/>
  <c r="AQ1249" i="1"/>
  <c r="AO1249" i="1"/>
  <c r="AN1249" i="1"/>
  <c r="AM1249" i="1"/>
  <c r="AQ1248" i="1"/>
  <c r="AO1248" i="1"/>
  <c r="AN1248" i="1"/>
  <c r="AM1248" i="1"/>
  <c r="AQ1247" i="1"/>
  <c r="AO1247" i="1"/>
  <c r="AN1247" i="1"/>
  <c r="AM1247" i="1"/>
  <c r="AQ1246" i="1"/>
  <c r="AO1246" i="1"/>
  <c r="AN1246" i="1"/>
  <c r="AM1246" i="1"/>
  <c r="AQ1245" i="1"/>
  <c r="AO1245" i="1"/>
  <c r="AN1245" i="1"/>
  <c r="AM1245" i="1"/>
  <c r="AQ1244" i="1"/>
  <c r="AO1244" i="1"/>
  <c r="AN1244" i="1"/>
  <c r="AM1244" i="1"/>
  <c r="AQ1243" i="1"/>
  <c r="AO1243" i="1"/>
  <c r="AN1243" i="1"/>
  <c r="AM1243" i="1"/>
  <c r="AQ1242" i="1"/>
  <c r="AO1242" i="1"/>
  <c r="AN1242" i="1"/>
  <c r="AM1242" i="1"/>
  <c r="AQ1241" i="1"/>
  <c r="AO1241" i="1"/>
  <c r="AN1241" i="1"/>
  <c r="AM1241" i="1"/>
  <c r="AQ1240" i="1"/>
  <c r="AO1240" i="1"/>
  <c r="AN1240" i="1"/>
  <c r="AM1240" i="1"/>
  <c r="AQ1239" i="1"/>
  <c r="AO1239" i="1"/>
  <c r="AN1239" i="1"/>
  <c r="AM1239" i="1"/>
  <c r="AQ1238" i="1"/>
  <c r="AO1238" i="1"/>
  <c r="AN1238" i="1"/>
  <c r="AM1238" i="1"/>
  <c r="AQ1237" i="1"/>
  <c r="AO1237" i="1"/>
  <c r="AN1237" i="1"/>
  <c r="AM1237" i="1"/>
  <c r="AQ1236" i="1"/>
  <c r="AO1236" i="1"/>
  <c r="AN1236" i="1"/>
  <c r="AM1236" i="1"/>
  <c r="AQ1235" i="1"/>
  <c r="AO1235" i="1"/>
  <c r="AN1235" i="1"/>
  <c r="AM1235" i="1"/>
  <c r="AQ1234" i="1"/>
  <c r="AO1234" i="1"/>
  <c r="AN1234" i="1"/>
  <c r="AM1234" i="1"/>
  <c r="AQ1233" i="1"/>
  <c r="AO1233" i="1"/>
  <c r="AN1233" i="1"/>
  <c r="AM1233" i="1"/>
  <c r="AQ1232" i="1"/>
  <c r="AO1232" i="1"/>
  <c r="AN1232" i="1"/>
  <c r="AM1232" i="1"/>
  <c r="AQ1231" i="1"/>
  <c r="AO1231" i="1"/>
  <c r="AN1231" i="1"/>
  <c r="AM1231" i="1"/>
  <c r="AQ1230" i="1"/>
  <c r="AO1230" i="1"/>
  <c r="AN1230" i="1"/>
  <c r="AM1230" i="1"/>
  <c r="AQ1229" i="1"/>
  <c r="AO1229" i="1"/>
  <c r="AN1229" i="1"/>
  <c r="AM1229" i="1"/>
  <c r="AQ1228" i="1"/>
  <c r="AO1228" i="1"/>
  <c r="AN1228" i="1"/>
  <c r="AM1228" i="1"/>
  <c r="AQ1227" i="1"/>
  <c r="AO1227" i="1"/>
  <c r="AN1227" i="1"/>
  <c r="AM1227" i="1"/>
  <c r="AQ1226" i="1"/>
  <c r="AO1226" i="1"/>
  <c r="AN1226" i="1"/>
  <c r="AM1226" i="1"/>
  <c r="AQ1225" i="1"/>
  <c r="AO1225" i="1"/>
  <c r="AN1225" i="1"/>
  <c r="AM1225" i="1"/>
  <c r="AQ1224" i="1"/>
  <c r="AO1224" i="1"/>
  <c r="AN1224" i="1"/>
  <c r="AM1224" i="1"/>
  <c r="AQ1223" i="1"/>
  <c r="AO1223" i="1"/>
  <c r="AN1223" i="1"/>
  <c r="AM1223" i="1"/>
  <c r="AQ1222" i="1"/>
  <c r="AO1222" i="1"/>
  <c r="AN1222" i="1"/>
  <c r="AM1222" i="1"/>
  <c r="AQ1221" i="1"/>
  <c r="AO1221" i="1"/>
  <c r="AN1221" i="1"/>
  <c r="AM1221" i="1"/>
  <c r="AQ1220" i="1"/>
  <c r="AO1220" i="1"/>
  <c r="AN1220" i="1"/>
  <c r="AM1220" i="1"/>
  <c r="AQ1219" i="1"/>
  <c r="AO1219" i="1"/>
  <c r="AN1219" i="1"/>
  <c r="AM1219" i="1"/>
  <c r="AQ1218" i="1"/>
  <c r="AO1218" i="1"/>
  <c r="AN1218" i="1"/>
  <c r="AM1218" i="1"/>
  <c r="AQ1217" i="1"/>
  <c r="AO1217" i="1"/>
  <c r="AN1217" i="1"/>
  <c r="AM1217" i="1"/>
  <c r="AQ1216" i="1"/>
  <c r="AO1216" i="1"/>
  <c r="AN1216" i="1"/>
  <c r="AM1216" i="1"/>
  <c r="AQ1215" i="1"/>
  <c r="AO1215" i="1"/>
  <c r="AN1215" i="1"/>
  <c r="AM1215" i="1"/>
  <c r="AQ1214" i="1"/>
  <c r="AO1214" i="1"/>
  <c r="AN1214" i="1"/>
  <c r="AM1214" i="1"/>
  <c r="AQ1213" i="1"/>
  <c r="AO1213" i="1"/>
  <c r="AN1213" i="1"/>
  <c r="AM1213" i="1"/>
  <c r="AQ1212" i="1"/>
  <c r="AO1212" i="1"/>
  <c r="AN1212" i="1"/>
  <c r="AM1212" i="1"/>
  <c r="AQ1211" i="1"/>
  <c r="AO1211" i="1"/>
  <c r="AN1211" i="1"/>
  <c r="AM1211" i="1"/>
  <c r="AQ1210" i="1"/>
  <c r="AO1210" i="1"/>
  <c r="AN1210" i="1"/>
  <c r="AM1210" i="1"/>
  <c r="AQ1209" i="1"/>
  <c r="AO1209" i="1"/>
  <c r="AN1209" i="1"/>
  <c r="AM1209" i="1"/>
  <c r="AQ1208" i="1"/>
  <c r="AO1208" i="1"/>
  <c r="AN1208" i="1"/>
  <c r="AM1208" i="1"/>
  <c r="AQ1207" i="1"/>
  <c r="AO1207" i="1"/>
  <c r="AN1207" i="1"/>
  <c r="AM1207" i="1"/>
  <c r="AQ1206" i="1"/>
  <c r="AO1206" i="1"/>
  <c r="AN1206" i="1"/>
  <c r="AM1206" i="1"/>
  <c r="AQ1205" i="1"/>
  <c r="AO1205" i="1"/>
  <c r="AN1205" i="1"/>
  <c r="AM1205" i="1"/>
  <c r="AQ1204" i="1"/>
  <c r="AO1204" i="1"/>
  <c r="AN1204" i="1"/>
  <c r="AM1204" i="1"/>
  <c r="AQ1203" i="1"/>
  <c r="AO1203" i="1"/>
  <c r="AN1203" i="1"/>
  <c r="AM1203" i="1"/>
  <c r="AQ1202" i="1"/>
  <c r="AO1202" i="1"/>
  <c r="AN1202" i="1"/>
  <c r="AM1202" i="1"/>
  <c r="AQ1201" i="1"/>
  <c r="AO1201" i="1"/>
  <c r="AN1201" i="1"/>
  <c r="AM1201" i="1"/>
  <c r="AQ1200" i="1"/>
  <c r="AO1200" i="1"/>
  <c r="AN1200" i="1"/>
  <c r="AM1200" i="1"/>
  <c r="AQ1199" i="1"/>
  <c r="AO1199" i="1"/>
  <c r="AN1199" i="1"/>
  <c r="AM1199" i="1"/>
  <c r="AQ1198" i="1"/>
  <c r="AO1198" i="1"/>
  <c r="AN1198" i="1"/>
  <c r="AM1198" i="1"/>
  <c r="AQ1197" i="1"/>
  <c r="AO1197" i="1"/>
  <c r="AN1197" i="1"/>
  <c r="AM1197" i="1"/>
  <c r="AQ1196" i="1"/>
  <c r="AO1196" i="1"/>
  <c r="AN1196" i="1"/>
  <c r="AM1196" i="1"/>
  <c r="AQ1195" i="1"/>
  <c r="AO1195" i="1"/>
  <c r="AN1195" i="1"/>
  <c r="AM1195" i="1"/>
  <c r="AQ1194" i="1"/>
  <c r="AO1194" i="1"/>
  <c r="AN1194" i="1"/>
  <c r="AM1194" i="1"/>
  <c r="AQ1193" i="1"/>
  <c r="AO1193" i="1"/>
  <c r="AN1193" i="1"/>
  <c r="AM1193" i="1"/>
  <c r="AQ1192" i="1"/>
  <c r="AO1192" i="1"/>
  <c r="AN1192" i="1"/>
  <c r="AM1192" i="1"/>
  <c r="AQ1191" i="1"/>
  <c r="AO1191" i="1"/>
  <c r="AN1191" i="1"/>
  <c r="AM1191" i="1"/>
  <c r="AQ1190" i="1"/>
  <c r="AO1190" i="1"/>
  <c r="AN1190" i="1"/>
  <c r="AM1190" i="1"/>
  <c r="AQ1189" i="1"/>
  <c r="AO1189" i="1"/>
  <c r="AN1189" i="1"/>
  <c r="AM1189" i="1"/>
  <c r="AQ1188" i="1"/>
  <c r="AO1188" i="1"/>
  <c r="AN1188" i="1"/>
  <c r="AM1188" i="1"/>
  <c r="AQ1187" i="1"/>
  <c r="AO1187" i="1"/>
  <c r="AN1187" i="1"/>
  <c r="AM1187" i="1"/>
  <c r="AQ1186" i="1"/>
  <c r="AO1186" i="1"/>
  <c r="AN1186" i="1"/>
  <c r="AM1186" i="1"/>
  <c r="AQ1185" i="1"/>
  <c r="AO1185" i="1"/>
  <c r="AN1185" i="1"/>
  <c r="AM1185" i="1"/>
  <c r="AQ1184" i="1"/>
  <c r="AO1184" i="1"/>
  <c r="AN1184" i="1"/>
  <c r="AM1184" i="1"/>
  <c r="AQ1183" i="1"/>
  <c r="AO1183" i="1"/>
  <c r="AN1183" i="1"/>
  <c r="AM1183" i="1"/>
  <c r="AQ1182" i="1"/>
  <c r="AO1182" i="1"/>
  <c r="AN1182" i="1"/>
  <c r="AM1182" i="1"/>
  <c r="AQ1181" i="1"/>
  <c r="AO1181" i="1"/>
  <c r="AN1181" i="1"/>
  <c r="AM1181" i="1"/>
  <c r="AQ1180" i="1"/>
  <c r="AO1180" i="1"/>
  <c r="AN1180" i="1"/>
  <c r="AM1180" i="1"/>
  <c r="AQ1179" i="1"/>
  <c r="AO1179" i="1"/>
  <c r="AN1179" i="1"/>
  <c r="AM1179" i="1"/>
  <c r="AQ1178" i="1"/>
  <c r="AO1178" i="1"/>
  <c r="AN1178" i="1"/>
  <c r="AM1178" i="1"/>
  <c r="AQ1177" i="1"/>
  <c r="AO1177" i="1"/>
  <c r="AN1177" i="1"/>
  <c r="AM1177" i="1"/>
  <c r="AQ1176" i="1"/>
  <c r="AO1176" i="1"/>
  <c r="AN1176" i="1"/>
  <c r="AM1176" i="1"/>
  <c r="AQ1175" i="1"/>
  <c r="AO1175" i="1"/>
  <c r="AN1175" i="1"/>
  <c r="AM1175" i="1"/>
  <c r="AQ1174" i="1"/>
  <c r="AO1174" i="1"/>
  <c r="AN1174" i="1"/>
  <c r="AM1174" i="1"/>
  <c r="AQ1173" i="1"/>
  <c r="AO1173" i="1"/>
  <c r="AN1173" i="1"/>
  <c r="AM1173" i="1"/>
  <c r="AQ1172" i="1"/>
  <c r="AO1172" i="1"/>
  <c r="AN1172" i="1"/>
  <c r="AM1172" i="1"/>
  <c r="AQ1171" i="1"/>
  <c r="AO1171" i="1"/>
  <c r="AN1171" i="1"/>
  <c r="AM1171" i="1"/>
  <c r="AQ1170" i="1"/>
  <c r="AO1170" i="1"/>
  <c r="AN1170" i="1"/>
  <c r="AM1170" i="1"/>
  <c r="AQ1169" i="1"/>
  <c r="AO1169" i="1"/>
  <c r="AN1169" i="1"/>
  <c r="AM1169" i="1"/>
  <c r="AQ1168" i="1"/>
  <c r="AO1168" i="1"/>
  <c r="AN1168" i="1"/>
  <c r="AM1168" i="1"/>
  <c r="AQ1167" i="1"/>
  <c r="AO1167" i="1"/>
  <c r="AN1167" i="1"/>
  <c r="AM1167" i="1"/>
  <c r="AQ1166" i="1"/>
  <c r="AO1166" i="1"/>
  <c r="AN1166" i="1"/>
  <c r="AM1166" i="1"/>
  <c r="AQ1165" i="1"/>
  <c r="AO1165" i="1"/>
  <c r="AN1165" i="1"/>
  <c r="AM1165" i="1"/>
  <c r="AQ1164" i="1"/>
  <c r="AO1164" i="1"/>
  <c r="AN1164" i="1"/>
  <c r="AM1164" i="1"/>
  <c r="AQ1163" i="1"/>
  <c r="AO1163" i="1"/>
  <c r="AN1163" i="1"/>
  <c r="AM1163" i="1"/>
  <c r="AQ1162" i="1"/>
  <c r="AO1162" i="1"/>
  <c r="AN1162" i="1"/>
  <c r="AM1162" i="1"/>
  <c r="AQ1161" i="1"/>
  <c r="AO1161" i="1"/>
  <c r="AN1161" i="1"/>
  <c r="AM1161" i="1"/>
  <c r="AQ1160" i="1"/>
  <c r="AO1160" i="1"/>
  <c r="AN1160" i="1"/>
  <c r="AM1160" i="1"/>
  <c r="AQ1159" i="1"/>
  <c r="AO1159" i="1"/>
  <c r="AN1159" i="1"/>
  <c r="AM1159" i="1"/>
  <c r="AQ1158" i="1"/>
  <c r="AO1158" i="1"/>
  <c r="AN1158" i="1"/>
  <c r="AM1158" i="1"/>
  <c r="AQ1157" i="1"/>
  <c r="AO1157" i="1"/>
  <c r="AN1157" i="1"/>
  <c r="AM1157" i="1"/>
  <c r="AQ1156" i="1"/>
  <c r="AO1156" i="1"/>
  <c r="AN1156" i="1"/>
  <c r="AM1156" i="1"/>
  <c r="AQ1155" i="1"/>
  <c r="AO1155" i="1"/>
  <c r="AN1155" i="1"/>
  <c r="AM1155" i="1"/>
  <c r="AQ1154" i="1"/>
  <c r="AO1154" i="1"/>
  <c r="AN1154" i="1"/>
  <c r="AM1154" i="1"/>
  <c r="AQ1153" i="1"/>
  <c r="AO1153" i="1"/>
  <c r="AN1153" i="1"/>
  <c r="AM1153" i="1"/>
  <c r="AQ1152" i="1"/>
  <c r="AO1152" i="1"/>
  <c r="AN1152" i="1"/>
  <c r="AM1152" i="1"/>
  <c r="AQ1151" i="1"/>
  <c r="AO1151" i="1"/>
  <c r="AN1151" i="1"/>
  <c r="AM1151" i="1"/>
  <c r="AQ1150" i="1"/>
  <c r="AO1150" i="1"/>
  <c r="AN1150" i="1"/>
  <c r="AM1150" i="1"/>
  <c r="AQ1149" i="1"/>
  <c r="AO1149" i="1"/>
  <c r="AN1149" i="1"/>
  <c r="AM1149" i="1"/>
  <c r="AQ1148" i="1"/>
  <c r="AO1148" i="1"/>
  <c r="AN1148" i="1"/>
  <c r="AM1148" i="1"/>
  <c r="AQ1147" i="1"/>
  <c r="AO1147" i="1"/>
  <c r="AN1147" i="1"/>
  <c r="AM1147" i="1"/>
  <c r="AQ1146" i="1"/>
  <c r="AO1146" i="1"/>
  <c r="AN1146" i="1"/>
  <c r="AM1146" i="1"/>
  <c r="AQ1145" i="1"/>
  <c r="AO1145" i="1"/>
  <c r="AN1145" i="1"/>
  <c r="AM1145" i="1"/>
  <c r="AQ1144" i="1"/>
  <c r="AO1144" i="1"/>
  <c r="AN1144" i="1"/>
  <c r="AM1144" i="1"/>
  <c r="AQ1143" i="1"/>
  <c r="AO1143" i="1"/>
  <c r="AN1143" i="1"/>
  <c r="AM1143" i="1"/>
  <c r="AQ1142" i="1"/>
  <c r="AO1142" i="1"/>
  <c r="AN1142" i="1"/>
  <c r="AM1142" i="1"/>
  <c r="AQ1141" i="1"/>
  <c r="AO1141" i="1"/>
  <c r="AN1141" i="1"/>
  <c r="AM1141" i="1"/>
  <c r="AQ1140" i="1"/>
  <c r="AO1140" i="1"/>
  <c r="AN1140" i="1"/>
  <c r="AM1140" i="1"/>
  <c r="AQ1139" i="1"/>
  <c r="AO1139" i="1"/>
  <c r="AN1139" i="1"/>
  <c r="AM1139" i="1"/>
  <c r="AQ1138" i="1"/>
  <c r="AO1138" i="1"/>
  <c r="AN1138" i="1"/>
  <c r="AM1138" i="1"/>
  <c r="AQ1137" i="1"/>
  <c r="AO1137" i="1"/>
  <c r="AN1137" i="1"/>
  <c r="AM1137" i="1"/>
  <c r="AQ1136" i="1"/>
  <c r="AO1136" i="1"/>
  <c r="AN1136" i="1"/>
  <c r="AM1136" i="1"/>
  <c r="AQ1135" i="1"/>
  <c r="AO1135" i="1"/>
  <c r="AN1135" i="1"/>
  <c r="AM1135" i="1"/>
  <c r="AQ1134" i="1"/>
  <c r="AO1134" i="1"/>
  <c r="AN1134" i="1"/>
  <c r="AM1134" i="1"/>
  <c r="AQ1133" i="1"/>
  <c r="AO1133" i="1"/>
  <c r="AN1133" i="1"/>
  <c r="AM1133" i="1"/>
  <c r="AQ1132" i="1"/>
  <c r="AO1132" i="1"/>
  <c r="AN1132" i="1"/>
  <c r="AM1132" i="1"/>
  <c r="AQ1131" i="1"/>
  <c r="AO1131" i="1"/>
  <c r="AN1131" i="1"/>
  <c r="AM1131" i="1"/>
  <c r="AQ1130" i="1"/>
  <c r="AO1130" i="1"/>
  <c r="AN1130" i="1"/>
  <c r="AM1130" i="1"/>
  <c r="AQ1129" i="1"/>
  <c r="AO1129" i="1"/>
  <c r="AN1129" i="1"/>
  <c r="AM1129" i="1"/>
  <c r="AQ1128" i="1"/>
  <c r="AO1128" i="1"/>
  <c r="AN1128" i="1"/>
  <c r="AM1128" i="1"/>
  <c r="AQ1127" i="1"/>
  <c r="AO1127" i="1"/>
  <c r="AN1127" i="1"/>
  <c r="AM1127" i="1"/>
  <c r="AQ1126" i="1"/>
  <c r="AO1126" i="1"/>
  <c r="AN1126" i="1"/>
  <c r="AM1126" i="1"/>
  <c r="AQ1125" i="1"/>
  <c r="AO1125" i="1"/>
  <c r="AN1125" i="1"/>
  <c r="AM1125" i="1"/>
  <c r="AQ1124" i="1"/>
  <c r="AO1124" i="1"/>
  <c r="AN1124" i="1"/>
  <c r="AM1124" i="1"/>
  <c r="AQ1123" i="1"/>
  <c r="AO1123" i="1"/>
  <c r="AN1123" i="1"/>
  <c r="AM1123" i="1"/>
  <c r="AQ1122" i="1"/>
  <c r="AO1122" i="1"/>
  <c r="AN1122" i="1"/>
  <c r="AM1122" i="1"/>
  <c r="AQ1121" i="1"/>
  <c r="AO1121" i="1"/>
  <c r="AN1121" i="1"/>
  <c r="AM1121" i="1"/>
  <c r="AQ1120" i="1"/>
  <c r="AO1120" i="1"/>
  <c r="AN1120" i="1"/>
  <c r="AM1120" i="1"/>
  <c r="AQ1119" i="1"/>
  <c r="AO1119" i="1"/>
  <c r="AN1119" i="1"/>
  <c r="AM1119" i="1"/>
  <c r="AQ1118" i="1"/>
  <c r="AO1118" i="1"/>
  <c r="AN1118" i="1"/>
  <c r="AM1118" i="1"/>
  <c r="AQ1117" i="1"/>
  <c r="AO1117" i="1"/>
  <c r="AN1117" i="1"/>
  <c r="AM1117" i="1"/>
  <c r="AQ1116" i="1"/>
  <c r="AO1116" i="1"/>
  <c r="AN1116" i="1"/>
  <c r="AM1116" i="1"/>
  <c r="AQ1115" i="1"/>
  <c r="AO1115" i="1"/>
  <c r="AN1115" i="1"/>
  <c r="AM1115" i="1"/>
  <c r="AQ1114" i="1"/>
  <c r="AO1114" i="1"/>
  <c r="AN1114" i="1"/>
  <c r="AM1114" i="1"/>
  <c r="AQ1113" i="1"/>
  <c r="AO1113" i="1"/>
  <c r="AN1113" i="1"/>
  <c r="AM1113" i="1"/>
  <c r="AQ1112" i="1"/>
  <c r="AO1112" i="1"/>
  <c r="AN1112" i="1"/>
  <c r="AM1112" i="1"/>
  <c r="AQ1111" i="1"/>
  <c r="AO1111" i="1"/>
  <c r="AN1111" i="1"/>
  <c r="AM1111" i="1"/>
  <c r="AQ1110" i="1"/>
  <c r="AO1110" i="1"/>
  <c r="AN1110" i="1"/>
  <c r="AM1110" i="1"/>
  <c r="AQ1109" i="1"/>
  <c r="AO1109" i="1"/>
  <c r="AN1109" i="1"/>
  <c r="AM1109" i="1"/>
  <c r="AQ1108" i="1"/>
  <c r="AO1108" i="1"/>
  <c r="AN1108" i="1"/>
  <c r="AM1108" i="1"/>
  <c r="AQ1107" i="1"/>
  <c r="AO1107" i="1"/>
  <c r="AN1107" i="1"/>
  <c r="AM1107" i="1"/>
  <c r="AQ1106" i="1"/>
  <c r="AO1106" i="1"/>
  <c r="AN1106" i="1"/>
  <c r="AM1106" i="1"/>
  <c r="AQ1105" i="1"/>
  <c r="AO1105" i="1"/>
  <c r="AN1105" i="1"/>
  <c r="AM1105" i="1"/>
  <c r="AQ1104" i="1"/>
  <c r="AO1104" i="1"/>
  <c r="AN1104" i="1"/>
  <c r="AM1104" i="1"/>
  <c r="AQ1103" i="1"/>
  <c r="AO1103" i="1"/>
  <c r="AN1103" i="1"/>
  <c r="AM1103" i="1"/>
  <c r="AQ1102" i="1"/>
  <c r="AO1102" i="1"/>
  <c r="AN1102" i="1"/>
  <c r="AM1102" i="1"/>
  <c r="AQ1101" i="1"/>
  <c r="AO1101" i="1"/>
  <c r="AN1101" i="1"/>
  <c r="AM1101" i="1"/>
  <c r="AQ1100" i="1"/>
  <c r="AO1100" i="1"/>
  <c r="AN1100" i="1"/>
  <c r="AM1100" i="1"/>
  <c r="AQ1099" i="1"/>
  <c r="AO1099" i="1"/>
  <c r="AN1099" i="1"/>
  <c r="AM1099" i="1"/>
  <c r="AQ1098" i="1"/>
  <c r="AO1098" i="1"/>
  <c r="AN1098" i="1"/>
  <c r="AM1098" i="1"/>
  <c r="AQ1097" i="1"/>
  <c r="AO1097" i="1"/>
  <c r="AN1097" i="1"/>
  <c r="AM1097" i="1"/>
  <c r="AQ1096" i="1"/>
  <c r="AO1096" i="1"/>
  <c r="AN1096" i="1"/>
  <c r="AM1096" i="1"/>
  <c r="AQ1095" i="1"/>
  <c r="AO1095" i="1"/>
  <c r="AN1095" i="1"/>
  <c r="AM1095" i="1"/>
  <c r="AQ1094" i="1"/>
  <c r="AO1094" i="1"/>
  <c r="AN1094" i="1"/>
  <c r="AM1094" i="1"/>
  <c r="AQ1093" i="1"/>
  <c r="AO1093" i="1"/>
  <c r="AN1093" i="1"/>
  <c r="AM1093" i="1"/>
  <c r="AQ1092" i="1"/>
  <c r="AO1092" i="1"/>
  <c r="AN1092" i="1"/>
  <c r="AM1092" i="1"/>
  <c r="AQ1091" i="1"/>
  <c r="AO1091" i="1"/>
  <c r="AN1091" i="1"/>
  <c r="AM1091" i="1"/>
  <c r="AQ1090" i="1"/>
  <c r="AO1090" i="1"/>
  <c r="AN1090" i="1"/>
  <c r="AM1090" i="1"/>
  <c r="AQ1089" i="1"/>
  <c r="AO1089" i="1"/>
  <c r="AN1089" i="1"/>
  <c r="AM1089" i="1"/>
  <c r="AQ1088" i="1"/>
  <c r="AO1088" i="1"/>
  <c r="AN1088" i="1"/>
  <c r="AM1088" i="1"/>
  <c r="AQ1087" i="1"/>
  <c r="AO1087" i="1"/>
  <c r="AN1087" i="1"/>
  <c r="AM1087" i="1"/>
  <c r="AQ1086" i="1"/>
  <c r="AO1086" i="1"/>
  <c r="AN1086" i="1"/>
  <c r="AM1086" i="1"/>
  <c r="AQ1085" i="1"/>
  <c r="AO1085" i="1"/>
  <c r="AN1085" i="1"/>
  <c r="AM1085" i="1"/>
  <c r="AQ1084" i="1"/>
  <c r="AO1084" i="1"/>
  <c r="AN1084" i="1"/>
  <c r="AM1084" i="1"/>
  <c r="AQ1083" i="1"/>
  <c r="AO1083" i="1"/>
  <c r="AN1083" i="1"/>
  <c r="AM1083" i="1"/>
  <c r="AQ1082" i="1"/>
  <c r="AO1082" i="1"/>
  <c r="AN1082" i="1"/>
  <c r="AM1082" i="1"/>
  <c r="AQ1081" i="1"/>
  <c r="AO1081" i="1"/>
  <c r="AN1081" i="1"/>
  <c r="AM1081" i="1"/>
  <c r="AQ1080" i="1"/>
  <c r="AO1080" i="1"/>
  <c r="AN1080" i="1"/>
  <c r="AM1080" i="1"/>
  <c r="AQ1079" i="1"/>
  <c r="AO1079" i="1"/>
  <c r="AN1079" i="1"/>
  <c r="AM1079" i="1"/>
  <c r="AQ1078" i="1"/>
  <c r="AO1078" i="1"/>
  <c r="AN1078" i="1"/>
  <c r="AM1078" i="1"/>
  <c r="AQ1077" i="1"/>
  <c r="AO1077" i="1"/>
  <c r="AN1077" i="1"/>
  <c r="AM1077" i="1"/>
  <c r="AQ1076" i="1"/>
  <c r="AO1076" i="1"/>
  <c r="AN1076" i="1"/>
  <c r="AM1076" i="1"/>
  <c r="AQ1075" i="1"/>
  <c r="AO1075" i="1"/>
  <c r="AN1075" i="1"/>
  <c r="AM1075" i="1"/>
  <c r="AQ1074" i="1"/>
  <c r="AO1074" i="1"/>
  <c r="AN1074" i="1"/>
  <c r="AM1074" i="1"/>
  <c r="AQ1073" i="1"/>
  <c r="AO1073" i="1"/>
  <c r="AN1073" i="1"/>
  <c r="AM1073" i="1"/>
  <c r="AQ1072" i="1"/>
  <c r="AO1072" i="1"/>
  <c r="AN1072" i="1"/>
  <c r="AM1072" i="1"/>
  <c r="AQ1071" i="1"/>
  <c r="AO1071" i="1"/>
  <c r="AN1071" i="1"/>
  <c r="AM1071" i="1"/>
  <c r="AQ1070" i="1"/>
  <c r="AO1070" i="1"/>
  <c r="AN1070" i="1"/>
  <c r="AM1070" i="1"/>
  <c r="AQ1069" i="1"/>
  <c r="AO1069" i="1"/>
  <c r="AN1069" i="1"/>
  <c r="AM1069" i="1"/>
  <c r="AQ1068" i="1"/>
  <c r="AO1068" i="1"/>
  <c r="AN1068" i="1"/>
  <c r="AM1068" i="1"/>
  <c r="AQ1067" i="1"/>
  <c r="AO1067" i="1"/>
  <c r="AN1067" i="1"/>
  <c r="AM1067" i="1"/>
  <c r="AQ1066" i="1"/>
  <c r="AO1066" i="1"/>
  <c r="AN1066" i="1"/>
  <c r="AM1066" i="1"/>
  <c r="AQ1065" i="1"/>
  <c r="AO1065" i="1"/>
  <c r="AN1065" i="1"/>
  <c r="AM1065" i="1"/>
  <c r="AQ1064" i="1"/>
  <c r="AO1064" i="1"/>
  <c r="AN1064" i="1"/>
  <c r="AM1064" i="1"/>
  <c r="AQ1063" i="1"/>
  <c r="AO1063" i="1"/>
  <c r="AN1063" i="1"/>
  <c r="AM1063" i="1"/>
  <c r="AQ1062" i="1"/>
  <c r="AO1062" i="1"/>
  <c r="AN1062" i="1"/>
  <c r="AM1062" i="1"/>
  <c r="AQ1061" i="1"/>
  <c r="AO1061" i="1"/>
  <c r="AN1061" i="1"/>
  <c r="AM1061" i="1"/>
  <c r="AQ1060" i="1"/>
  <c r="AO1060" i="1"/>
  <c r="AN1060" i="1"/>
  <c r="AM1060" i="1"/>
  <c r="AQ1059" i="1"/>
  <c r="AO1059" i="1"/>
  <c r="AN1059" i="1"/>
  <c r="AM1059" i="1"/>
  <c r="AQ1058" i="1"/>
  <c r="AO1058" i="1"/>
  <c r="AN1058" i="1"/>
  <c r="AM1058" i="1"/>
  <c r="AQ1057" i="1"/>
  <c r="AO1057" i="1"/>
  <c r="AN1057" i="1"/>
  <c r="AM1057" i="1"/>
  <c r="AQ1056" i="1"/>
  <c r="AO1056" i="1"/>
  <c r="AN1056" i="1"/>
  <c r="AM1056" i="1"/>
  <c r="AQ1055" i="1"/>
  <c r="AO1055" i="1"/>
  <c r="AN1055" i="1"/>
  <c r="AM1055" i="1"/>
  <c r="AQ1054" i="1"/>
  <c r="AO1054" i="1"/>
  <c r="AN1054" i="1"/>
  <c r="AM1054" i="1"/>
  <c r="AQ1053" i="1"/>
  <c r="AO1053" i="1"/>
  <c r="AN1053" i="1"/>
  <c r="AM1053" i="1"/>
  <c r="AQ1052" i="1"/>
  <c r="AO1052" i="1"/>
  <c r="AN1052" i="1"/>
  <c r="AM1052" i="1"/>
  <c r="AQ1051" i="1"/>
  <c r="AO1051" i="1"/>
  <c r="AN1051" i="1"/>
  <c r="AM1051" i="1"/>
  <c r="AQ1050" i="1"/>
  <c r="AO1050" i="1"/>
  <c r="AN1050" i="1"/>
  <c r="AM1050" i="1"/>
  <c r="AQ1049" i="1"/>
  <c r="AO1049" i="1"/>
  <c r="AN1049" i="1"/>
  <c r="AM1049" i="1"/>
  <c r="AQ1048" i="1"/>
  <c r="AO1048" i="1"/>
  <c r="AN1048" i="1"/>
  <c r="AM1048" i="1"/>
  <c r="AQ1047" i="1"/>
  <c r="AO1047" i="1"/>
  <c r="AN1047" i="1"/>
  <c r="AM1047" i="1"/>
  <c r="AQ1046" i="1"/>
  <c r="AO1046" i="1"/>
  <c r="AN1046" i="1"/>
  <c r="AM1046" i="1"/>
  <c r="AQ1045" i="1"/>
  <c r="AO1045" i="1"/>
  <c r="AN1045" i="1"/>
  <c r="AM1045" i="1"/>
  <c r="AQ1044" i="1"/>
  <c r="AO1044" i="1"/>
  <c r="AN1044" i="1"/>
  <c r="AM1044" i="1"/>
  <c r="AQ1043" i="1"/>
  <c r="AO1043" i="1"/>
  <c r="AN1043" i="1"/>
  <c r="AM1043" i="1"/>
  <c r="AQ1042" i="1"/>
  <c r="AO1042" i="1"/>
  <c r="AN1042" i="1"/>
  <c r="AM1042" i="1"/>
  <c r="AQ1041" i="1"/>
  <c r="AO1041" i="1"/>
  <c r="AN1041" i="1"/>
  <c r="AM1041" i="1"/>
  <c r="AQ1040" i="1"/>
  <c r="AO1040" i="1"/>
  <c r="AN1040" i="1"/>
  <c r="AM1040" i="1"/>
  <c r="AQ1039" i="1"/>
  <c r="AO1039" i="1"/>
  <c r="AN1039" i="1"/>
  <c r="AM1039" i="1"/>
  <c r="AQ1038" i="1"/>
  <c r="AO1038" i="1"/>
  <c r="AN1038" i="1"/>
  <c r="AM1038" i="1"/>
  <c r="AQ1037" i="1"/>
  <c r="AO1037" i="1"/>
  <c r="AN1037" i="1"/>
  <c r="AM1037" i="1"/>
  <c r="AQ1036" i="1"/>
  <c r="AO1036" i="1"/>
  <c r="AN1036" i="1"/>
  <c r="AM1036" i="1"/>
  <c r="AQ1035" i="1"/>
  <c r="AO1035" i="1"/>
  <c r="AN1035" i="1"/>
  <c r="AM1035" i="1"/>
  <c r="AQ1034" i="1"/>
  <c r="AO1034" i="1"/>
  <c r="AN1034" i="1"/>
  <c r="AM1034" i="1"/>
  <c r="AQ1033" i="1"/>
  <c r="AO1033" i="1"/>
  <c r="AN1033" i="1"/>
  <c r="AM1033" i="1"/>
  <c r="AQ1032" i="1"/>
  <c r="AO1032" i="1"/>
  <c r="AN1032" i="1"/>
  <c r="AM1032" i="1"/>
  <c r="AQ1031" i="1"/>
  <c r="AO1031" i="1"/>
  <c r="AN1031" i="1"/>
  <c r="AM1031" i="1"/>
  <c r="AQ1030" i="1"/>
  <c r="AO1030" i="1"/>
  <c r="AN1030" i="1"/>
  <c r="AM1030" i="1"/>
  <c r="AQ1029" i="1"/>
  <c r="AO1029" i="1"/>
  <c r="AN1029" i="1"/>
  <c r="AM1029" i="1"/>
  <c r="AQ1028" i="1"/>
  <c r="AO1028" i="1"/>
  <c r="AN1028" i="1"/>
  <c r="AM1028" i="1"/>
  <c r="AQ1027" i="1"/>
  <c r="AO1027" i="1"/>
  <c r="AN1027" i="1"/>
  <c r="AM1027" i="1"/>
  <c r="AQ1026" i="1"/>
  <c r="AO1026" i="1"/>
  <c r="AN1026" i="1"/>
  <c r="AM1026" i="1"/>
  <c r="AQ1025" i="1"/>
  <c r="AO1025" i="1"/>
  <c r="AN1025" i="1"/>
  <c r="AM1025" i="1"/>
  <c r="AQ1024" i="1"/>
  <c r="AO1024" i="1"/>
  <c r="AN1024" i="1"/>
  <c r="AM1024" i="1"/>
  <c r="AQ1023" i="1"/>
  <c r="AO1023" i="1"/>
  <c r="AN1023" i="1"/>
  <c r="AM1023" i="1"/>
  <c r="AQ1022" i="1"/>
  <c r="AO1022" i="1"/>
  <c r="AN1022" i="1"/>
  <c r="AM1022" i="1"/>
  <c r="AQ1021" i="1"/>
  <c r="AO1021" i="1"/>
  <c r="AN1021" i="1"/>
  <c r="AM1021" i="1"/>
  <c r="AQ1020" i="1"/>
  <c r="AO1020" i="1"/>
  <c r="AN1020" i="1"/>
  <c r="AM1020" i="1"/>
  <c r="AQ1019" i="1"/>
  <c r="AO1019" i="1"/>
  <c r="AN1019" i="1"/>
  <c r="AM1019" i="1"/>
  <c r="AQ1018" i="1"/>
  <c r="AO1018" i="1"/>
  <c r="AN1018" i="1"/>
  <c r="AM1018" i="1"/>
  <c r="AQ1017" i="1"/>
  <c r="AO1017" i="1"/>
  <c r="AN1017" i="1"/>
  <c r="AM1017" i="1"/>
  <c r="AQ1016" i="1"/>
  <c r="AO1016" i="1"/>
  <c r="AN1016" i="1"/>
  <c r="AM1016" i="1"/>
  <c r="AQ1015" i="1"/>
  <c r="AO1015" i="1"/>
  <c r="AN1015" i="1"/>
  <c r="AM1015" i="1"/>
  <c r="AQ1014" i="1"/>
  <c r="AO1014" i="1"/>
  <c r="AN1014" i="1"/>
  <c r="AM1014" i="1"/>
  <c r="AQ1013" i="1"/>
  <c r="AO1013" i="1"/>
  <c r="AN1013" i="1"/>
  <c r="AM1013" i="1"/>
  <c r="AQ1012" i="1"/>
  <c r="AO1012" i="1"/>
  <c r="AN1012" i="1"/>
  <c r="AM1012" i="1"/>
  <c r="AQ1011" i="1"/>
  <c r="AO1011" i="1"/>
  <c r="AN1011" i="1"/>
  <c r="AM1011" i="1"/>
  <c r="AQ1010" i="1"/>
  <c r="AO1010" i="1"/>
  <c r="AN1010" i="1"/>
  <c r="AM1010" i="1"/>
  <c r="AQ1009" i="1"/>
  <c r="AO1009" i="1"/>
  <c r="AN1009" i="1"/>
  <c r="AM1009" i="1"/>
  <c r="AQ1008" i="1"/>
  <c r="AO1008" i="1"/>
  <c r="AN1008" i="1"/>
  <c r="AM1008" i="1"/>
  <c r="AQ1007" i="1"/>
  <c r="AO1007" i="1"/>
  <c r="AN1007" i="1"/>
  <c r="AM1007" i="1"/>
  <c r="AQ1006" i="1"/>
  <c r="AO1006" i="1"/>
  <c r="AN1006" i="1"/>
  <c r="AM1006" i="1"/>
  <c r="AQ1005" i="1"/>
  <c r="AO1005" i="1"/>
  <c r="AN1005" i="1"/>
  <c r="AM1005" i="1"/>
  <c r="AQ1004" i="1"/>
  <c r="AO1004" i="1"/>
  <c r="AN1004" i="1"/>
  <c r="AM1004" i="1"/>
  <c r="AQ1003" i="1"/>
  <c r="AO1003" i="1"/>
  <c r="AN1003" i="1"/>
  <c r="AM1003" i="1"/>
  <c r="AQ1002" i="1"/>
  <c r="AO1002" i="1"/>
  <c r="AN1002" i="1"/>
  <c r="AM1002" i="1"/>
  <c r="AQ1001" i="1"/>
  <c r="AO1001" i="1"/>
  <c r="AN1001" i="1"/>
  <c r="AM1001" i="1"/>
  <c r="AQ1000" i="1"/>
  <c r="AO1000" i="1"/>
  <c r="AN1000" i="1"/>
  <c r="AM1000" i="1"/>
  <c r="AQ999" i="1"/>
  <c r="AO999" i="1"/>
  <c r="AN999" i="1"/>
  <c r="AM999" i="1"/>
  <c r="AQ998" i="1"/>
  <c r="AO998" i="1"/>
  <c r="AN998" i="1"/>
  <c r="AM998" i="1"/>
  <c r="AQ997" i="1"/>
  <c r="AO997" i="1"/>
  <c r="AN997" i="1"/>
  <c r="AM997" i="1"/>
  <c r="AQ996" i="1"/>
  <c r="AO996" i="1"/>
  <c r="AN996" i="1"/>
  <c r="AM996" i="1"/>
  <c r="AQ995" i="1"/>
  <c r="AO995" i="1"/>
  <c r="AN995" i="1"/>
  <c r="AM995" i="1"/>
  <c r="AQ994" i="1"/>
  <c r="AO994" i="1"/>
  <c r="AN994" i="1"/>
  <c r="AM994" i="1"/>
  <c r="AQ993" i="1"/>
  <c r="AO993" i="1"/>
  <c r="AN993" i="1"/>
  <c r="AM993" i="1"/>
  <c r="AQ992" i="1"/>
  <c r="AO992" i="1"/>
  <c r="AN992" i="1"/>
  <c r="AM992" i="1"/>
  <c r="AQ991" i="1"/>
  <c r="AO991" i="1"/>
  <c r="AN991" i="1"/>
  <c r="AM991" i="1"/>
  <c r="AQ990" i="1"/>
  <c r="AO990" i="1"/>
  <c r="AN990" i="1"/>
  <c r="AM990" i="1"/>
  <c r="AQ989" i="1"/>
  <c r="AO989" i="1"/>
  <c r="AN989" i="1"/>
  <c r="AM989" i="1"/>
  <c r="AQ988" i="1"/>
  <c r="AO988" i="1"/>
  <c r="AN988" i="1"/>
  <c r="AM988" i="1"/>
  <c r="AQ987" i="1"/>
  <c r="AO987" i="1"/>
  <c r="AN987" i="1"/>
  <c r="AM987" i="1"/>
  <c r="AQ986" i="1"/>
  <c r="AO986" i="1"/>
  <c r="AN986" i="1"/>
  <c r="AM986" i="1"/>
  <c r="AQ985" i="1"/>
  <c r="AO985" i="1"/>
  <c r="AN985" i="1"/>
  <c r="AM985" i="1"/>
  <c r="AQ984" i="1"/>
  <c r="AO984" i="1"/>
  <c r="AN984" i="1"/>
  <c r="AM984" i="1"/>
  <c r="AQ983" i="1"/>
  <c r="AO983" i="1"/>
  <c r="AN983" i="1"/>
  <c r="AM983" i="1"/>
  <c r="AQ982" i="1"/>
  <c r="AO982" i="1"/>
  <c r="AN982" i="1"/>
  <c r="AM982" i="1"/>
  <c r="AQ981" i="1"/>
  <c r="AO981" i="1"/>
  <c r="AN981" i="1"/>
  <c r="AM981" i="1"/>
  <c r="AQ980" i="1"/>
  <c r="AO980" i="1"/>
  <c r="AN980" i="1"/>
  <c r="AM980" i="1"/>
  <c r="AQ979" i="1"/>
  <c r="AO979" i="1"/>
  <c r="AN979" i="1"/>
  <c r="AM979" i="1"/>
  <c r="AQ978" i="1"/>
  <c r="AO978" i="1"/>
  <c r="AN978" i="1"/>
  <c r="AM978" i="1"/>
  <c r="AQ977" i="1"/>
  <c r="AO977" i="1"/>
  <c r="AN977" i="1"/>
  <c r="AM977" i="1"/>
  <c r="AQ976" i="1"/>
  <c r="AO976" i="1"/>
  <c r="AN976" i="1"/>
  <c r="AM976" i="1"/>
  <c r="AQ975" i="1"/>
  <c r="AO975" i="1"/>
  <c r="AN975" i="1"/>
  <c r="AM975" i="1"/>
  <c r="AQ974" i="1"/>
  <c r="AO974" i="1"/>
  <c r="AN974" i="1"/>
  <c r="AM974" i="1"/>
  <c r="AQ973" i="1"/>
  <c r="AO973" i="1"/>
  <c r="AN973" i="1"/>
  <c r="AM973" i="1"/>
  <c r="AQ972" i="1"/>
  <c r="AO972" i="1"/>
  <c r="AN972" i="1"/>
  <c r="AM972" i="1"/>
  <c r="AQ971" i="1"/>
  <c r="AO971" i="1"/>
  <c r="AN971" i="1"/>
  <c r="AM971" i="1"/>
  <c r="AQ970" i="1"/>
  <c r="AO970" i="1"/>
  <c r="AN970" i="1"/>
  <c r="AM970" i="1"/>
  <c r="AQ969" i="1"/>
  <c r="AO969" i="1"/>
  <c r="AN969" i="1"/>
  <c r="AM969" i="1"/>
  <c r="AQ968" i="1"/>
  <c r="AO968" i="1"/>
  <c r="AN968" i="1"/>
  <c r="AM968" i="1"/>
  <c r="AQ967" i="1"/>
  <c r="AO967" i="1"/>
  <c r="AN967" i="1"/>
  <c r="AM967" i="1"/>
  <c r="AQ966" i="1"/>
  <c r="AO966" i="1"/>
  <c r="AN966" i="1"/>
  <c r="AM966" i="1"/>
  <c r="AQ965" i="1"/>
  <c r="AO965" i="1"/>
  <c r="AN965" i="1"/>
  <c r="AM965" i="1"/>
  <c r="AQ964" i="1"/>
  <c r="AO964" i="1"/>
  <c r="AN964" i="1"/>
  <c r="AM964" i="1"/>
  <c r="AQ963" i="1"/>
  <c r="AO963" i="1"/>
  <c r="AN963" i="1"/>
  <c r="AM963" i="1"/>
  <c r="AQ962" i="1"/>
  <c r="AO962" i="1"/>
  <c r="AN962" i="1"/>
  <c r="AM962" i="1"/>
  <c r="AQ961" i="1"/>
  <c r="AO961" i="1"/>
  <c r="AN961" i="1"/>
  <c r="AM961" i="1"/>
  <c r="AQ960" i="1"/>
  <c r="AO960" i="1"/>
  <c r="AN960" i="1"/>
  <c r="AM960" i="1"/>
  <c r="AQ959" i="1"/>
  <c r="AO959" i="1"/>
  <c r="AN959" i="1"/>
  <c r="AM959" i="1"/>
  <c r="AQ958" i="1"/>
  <c r="AO958" i="1"/>
  <c r="AN958" i="1"/>
  <c r="AM958" i="1"/>
  <c r="AQ957" i="1"/>
  <c r="AO957" i="1"/>
  <c r="AN957" i="1"/>
  <c r="AM957" i="1"/>
  <c r="AQ956" i="1"/>
  <c r="AO956" i="1"/>
  <c r="AN956" i="1"/>
  <c r="AM956" i="1"/>
  <c r="AQ955" i="1"/>
  <c r="AO955" i="1"/>
  <c r="AN955" i="1"/>
  <c r="AM955" i="1"/>
  <c r="AQ954" i="1"/>
  <c r="AO954" i="1"/>
  <c r="AN954" i="1"/>
  <c r="AM954" i="1"/>
  <c r="AQ953" i="1"/>
  <c r="AO953" i="1"/>
  <c r="AN953" i="1"/>
  <c r="AM953" i="1"/>
  <c r="AQ952" i="1"/>
  <c r="AO952" i="1"/>
  <c r="AN952" i="1"/>
  <c r="AM952" i="1"/>
  <c r="AQ951" i="1"/>
  <c r="AO951" i="1"/>
  <c r="AN951" i="1"/>
  <c r="AM951" i="1"/>
  <c r="AQ950" i="1"/>
  <c r="AO950" i="1"/>
  <c r="AN950" i="1"/>
  <c r="AM950" i="1"/>
  <c r="AQ949" i="1"/>
  <c r="AO949" i="1"/>
  <c r="AN949" i="1"/>
  <c r="AM949" i="1"/>
  <c r="AQ948" i="1"/>
  <c r="AO948" i="1"/>
  <c r="AN948" i="1"/>
  <c r="AM948" i="1"/>
  <c r="AQ947" i="1"/>
  <c r="AO947" i="1"/>
  <c r="AN947" i="1"/>
  <c r="AM947" i="1"/>
  <c r="AQ946" i="1"/>
  <c r="AO946" i="1"/>
  <c r="AN946" i="1"/>
  <c r="AM946" i="1"/>
  <c r="AQ945" i="1"/>
  <c r="AO945" i="1"/>
  <c r="AN945" i="1"/>
  <c r="AM945" i="1"/>
  <c r="AQ944" i="1"/>
  <c r="AO944" i="1"/>
  <c r="AN944" i="1"/>
  <c r="AM944" i="1"/>
  <c r="AQ943" i="1"/>
  <c r="AO943" i="1"/>
  <c r="AN943" i="1"/>
  <c r="AM943" i="1"/>
  <c r="AQ942" i="1"/>
  <c r="AO942" i="1"/>
  <c r="AN942" i="1"/>
  <c r="AM942" i="1"/>
  <c r="AQ941" i="1"/>
  <c r="AO941" i="1"/>
  <c r="AN941" i="1"/>
  <c r="AM941" i="1"/>
  <c r="AQ940" i="1"/>
  <c r="AO940" i="1"/>
  <c r="AN940" i="1"/>
  <c r="AM940" i="1"/>
  <c r="AQ939" i="1"/>
  <c r="AO939" i="1"/>
  <c r="AN939" i="1"/>
  <c r="AM939" i="1"/>
  <c r="AQ938" i="1"/>
  <c r="AO938" i="1"/>
  <c r="AN938" i="1"/>
  <c r="AM938" i="1"/>
  <c r="AQ937" i="1"/>
  <c r="AO937" i="1"/>
  <c r="AN937" i="1"/>
  <c r="AM937" i="1"/>
  <c r="AQ936" i="1"/>
  <c r="AO936" i="1"/>
  <c r="AN936" i="1"/>
  <c r="AM936" i="1"/>
  <c r="AQ935" i="1"/>
  <c r="AO935" i="1"/>
  <c r="AN935" i="1"/>
  <c r="AM935" i="1"/>
  <c r="AQ934" i="1"/>
  <c r="AO934" i="1"/>
  <c r="AN934" i="1"/>
  <c r="AM934" i="1"/>
  <c r="AQ933" i="1"/>
  <c r="AO933" i="1"/>
  <c r="AN933" i="1"/>
  <c r="AM933" i="1"/>
  <c r="AQ932" i="1"/>
  <c r="AO932" i="1"/>
  <c r="AN932" i="1"/>
  <c r="AM932" i="1"/>
  <c r="AQ931" i="1"/>
  <c r="AO931" i="1"/>
  <c r="AN931" i="1"/>
  <c r="AM931" i="1"/>
  <c r="AQ930" i="1"/>
  <c r="AO930" i="1"/>
  <c r="AN930" i="1"/>
  <c r="AM930" i="1"/>
  <c r="AQ929" i="1"/>
  <c r="AO929" i="1"/>
  <c r="AN929" i="1"/>
  <c r="AM929" i="1"/>
  <c r="AQ928" i="1"/>
  <c r="AO928" i="1"/>
  <c r="AN928" i="1"/>
  <c r="AM928" i="1"/>
  <c r="AQ927" i="1"/>
  <c r="AO927" i="1"/>
  <c r="AN927" i="1"/>
  <c r="AM927" i="1"/>
  <c r="AQ926" i="1"/>
  <c r="AO926" i="1"/>
  <c r="AN926" i="1"/>
  <c r="AM926" i="1"/>
  <c r="AQ925" i="1"/>
  <c r="AO925" i="1"/>
  <c r="AN925" i="1"/>
  <c r="AM925" i="1"/>
  <c r="AQ924" i="1"/>
  <c r="AO924" i="1"/>
  <c r="AN924" i="1"/>
  <c r="AM924" i="1"/>
  <c r="AQ923" i="1"/>
  <c r="AO923" i="1"/>
  <c r="AN923" i="1"/>
  <c r="AM923" i="1"/>
  <c r="AQ922" i="1"/>
  <c r="AO922" i="1"/>
  <c r="AN922" i="1"/>
  <c r="AM922" i="1"/>
  <c r="AQ921" i="1"/>
  <c r="AO921" i="1"/>
  <c r="AN921" i="1"/>
  <c r="AM921" i="1"/>
  <c r="AQ920" i="1"/>
  <c r="AO920" i="1"/>
  <c r="AN920" i="1"/>
  <c r="AM920" i="1"/>
  <c r="AQ919" i="1"/>
  <c r="AO919" i="1"/>
  <c r="AN919" i="1"/>
  <c r="AM919" i="1"/>
  <c r="AQ918" i="1"/>
  <c r="AO918" i="1"/>
  <c r="AN918" i="1"/>
  <c r="AM918" i="1"/>
  <c r="AQ917" i="1"/>
  <c r="AO917" i="1"/>
  <c r="AN917" i="1"/>
  <c r="AM917" i="1"/>
  <c r="AQ916" i="1"/>
  <c r="AO916" i="1"/>
  <c r="AN916" i="1"/>
  <c r="AM916" i="1"/>
  <c r="AQ915" i="1"/>
  <c r="AO915" i="1"/>
  <c r="AN915" i="1"/>
  <c r="AM915" i="1"/>
  <c r="AQ914" i="1"/>
  <c r="AO914" i="1"/>
  <c r="AN914" i="1"/>
  <c r="AM914" i="1"/>
  <c r="AQ913" i="1"/>
  <c r="AO913" i="1"/>
  <c r="AN913" i="1"/>
  <c r="AM913" i="1"/>
  <c r="AQ912" i="1"/>
  <c r="AO912" i="1"/>
  <c r="AN912" i="1"/>
  <c r="AM912" i="1"/>
  <c r="AQ911" i="1"/>
  <c r="AO911" i="1"/>
  <c r="AN911" i="1"/>
  <c r="AM911" i="1"/>
  <c r="AQ910" i="1"/>
  <c r="AO910" i="1"/>
  <c r="AN910" i="1"/>
  <c r="AM910" i="1"/>
  <c r="AQ909" i="1"/>
  <c r="AO909" i="1"/>
  <c r="AN909" i="1"/>
  <c r="AM909" i="1"/>
  <c r="AQ908" i="1"/>
  <c r="AO908" i="1"/>
  <c r="AN908" i="1"/>
  <c r="AM908" i="1"/>
  <c r="AQ907" i="1"/>
  <c r="AO907" i="1"/>
  <c r="AN907" i="1"/>
  <c r="AM907" i="1"/>
  <c r="AQ906" i="1"/>
  <c r="AO906" i="1"/>
  <c r="AN906" i="1"/>
  <c r="AM906" i="1"/>
  <c r="AQ905" i="1"/>
  <c r="AO905" i="1"/>
  <c r="AN905" i="1"/>
  <c r="AM905" i="1"/>
  <c r="AQ904" i="1"/>
  <c r="AO904" i="1"/>
  <c r="AN904" i="1"/>
  <c r="AM904" i="1"/>
  <c r="AQ903" i="1"/>
  <c r="AO903" i="1"/>
  <c r="AN903" i="1"/>
  <c r="AM903" i="1"/>
  <c r="AQ902" i="1"/>
  <c r="AO902" i="1"/>
  <c r="AN902" i="1"/>
  <c r="AM902" i="1"/>
  <c r="AQ901" i="1"/>
  <c r="AO901" i="1"/>
  <c r="AN901" i="1"/>
  <c r="AM901" i="1"/>
  <c r="AQ900" i="1"/>
  <c r="AO900" i="1"/>
  <c r="AN900" i="1"/>
  <c r="AM900" i="1"/>
  <c r="AQ899" i="1"/>
  <c r="AO899" i="1"/>
  <c r="AN899" i="1"/>
  <c r="AM899" i="1"/>
  <c r="AQ898" i="1"/>
  <c r="AO898" i="1"/>
  <c r="AN898" i="1"/>
  <c r="AM898" i="1"/>
  <c r="AQ897" i="1"/>
  <c r="AO897" i="1"/>
  <c r="AN897" i="1"/>
  <c r="AM897" i="1"/>
  <c r="AQ896" i="1"/>
  <c r="AO896" i="1"/>
  <c r="AN896" i="1"/>
  <c r="AM896" i="1"/>
  <c r="AQ895" i="1"/>
  <c r="AO895" i="1"/>
  <c r="AN895" i="1"/>
  <c r="AM895" i="1"/>
  <c r="AQ894" i="1"/>
  <c r="AO894" i="1"/>
  <c r="AN894" i="1"/>
  <c r="AM894" i="1"/>
  <c r="AQ893" i="1"/>
  <c r="AO893" i="1"/>
  <c r="AN893" i="1"/>
  <c r="AM893" i="1"/>
  <c r="AQ892" i="1"/>
  <c r="AO892" i="1"/>
  <c r="AN892" i="1"/>
  <c r="AM892" i="1"/>
  <c r="AQ891" i="1"/>
  <c r="AO891" i="1"/>
  <c r="AN891" i="1"/>
  <c r="AM891" i="1"/>
  <c r="AQ890" i="1"/>
  <c r="AO890" i="1"/>
  <c r="AN890" i="1"/>
  <c r="AM890" i="1"/>
  <c r="AQ889" i="1"/>
  <c r="AO889" i="1"/>
  <c r="AN889" i="1"/>
  <c r="AM889" i="1"/>
  <c r="AQ888" i="1"/>
  <c r="AO888" i="1"/>
  <c r="AN888" i="1"/>
  <c r="AM888" i="1"/>
  <c r="AQ887" i="1"/>
  <c r="AO887" i="1"/>
  <c r="AN887" i="1"/>
  <c r="AM887" i="1"/>
  <c r="AQ886" i="1"/>
  <c r="AO886" i="1"/>
  <c r="AN886" i="1"/>
  <c r="AM886" i="1"/>
  <c r="AQ885" i="1"/>
  <c r="AO885" i="1"/>
  <c r="AN885" i="1"/>
  <c r="AM885" i="1"/>
  <c r="AQ884" i="1"/>
  <c r="AO884" i="1"/>
  <c r="AN884" i="1"/>
  <c r="AM884" i="1"/>
  <c r="AQ883" i="1"/>
  <c r="AO883" i="1"/>
  <c r="AN883" i="1"/>
  <c r="AM883" i="1"/>
  <c r="AQ882" i="1"/>
  <c r="AO882" i="1"/>
  <c r="AN882" i="1"/>
  <c r="AM882" i="1"/>
  <c r="AQ881" i="1"/>
  <c r="AO881" i="1"/>
  <c r="AN881" i="1"/>
  <c r="AM881" i="1"/>
  <c r="AQ880" i="1"/>
  <c r="AO880" i="1"/>
  <c r="AN880" i="1"/>
  <c r="AM880" i="1"/>
  <c r="AQ879" i="1"/>
  <c r="AO879" i="1"/>
  <c r="AN879" i="1"/>
  <c r="AM879" i="1"/>
  <c r="AQ878" i="1"/>
  <c r="AO878" i="1"/>
  <c r="AN878" i="1"/>
  <c r="AM878" i="1"/>
  <c r="AQ877" i="1"/>
  <c r="AO877" i="1"/>
  <c r="AN877" i="1"/>
  <c r="AM877" i="1"/>
  <c r="AQ876" i="1"/>
  <c r="AO876" i="1"/>
  <c r="AN876" i="1"/>
  <c r="AM876" i="1"/>
  <c r="AQ875" i="1"/>
  <c r="AO875" i="1"/>
  <c r="AN875" i="1"/>
  <c r="AM875" i="1"/>
  <c r="AQ874" i="1"/>
  <c r="AO874" i="1"/>
  <c r="AN874" i="1"/>
  <c r="AM874" i="1"/>
  <c r="AQ873" i="1"/>
  <c r="AO873" i="1"/>
  <c r="AN873" i="1"/>
  <c r="AM873" i="1"/>
  <c r="AQ872" i="1"/>
  <c r="AO872" i="1"/>
  <c r="AN872" i="1"/>
  <c r="AM872" i="1"/>
  <c r="AQ871" i="1"/>
  <c r="AO871" i="1"/>
  <c r="AN871" i="1"/>
  <c r="AM871" i="1"/>
  <c r="AQ870" i="1"/>
  <c r="AO870" i="1"/>
  <c r="AN870" i="1"/>
  <c r="AM870" i="1"/>
  <c r="AQ869" i="1"/>
  <c r="AO869" i="1"/>
  <c r="AN869" i="1"/>
  <c r="AM869" i="1"/>
  <c r="AQ868" i="1"/>
  <c r="AO868" i="1"/>
  <c r="AN868" i="1"/>
  <c r="AM868" i="1"/>
  <c r="AQ867" i="1"/>
  <c r="AO867" i="1"/>
  <c r="AN867" i="1"/>
  <c r="AM867" i="1"/>
  <c r="AQ866" i="1"/>
  <c r="AO866" i="1"/>
  <c r="AN866" i="1"/>
  <c r="AM866" i="1"/>
  <c r="AQ865" i="1"/>
  <c r="AO865" i="1"/>
  <c r="AN865" i="1"/>
  <c r="AM865" i="1"/>
  <c r="AQ864" i="1"/>
  <c r="AO864" i="1"/>
  <c r="AN864" i="1"/>
  <c r="AM864" i="1"/>
  <c r="AQ863" i="1"/>
  <c r="AO863" i="1"/>
  <c r="AN863" i="1"/>
  <c r="AM863" i="1"/>
  <c r="AQ862" i="1"/>
  <c r="AO862" i="1"/>
  <c r="AN862" i="1"/>
  <c r="AM862" i="1"/>
  <c r="AQ861" i="1"/>
  <c r="AO861" i="1"/>
  <c r="AN861" i="1"/>
  <c r="AM861" i="1"/>
  <c r="AQ860" i="1"/>
  <c r="AO860" i="1"/>
  <c r="AN860" i="1"/>
  <c r="AM860" i="1"/>
  <c r="AQ859" i="1"/>
  <c r="AO859" i="1"/>
  <c r="AN859" i="1"/>
  <c r="AM859" i="1"/>
  <c r="AQ858" i="1"/>
  <c r="AO858" i="1"/>
  <c r="AN858" i="1"/>
  <c r="AM858" i="1"/>
  <c r="AQ857" i="1"/>
  <c r="AO857" i="1"/>
  <c r="AN857" i="1"/>
  <c r="AM857" i="1"/>
  <c r="AQ856" i="1"/>
  <c r="AO856" i="1"/>
  <c r="AN856" i="1"/>
  <c r="AM856" i="1"/>
  <c r="AQ855" i="1"/>
  <c r="AO855" i="1"/>
  <c r="AN855" i="1"/>
  <c r="AM855" i="1"/>
  <c r="AQ854" i="1"/>
  <c r="AO854" i="1"/>
  <c r="AN854" i="1"/>
  <c r="AM854" i="1"/>
  <c r="AQ853" i="1"/>
  <c r="AO853" i="1"/>
  <c r="AN853" i="1"/>
  <c r="AM853" i="1"/>
  <c r="AQ852" i="1"/>
  <c r="AO852" i="1"/>
  <c r="AN852" i="1"/>
  <c r="AM852" i="1"/>
  <c r="AQ851" i="1"/>
  <c r="AO851" i="1"/>
  <c r="AN851" i="1"/>
  <c r="AM851" i="1"/>
  <c r="AQ850" i="1"/>
  <c r="AO850" i="1"/>
  <c r="AN850" i="1"/>
  <c r="AM850" i="1"/>
  <c r="AQ849" i="1"/>
  <c r="AO849" i="1"/>
  <c r="AN849" i="1"/>
  <c r="AM849" i="1"/>
  <c r="AQ848" i="1"/>
  <c r="AO848" i="1"/>
  <c r="AN848" i="1"/>
  <c r="AM848" i="1"/>
  <c r="AQ847" i="1"/>
  <c r="AO847" i="1"/>
  <c r="AN847" i="1"/>
  <c r="AM847" i="1"/>
  <c r="AQ846" i="1"/>
  <c r="AO846" i="1"/>
  <c r="AN846" i="1"/>
  <c r="AM846" i="1"/>
  <c r="AQ845" i="1"/>
  <c r="AO845" i="1"/>
  <c r="AN845" i="1"/>
  <c r="AM845" i="1"/>
  <c r="AQ844" i="1"/>
  <c r="AO844" i="1"/>
  <c r="AN844" i="1"/>
  <c r="AM844" i="1"/>
  <c r="AQ843" i="1"/>
  <c r="AO843" i="1"/>
  <c r="AN843" i="1"/>
  <c r="AM843" i="1"/>
  <c r="AQ842" i="1"/>
  <c r="AO842" i="1"/>
  <c r="AN842" i="1"/>
  <c r="AM842" i="1"/>
  <c r="AQ841" i="1"/>
  <c r="AO841" i="1"/>
  <c r="AN841" i="1"/>
  <c r="AM841" i="1"/>
  <c r="AQ840" i="1"/>
  <c r="AO840" i="1"/>
  <c r="AN840" i="1"/>
  <c r="AM840" i="1"/>
  <c r="AQ839" i="1"/>
  <c r="AO839" i="1"/>
  <c r="AN839" i="1"/>
  <c r="AM839" i="1"/>
  <c r="AQ838" i="1"/>
  <c r="AO838" i="1"/>
  <c r="AN838" i="1"/>
  <c r="AM838" i="1"/>
  <c r="AQ837" i="1"/>
  <c r="AO837" i="1"/>
  <c r="AN837" i="1"/>
  <c r="AM837" i="1"/>
  <c r="AQ836" i="1"/>
  <c r="AO836" i="1"/>
  <c r="AN836" i="1"/>
  <c r="AM836" i="1"/>
  <c r="AQ835" i="1"/>
  <c r="AO835" i="1"/>
  <c r="AN835" i="1"/>
  <c r="AM835" i="1"/>
  <c r="AQ834" i="1"/>
  <c r="AO834" i="1"/>
  <c r="AN834" i="1"/>
  <c r="AM834" i="1"/>
  <c r="AQ833" i="1"/>
  <c r="AO833" i="1"/>
  <c r="AN833" i="1"/>
  <c r="AM833" i="1"/>
  <c r="AQ832" i="1"/>
  <c r="AO832" i="1"/>
  <c r="AN832" i="1"/>
  <c r="AM832" i="1"/>
  <c r="AQ831" i="1"/>
  <c r="AO831" i="1"/>
  <c r="AN831" i="1"/>
  <c r="AM831" i="1"/>
  <c r="AQ830" i="1"/>
  <c r="AO830" i="1"/>
  <c r="AN830" i="1"/>
  <c r="AM830" i="1"/>
  <c r="AQ829" i="1"/>
  <c r="AO829" i="1"/>
  <c r="AN829" i="1"/>
  <c r="AM829" i="1"/>
  <c r="AQ828" i="1"/>
  <c r="AO828" i="1"/>
  <c r="AN828" i="1"/>
  <c r="AM828" i="1"/>
  <c r="AQ827" i="1"/>
  <c r="AO827" i="1"/>
  <c r="AN827" i="1"/>
  <c r="AM827" i="1"/>
  <c r="AQ826" i="1"/>
  <c r="AO826" i="1"/>
  <c r="AN826" i="1"/>
  <c r="AM826" i="1"/>
  <c r="AQ825" i="1"/>
  <c r="AO825" i="1"/>
  <c r="AN825" i="1"/>
  <c r="AM825" i="1"/>
  <c r="AQ824" i="1"/>
  <c r="AO824" i="1"/>
  <c r="AN824" i="1"/>
  <c r="AM824" i="1"/>
  <c r="AQ823" i="1"/>
  <c r="AO823" i="1"/>
  <c r="AN823" i="1"/>
  <c r="AM823" i="1"/>
  <c r="AQ822" i="1"/>
  <c r="AO822" i="1"/>
  <c r="AN822" i="1"/>
  <c r="AM822" i="1"/>
  <c r="AQ821" i="1"/>
  <c r="AO821" i="1"/>
  <c r="AN821" i="1"/>
  <c r="AM821" i="1"/>
  <c r="AQ820" i="1"/>
  <c r="AO820" i="1"/>
  <c r="AN820" i="1"/>
  <c r="AM820" i="1"/>
  <c r="AQ819" i="1"/>
  <c r="AO819" i="1"/>
  <c r="AN819" i="1"/>
  <c r="AM819" i="1"/>
  <c r="AQ818" i="1"/>
  <c r="AO818" i="1"/>
  <c r="AN818" i="1"/>
  <c r="AM818" i="1"/>
  <c r="AQ817" i="1"/>
  <c r="AO817" i="1"/>
  <c r="AN817" i="1"/>
  <c r="AM817" i="1"/>
  <c r="AQ816" i="1"/>
  <c r="AO816" i="1"/>
  <c r="AN816" i="1"/>
  <c r="AM816" i="1"/>
  <c r="AQ815" i="1"/>
  <c r="AO815" i="1"/>
  <c r="AN815" i="1"/>
  <c r="AM815" i="1"/>
  <c r="AQ814" i="1"/>
  <c r="AO814" i="1"/>
  <c r="AN814" i="1"/>
  <c r="AM814" i="1"/>
  <c r="AQ813" i="1"/>
  <c r="AO813" i="1"/>
  <c r="AN813" i="1"/>
  <c r="AM813" i="1"/>
  <c r="AQ812" i="1"/>
  <c r="AO812" i="1"/>
  <c r="AN812" i="1"/>
  <c r="AM812" i="1"/>
  <c r="AQ811" i="1"/>
  <c r="AO811" i="1"/>
  <c r="AN811" i="1"/>
  <c r="AM811" i="1"/>
  <c r="AQ810" i="1"/>
  <c r="AO810" i="1"/>
  <c r="AN810" i="1"/>
  <c r="AM810" i="1"/>
  <c r="AQ809" i="1"/>
  <c r="AO809" i="1"/>
  <c r="AN809" i="1"/>
  <c r="AM809" i="1"/>
  <c r="AQ808" i="1"/>
  <c r="AO808" i="1"/>
  <c r="AN808" i="1"/>
  <c r="AM808" i="1"/>
  <c r="AQ807" i="1"/>
  <c r="AO807" i="1"/>
  <c r="AN807" i="1"/>
  <c r="AM807" i="1"/>
  <c r="AQ806" i="1"/>
  <c r="AO806" i="1"/>
  <c r="AN806" i="1"/>
  <c r="AM806" i="1"/>
  <c r="AQ805" i="1"/>
  <c r="AO805" i="1"/>
  <c r="AN805" i="1"/>
  <c r="AM805" i="1"/>
  <c r="AQ804" i="1"/>
  <c r="AO804" i="1"/>
  <c r="AN804" i="1"/>
  <c r="AM804" i="1"/>
  <c r="AQ803" i="1"/>
  <c r="AO803" i="1"/>
  <c r="AN803" i="1"/>
  <c r="AM803" i="1"/>
  <c r="AQ802" i="1"/>
  <c r="AO802" i="1"/>
  <c r="AN802" i="1"/>
  <c r="AM802" i="1"/>
  <c r="AQ801" i="1"/>
  <c r="AO801" i="1"/>
  <c r="AN801" i="1"/>
  <c r="AM801" i="1"/>
  <c r="AQ800" i="1"/>
  <c r="AO800" i="1"/>
  <c r="AN800" i="1"/>
  <c r="AM800" i="1"/>
  <c r="AQ799" i="1"/>
  <c r="AO799" i="1"/>
  <c r="AN799" i="1"/>
  <c r="AM799" i="1"/>
  <c r="AQ798" i="1"/>
  <c r="AO798" i="1"/>
  <c r="AN798" i="1"/>
  <c r="AM798" i="1"/>
  <c r="AQ797" i="1"/>
  <c r="AO797" i="1"/>
  <c r="AN797" i="1"/>
  <c r="AM797" i="1"/>
  <c r="AQ796" i="1"/>
  <c r="AO796" i="1"/>
  <c r="AN796" i="1"/>
  <c r="AM796" i="1"/>
  <c r="AQ795" i="1"/>
  <c r="AO795" i="1"/>
  <c r="AN795" i="1"/>
  <c r="AM795" i="1"/>
  <c r="AQ794" i="1"/>
  <c r="AO794" i="1"/>
  <c r="AN794" i="1"/>
  <c r="AM794" i="1"/>
  <c r="AQ793" i="1"/>
  <c r="AO793" i="1"/>
  <c r="AN793" i="1"/>
  <c r="AM793" i="1"/>
  <c r="AQ792" i="1"/>
  <c r="AO792" i="1"/>
  <c r="AN792" i="1"/>
  <c r="AM792" i="1"/>
  <c r="AQ791" i="1"/>
  <c r="AO791" i="1"/>
  <c r="AN791" i="1"/>
  <c r="AM791" i="1"/>
  <c r="AQ790" i="1"/>
  <c r="AO790" i="1"/>
  <c r="AN790" i="1"/>
  <c r="AM790" i="1"/>
  <c r="AQ789" i="1"/>
  <c r="AO789" i="1"/>
  <c r="AN789" i="1"/>
  <c r="AM789" i="1"/>
  <c r="AQ788" i="1"/>
  <c r="AO788" i="1"/>
  <c r="AN788" i="1"/>
  <c r="AM788" i="1"/>
  <c r="AQ787" i="1"/>
  <c r="AO787" i="1"/>
  <c r="AN787" i="1"/>
  <c r="AM787" i="1"/>
  <c r="AQ786" i="1"/>
  <c r="AO786" i="1"/>
  <c r="AN786" i="1"/>
  <c r="AM786" i="1"/>
  <c r="AQ785" i="1"/>
  <c r="AO785" i="1"/>
  <c r="AN785" i="1"/>
  <c r="AM785" i="1"/>
  <c r="AQ784" i="1"/>
  <c r="AO784" i="1"/>
  <c r="AN784" i="1"/>
  <c r="AM784" i="1"/>
  <c r="AQ783" i="1"/>
  <c r="AO783" i="1"/>
  <c r="AN783" i="1"/>
  <c r="AM783" i="1"/>
  <c r="AQ782" i="1"/>
  <c r="AO782" i="1"/>
  <c r="AN782" i="1"/>
  <c r="AM782" i="1"/>
  <c r="AQ781" i="1"/>
  <c r="AO781" i="1"/>
  <c r="AN781" i="1"/>
  <c r="AM781" i="1"/>
  <c r="AQ780" i="1"/>
  <c r="AO780" i="1"/>
  <c r="AN780" i="1"/>
  <c r="AM780" i="1"/>
  <c r="AQ779" i="1"/>
  <c r="AO779" i="1"/>
  <c r="AN779" i="1"/>
  <c r="AM779" i="1"/>
  <c r="AQ778" i="1"/>
  <c r="AO778" i="1"/>
  <c r="AN778" i="1"/>
  <c r="AM778" i="1"/>
  <c r="AQ777" i="1"/>
  <c r="AO777" i="1"/>
  <c r="AN777" i="1"/>
  <c r="AM777" i="1"/>
  <c r="AQ776" i="1"/>
  <c r="AO776" i="1"/>
  <c r="AN776" i="1"/>
  <c r="AM776" i="1"/>
  <c r="AQ775" i="1"/>
  <c r="AO775" i="1"/>
  <c r="AN775" i="1"/>
  <c r="AM775" i="1"/>
  <c r="AQ774" i="1"/>
  <c r="AO774" i="1"/>
  <c r="AN774" i="1"/>
  <c r="AM774" i="1"/>
  <c r="AQ773" i="1"/>
  <c r="AO773" i="1"/>
  <c r="AN773" i="1"/>
  <c r="AM773" i="1"/>
  <c r="AQ772" i="1"/>
  <c r="AO772" i="1"/>
  <c r="AN772" i="1"/>
  <c r="AM772" i="1"/>
  <c r="AQ771" i="1"/>
  <c r="AO771" i="1"/>
  <c r="AN771" i="1"/>
  <c r="AM771" i="1"/>
  <c r="AQ770" i="1"/>
  <c r="AO770" i="1"/>
  <c r="AN770" i="1"/>
  <c r="AM770" i="1"/>
  <c r="AQ769" i="1"/>
  <c r="AO769" i="1"/>
  <c r="AN769" i="1"/>
  <c r="AM769" i="1"/>
  <c r="AQ768" i="1"/>
  <c r="AO768" i="1"/>
  <c r="AN768" i="1"/>
  <c r="AM768" i="1"/>
  <c r="AQ767" i="1"/>
  <c r="AO767" i="1"/>
  <c r="AN767" i="1"/>
  <c r="AM767" i="1"/>
  <c r="AQ766" i="1"/>
  <c r="AO766" i="1"/>
  <c r="AN766" i="1"/>
  <c r="AM766" i="1"/>
  <c r="AQ765" i="1"/>
  <c r="AO765" i="1"/>
  <c r="AN765" i="1"/>
  <c r="AM765" i="1"/>
  <c r="AQ764" i="1"/>
  <c r="AO764" i="1"/>
  <c r="AN764" i="1"/>
  <c r="AM764" i="1"/>
  <c r="AQ763" i="1"/>
  <c r="AO763" i="1"/>
  <c r="AN763" i="1"/>
  <c r="AM763" i="1"/>
  <c r="AQ762" i="1"/>
  <c r="AO762" i="1"/>
  <c r="AN762" i="1"/>
  <c r="AM762" i="1"/>
  <c r="AQ761" i="1"/>
  <c r="AO761" i="1"/>
  <c r="AN761" i="1"/>
  <c r="AM761" i="1"/>
  <c r="AQ760" i="1"/>
  <c r="AO760" i="1"/>
  <c r="AN760" i="1"/>
  <c r="AM760" i="1"/>
  <c r="AQ759" i="1"/>
  <c r="AO759" i="1"/>
  <c r="AN759" i="1"/>
  <c r="AM759" i="1"/>
  <c r="AQ758" i="1"/>
  <c r="AO758" i="1"/>
  <c r="AN758" i="1"/>
  <c r="AM758" i="1"/>
  <c r="AQ757" i="1"/>
  <c r="AO757" i="1"/>
  <c r="AN757" i="1"/>
  <c r="AM757" i="1"/>
  <c r="AQ756" i="1"/>
  <c r="AO756" i="1"/>
  <c r="AN756" i="1"/>
  <c r="AM756" i="1"/>
  <c r="AQ755" i="1"/>
  <c r="AO755" i="1"/>
  <c r="AN755" i="1"/>
  <c r="AM755" i="1"/>
  <c r="AQ754" i="1"/>
  <c r="AO754" i="1"/>
  <c r="AN754" i="1"/>
  <c r="AM754" i="1"/>
  <c r="AQ753" i="1"/>
  <c r="AO753" i="1"/>
  <c r="AN753" i="1"/>
  <c r="AM753" i="1"/>
  <c r="AQ752" i="1"/>
  <c r="AO752" i="1"/>
  <c r="AN752" i="1"/>
  <c r="AM752" i="1"/>
  <c r="AQ751" i="1"/>
  <c r="AO751" i="1"/>
  <c r="AN751" i="1"/>
  <c r="AM751" i="1"/>
  <c r="AQ750" i="1"/>
  <c r="AO750" i="1"/>
  <c r="AN750" i="1"/>
  <c r="AM750" i="1"/>
  <c r="AQ749" i="1"/>
  <c r="AO749" i="1"/>
  <c r="AN749" i="1"/>
  <c r="AM749" i="1"/>
  <c r="AQ748" i="1"/>
  <c r="AO748" i="1"/>
  <c r="AN748" i="1"/>
  <c r="AM748" i="1"/>
  <c r="AQ747" i="1"/>
  <c r="AO747" i="1"/>
  <c r="AN747" i="1"/>
  <c r="AM747" i="1"/>
  <c r="AQ746" i="1"/>
  <c r="AO746" i="1"/>
  <c r="AN746" i="1"/>
  <c r="AM746" i="1"/>
  <c r="AQ745" i="1"/>
  <c r="AO745" i="1"/>
  <c r="AN745" i="1"/>
  <c r="AM745" i="1"/>
  <c r="AQ744" i="1"/>
  <c r="AO744" i="1"/>
  <c r="AN744" i="1"/>
  <c r="AM744" i="1"/>
  <c r="AQ743" i="1"/>
  <c r="AO743" i="1"/>
  <c r="AN743" i="1"/>
  <c r="AM743" i="1"/>
  <c r="AQ742" i="1"/>
  <c r="AO742" i="1"/>
  <c r="AN742" i="1"/>
  <c r="AM742" i="1"/>
  <c r="AQ741" i="1"/>
  <c r="AO741" i="1"/>
  <c r="AN741" i="1"/>
  <c r="AM741" i="1"/>
  <c r="AQ740" i="1"/>
  <c r="AO740" i="1"/>
  <c r="AN740" i="1"/>
  <c r="AM740" i="1"/>
  <c r="AQ739" i="1"/>
  <c r="AO739" i="1"/>
  <c r="AN739" i="1"/>
  <c r="AM739" i="1"/>
  <c r="AQ738" i="1"/>
  <c r="AO738" i="1"/>
  <c r="AN738" i="1"/>
  <c r="AM738" i="1"/>
  <c r="AQ737" i="1"/>
  <c r="AO737" i="1"/>
  <c r="AN737" i="1"/>
  <c r="AM737" i="1"/>
  <c r="AQ736" i="1"/>
  <c r="AO736" i="1"/>
  <c r="AN736" i="1"/>
  <c r="AM736" i="1"/>
  <c r="AQ735" i="1"/>
  <c r="AO735" i="1"/>
  <c r="AN735" i="1"/>
  <c r="AM735" i="1"/>
  <c r="AQ734" i="1"/>
  <c r="AO734" i="1"/>
  <c r="AN734" i="1"/>
  <c r="AM734" i="1"/>
  <c r="AQ733" i="1"/>
  <c r="AO733" i="1"/>
  <c r="AN733" i="1"/>
  <c r="AM733" i="1"/>
  <c r="AQ732" i="1"/>
  <c r="AO732" i="1"/>
  <c r="AN732" i="1"/>
  <c r="AM732" i="1"/>
  <c r="AQ731" i="1"/>
  <c r="AO731" i="1"/>
  <c r="AN731" i="1"/>
  <c r="AM731" i="1"/>
  <c r="AQ730" i="1"/>
  <c r="AO730" i="1"/>
  <c r="AN730" i="1"/>
  <c r="AM730" i="1"/>
  <c r="AQ729" i="1"/>
  <c r="AO729" i="1"/>
  <c r="AN729" i="1"/>
  <c r="AM729" i="1"/>
  <c r="AQ728" i="1"/>
  <c r="AO728" i="1"/>
  <c r="AN728" i="1"/>
  <c r="AM728" i="1"/>
  <c r="AQ727" i="1"/>
  <c r="AO727" i="1"/>
  <c r="AN727" i="1"/>
  <c r="AM727" i="1"/>
  <c r="AQ726" i="1"/>
  <c r="AO726" i="1"/>
  <c r="AN726" i="1"/>
  <c r="AM726" i="1"/>
  <c r="AQ725" i="1"/>
  <c r="AO725" i="1"/>
  <c r="AN725" i="1"/>
  <c r="AM725" i="1"/>
  <c r="AQ724" i="1"/>
  <c r="AO724" i="1"/>
  <c r="AN724" i="1"/>
  <c r="AM724" i="1"/>
  <c r="AQ723" i="1"/>
  <c r="AO723" i="1"/>
  <c r="AN723" i="1"/>
  <c r="AM723" i="1"/>
  <c r="AQ722" i="1"/>
  <c r="AO722" i="1"/>
  <c r="AN722" i="1"/>
  <c r="AM722" i="1"/>
  <c r="AQ721" i="1"/>
  <c r="AO721" i="1"/>
  <c r="AN721" i="1"/>
  <c r="AM721" i="1"/>
  <c r="AQ720" i="1"/>
  <c r="AO720" i="1"/>
  <c r="AN720" i="1"/>
  <c r="AM720" i="1"/>
  <c r="AQ719" i="1"/>
  <c r="AO719" i="1"/>
  <c r="AN719" i="1"/>
  <c r="AM719" i="1"/>
  <c r="AQ718" i="1"/>
  <c r="AO718" i="1"/>
  <c r="AN718" i="1"/>
  <c r="AM718" i="1"/>
  <c r="AQ717" i="1"/>
  <c r="AO717" i="1"/>
  <c r="AN717" i="1"/>
  <c r="AM717" i="1"/>
  <c r="AQ716" i="1"/>
  <c r="AO716" i="1"/>
  <c r="AN716" i="1"/>
  <c r="AM716" i="1"/>
  <c r="AQ715" i="1"/>
  <c r="AO715" i="1"/>
  <c r="AN715" i="1"/>
  <c r="AM715" i="1"/>
  <c r="AQ714" i="1"/>
  <c r="AO714" i="1"/>
  <c r="AN714" i="1"/>
  <c r="AM714" i="1"/>
  <c r="AQ713" i="1"/>
  <c r="AO713" i="1"/>
  <c r="AN713" i="1"/>
  <c r="AM713" i="1"/>
  <c r="AQ712" i="1"/>
  <c r="AO712" i="1"/>
  <c r="AN712" i="1"/>
  <c r="AM712" i="1"/>
  <c r="AQ711" i="1"/>
  <c r="AO711" i="1"/>
  <c r="AN711" i="1"/>
  <c r="AM711" i="1"/>
  <c r="AQ710" i="1"/>
  <c r="AO710" i="1"/>
  <c r="AN710" i="1"/>
  <c r="AM710" i="1"/>
  <c r="AQ709" i="1"/>
  <c r="AO709" i="1"/>
  <c r="AN709" i="1"/>
  <c r="AM709" i="1"/>
  <c r="AQ708" i="1"/>
  <c r="AO708" i="1"/>
  <c r="AN708" i="1"/>
  <c r="AM708" i="1"/>
  <c r="AQ707" i="1"/>
  <c r="AO707" i="1"/>
  <c r="AN707" i="1"/>
  <c r="AM707" i="1"/>
  <c r="AQ706" i="1"/>
  <c r="AO706" i="1"/>
  <c r="AN706" i="1"/>
  <c r="AM706" i="1"/>
  <c r="AQ705" i="1"/>
  <c r="AO705" i="1"/>
  <c r="AN705" i="1"/>
  <c r="AM705" i="1"/>
  <c r="AQ704" i="1"/>
  <c r="AO704" i="1"/>
  <c r="AN704" i="1"/>
  <c r="AM704" i="1"/>
  <c r="AQ703" i="1"/>
  <c r="AO703" i="1"/>
  <c r="AN703" i="1"/>
  <c r="AM703" i="1"/>
  <c r="AQ702" i="1"/>
  <c r="AO702" i="1"/>
  <c r="AN702" i="1"/>
  <c r="AM702" i="1"/>
  <c r="AQ701" i="1"/>
  <c r="AO701" i="1"/>
  <c r="AN701" i="1"/>
  <c r="AM701" i="1"/>
  <c r="AQ700" i="1"/>
  <c r="AO700" i="1"/>
  <c r="AN700" i="1"/>
  <c r="AM700" i="1"/>
  <c r="AQ699" i="1"/>
  <c r="AO699" i="1"/>
  <c r="AN699" i="1"/>
  <c r="AM699" i="1"/>
  <c r="AQ698" i="1"/>
  <c r="AO698" i="1"/>
  <c r="AN698" i="1"/>
  <c r="AM698" i="1"/>
  <c r="AQ697" i="1"/>
  <c r="AO697" i="1"/>
  <c r="AN697" i="1"/>
  <c r="AM697" i="1"/>
  <c r="AQ696" i="1"/>
  <c r="AO696" i="1"/>
  <c r="AN696" i="1"/>
  <c r="AM696" i="1"/>
  <c r="AQ695" i="1"/>
  <c r="AO695" i="1"/>
  <c r="AN695" i="1"/>
  <c r="AM695" i="1"/>
  <c r="AQ694" i="1"/>
  <c r="AO694" i="1"/>
  <c r="AN694" i="1"/>
  <c r="AM694" i="1"/>
  <c r="AQ693" i="1"/>
  <c r="AO693" i="1"/>
  <c r="AN693" i="1"/>
  <c r="AM693" i="1"/>
  <c r="AQ692" i="1"/>
  <c r="AO692" i="1"/>
  <c r="AN692" i="1"/>
  <c r="AM692" i="1"/>
  <c r="AQ691" i="1"/>
  <c r="AO691" i="1"/>
  <c r="AN691" i="1"/>
  <c r="AM691" i="1"/>
  <c r="AQ690" i="1"/>
  <c r="AO690" i="1"/>
  <c r="AN690" i="1"/>
  <c r="AM690" i="1"/>
  <c r="AQ689" i="1"/>
  <c r="AO689" i="1"/>
  <c r="AN689" i="1"/>
  <c r="AM689" i="1"/>
  <c r="AQ688" i="1"/>
  <c r="AO688" i="1"/>
  <c r="AN688" i="1"/>
  <c r="AM688" i="1"/>
  <c r="AQ687" i="1"/>
  <c r="AO687" i="1"/>
  <c r="AN687" i="1"/>
  <c r="AM687" i="1"/>
  <c r="AQ686" i="1"/>
  <c r="AO686" i="1"/>
  <c r="AN686" i="1"/>
  <c r="AM686" i="1"/>
  <c r="AQ685" i="1"/>
  <c r="AO685" i="1"/>
  <c r="AN685" i="1"/>
  <c r="AM685" i="1"/>
  <c r="AQ684" i="1"/>
  <c r="AO684" i="1"/>
  <c r="AN684" i="1"/>
  <c r="AM684" i="1"/>
  <c r="AQ683" i="1"/>
  <c r="AO683" i="1"/>
  <c r="AN683" i="1"/>
  <c r="AM683" i="1"/>
  <c r="AQ682" i="1"/>
  <c r="AO682" i="1"/>
  <c r="AN682" i="1"/>
  <c r="AM682" i="1"/>
  <c r="AQ681" i="1"/>
  <c r="AO681" i="1"/>
  <c r="AN681" i="1"/>
  <c r="AM681" i="1"/>
  <c r="AQ680" i="1"/>
  <c r="AO680" i="1"/>
  <c r="AN680" i="1"/>
  <c r="AM680" i="1"/>
  <c r="AQ679" i="1"/>
  <c r="AO679" i="1"/>
  <c r="AN679" i="1"/>
  <c r="AM679" i="1"/>
  <c r="AQ678" i="1"/>
  <c r="AO678" i="1"/>
  <c r="AN678" i="1"/>
  <c r="AM678" i="1"/>
  <c r="AQ677" i="1"/>
  <c r="AO677" i="1"/>
  <c r="AN677" i="1"/>
  <c r="AM677" i="1"/>
  <c r="AQ676" i="1"/>
  <c r="AO676" i="1"/>
  <c r="AN676" i="1"/>
  <c r="AM676" i="1"/>
  <c r="AQ675" i="1"/>
  <c r="AO675" i="1"/>
  <c r="AN675" i="1"/>
  <c r="AM675" i="1"/>
  <c r="AQ674" i="1"/>
  <c r="AO674" i="1"/>
  <c r="AN674" i="1"/>
  <c r="AM674" i="1"/>
  <c r="AQ673" i="1"/>
  <c r="AO673" i="1"/>
  <c r="AN673" i="1"/>
  <c r="AM673" i="1"/>
  <c r="AQ672" i="1"/>
  <c r="AO672" i="1"/>
  <c r="AN672" i="1"/>
  <c r="AM672" i="1"/>
  <c r="AQ671" i="1"/>
  <c r="AO671" i="1"/>
  <c r="AN671" i="1"/>
  <c r="AM671" i="1"/>
  <c r="AQ670" i="1"/>
  <c r="AO670" i="1"/>
  <c r="AN670" i="1"/>
  <c r="AM670" i="1"/>
  <c r="AQ669" i="1"/>
  <c r="AO669" i="1"/>
  <c r="AN669" i="1"/>
  <c r="AM669" i="1"/>
  <c r="AQ668" i="1"/>
  <c r="AO668" i="1"/>
  <c r="AN668" i="1"/>
  <c r="AM668" i="1"/>
  <c r="AQ667" i="1"/>
  <c r="AO667" i="1"/>
  <c r="AN667" i="1"/>
  <c r="AM667" i="1"/>
  <c r="AQ666" i="1"/>
  <c r="AO666" i="1"/>
  <c r="AN666" i="1"/>
  <c r="AM666" i="1"/>
  <c r="AQ665" i="1"/>
  <c r="AO665" i="1"/>
  <c r="AN665" i="1"/>
  <c r="AM665" i="1"/>
  <c r="AQ664" i="1"/>
  <c r="AO664" i="1"/>
  <c r="AN664" i="1"/>
  <c r="AM664" i="1"/>
  <c r="AQ663" i="1"/>
  <c r="AO663" i="1"/>
  <c r="AN663" i="1"/>
  <c r="AM663" i="1"/>
  <c r="AQ662" i="1"/>
  <c r="AO662" i="1"/>
  <c r="AN662" i="1"/>
  <c r="AM662" i="1"/>
  <c r="AQ661" i="1"/>
  <c r="AO661" i="1"/>
  <c r="AN661" i="1"/>
  <c r="AM661" i="1"/>
  <c r="AQ660" i="1"/>
  <c r="AO660" i="1"/>
  <c r="AN660" i="1"/>
  <c r="AM660" i="1"/>
  <c r="AQ659" i="1"/>
  <c r="AO659" i="1"/>
  <c r="AN659" i="1"/>
  <c r="AM659" i="1"/>
  <c r="AQ658" i="1"/>
  <c r="AO658" i="1"/>
  <c r="AN658" i="1"/>
  <c r="AM658" i="1"/>
  <c r="AQ657" i="1"/>
  <c r="AO657" i="1"/>
  <c r="AN657" i="1"/>
  <c r="AM657" i="1"/>
  <c r="AQ656" i="1"/>
  <c r="AO656" i="1"/>
  <c r="AN656" i="1"/>
  <c r="AM656" i="1"/>
  <c r="AQ655" i="1"/>
  <c r="AO655" i="1"/>
  <c r="AN655" i="1"/>
  <c r="AM655" i="1"/>
  <c r="AQ654" i="1"/>
  <c r="AO654" i="1"/>
  <c r="AN654" i="1"/>
  <c r="AM654" i="1"/>
  <c r="AQ653" i="1"/>
  <c r="AO653" i="1"/>
  <c r="AN653" i="1"/>
  <c r="AM653" i="1"/>
  <c r="AQ652" i="1"/>
  <c r="AO652" i="1"/>
  <c r="AN652" i="1"/>
  <c r="AM652" i="1"/>
  <c r="AQ651" i="1"/>
  <c r="AO651" i="1"/>
  <c r="AN651" i="1"/>
  <c r="AM651" i="1"/>
  <c r="AQ650" i="1"/>
  <c r="AO650" i="1"/>
  <c r="AN650" i="1"/>
  <c r="AM650" i="1"/>
  <c r="AQ649" i="1"/>
  <c r="AO649" i="1"/>
  <c r="AN649" i="1"/>
  <c r="AM649" i="1"/>
  <c r="AQ648" i="1"/>
  <c r="AO648" i="1"/>
  <c r="AN648" i="1"/>
  <c r="AM648" i="1"/>
  <c r="AQ647" i="1"/>
  <c r="AO647" i="1"/>
  <c r="AN647" i="1"/>
  <c r="AM647" i="1"/>
  <c r="AQ646" i="1"/>
  <c r="AO646" i="1"/>
  <c r="AN646" i="1"/>
  <c r="AM646" i="1"/>
  <c r="AQ645" i="1"/>
  <c r="AO645" i="1"/>
  <c r="AN645" i="1"/>
  <c r="AM645" i="1"/>
  <c r="AQ644" i="1"/>
  <c r="AO644" i="1"/>
  <c r="AN644" i="1"/>
  <c r="AM644" i="1"/>
  <c r="AQ643" i="1"/>
  <c r="AO643" i="1"/>
  <c r="AN643" i="1"/>
  <c r="AM643" i="1"/>
  <c r="AQ642" i="1"/>
  <c r="AO642" i="1"/>
  <c r="AN642" i="1"/>
  <c r="AM642" i="1"/>
  <c r="AQ641" i="1"/>
  <c r="AO641" i="1"/>
  <c r="AN641" i="1"/>
  <c r="AM641" i="1"/>
  <c r="AQ640" i="1"/>
  <c r="AO640" i="1"/>
  <c r="AN640" i="1"/>
  <c r="AM640" i="1"/>
  <c r="AQ639" i="1"/>
  <c r="AO639" i="1"/>
  <c r="AN639" i="1"/>
  <c r="AM639" i="1"/>
  <c r="AQ638" i="1"/>
  <c r="AO638" i="1"/>
  <c r="AN638" i="1"/>
  <c r="AM638" i="1"/>
  <c r="AQ637" i="1"/>
  <c r="AO637" i="1"/>
  <c r="AN637" i="1"/>
  <c r="AM637" i="1"/>
  <c r="AQ636" i="1"/>
  <c r="AO636" i="1"/>
  <c r="AN636" i="1"/>
  <c r="AM636" i="1"/>
  <c r="AQ635" i="1"/>
  <c r="AO635" i="1"/>
  <c r="AN635" i="1"/>
  <c r="AM635" i="1"/>
  <c r="AQ634" i="1"/>
  <c r="AO634" i="1"/>
  <c r="AN634" i="1"/>
  <c r="AM634" i="1"/>
  <c r="AQ633" i="1"/>
  <c r="AO633" i="1"/>
  <c r="AN633" i="1"/>
  <c r="AM633" i="1"/>
  <c r="AQ632" i="1"/>
  <c r="AO632" i="1"/>
  <c r="AN632" i="1"/>
  <c r="AM632" i="1"/>
  <c r="AQ631" i="1"/>
  <c r="AO631" i="1"/>
  <c r="AN631" i="1"/>
  <c r="AM631" i="1"/>
  <c r="AQ630" i="1"/>
  <c r="AO630" i="1"/>
  <c r="AN630" i="1"/>
  <c r="AM630" i="1"/>
  <c r="AQ629" i="1"/>
  <c r="AO629" i="1"/>
  <c r="AN629" i="1"/>
  <c r="AM629" i="1"/>
  <c r="AQ628" i="1"/>
  <c r="AO628" i="1"/>
  <c r="AN628" i="1"/>
  <c r="AM628" i="1"/>
  <c r="AQ627" i="1"/>
  <c r="AO627" i="1"/>
  <c r="AN627" i="1"/>
  <c r="AM627" i="1"/>
  <c r="AQ626" i="1"/>
  <c r="AO626" i="1"/>
  <c r="AN626" i="1"/>
  <c r="AM626" i="1"/>
  <c r="AQ625" i="1"/>
  <c r="AO625" i="1"/>
  <c r="AN625" i="1"/>
  <c r="AM625" i="1"/>
  <c r="AQ624" i="1"/>
  <c r="AO624" i="1"/>
  <c r="AN624" i="1"/>
  <c r="AM624" i="1"/>
  <c r="AQ623" i="1"/>
  <c r="AO623" i="1"/>
  <c r="AN623" i="1"/>
  <c r="AM623" i="1"/>
  <c r="AQ622" i="1"/>
  <c r="AO622" i="1"/>
  <c r="AN622" i="1"/>
  <c r="AM622" i="1"/>
  <c r="AQ621" i="1"/>
  <c r="AO621" i="1"/>
  <c r="AN621" i="1"/>
  <c r="AM621" i="1"/>
  <c r="AQ620" i="1"/>
  <c r="AO620" i="1"/>
  <c r="AN620" i="1"/>
  <c r="AM620" i="1"/>
  <c r="AQ619" i="1"/>
  <c r="AO619" i="1"/>
  <c r="AN619" i="1"/>
  <c r="AM619" i="1"/>
  <c r="AQ618" i="1"/>
  <c r="AO618" i="1"/>
  <c r="AN618" i="1"/>
  <c r="AM618" i="1"/>
  <c r="AQ617" i="1"/>
  <c r="AO617" i="1"/>
  <c r="AN617" i="1"/>
  <c r="AM617" i="1"/>
  <c r="AQ616" i="1"/>
  <c r="AO616" i="1"/>
  <c r="AN616" i="1"/>
  <c r="AM616" i="1"/>
  <c r="AQ615" i="1"/>
  <c r="AO615" i="1"/>
  <c r="AN615" i="1"/>
  <c r="AM615" i="1"/>
  <c r="AQ614" i="1"/>
  <c r="AO614" i="1"/>
  <c r="AN614" i="1"/>
  <c r="AM614" i="1"/>
  <c r="AQ613" i="1"/>
  <c r="AO613" i="1"/>
  <c r="AN613" i="1"/>
  <c r="AM613" i="1"/>
  <c r="AQ612" i="1"/>
  <c r="AO612" i="1"/>
  <c r="AN612" i="1"/>
  <c r="AM612" i="1"/>
  <c r="AQ611" i="1"/>
  <c r="AO611" i="1"/>
  <c r="AN611" i="1"/>
  <c r="AM611" i="1"/>
  <c r="AQ610" i="1"/>
  <c r="AO610" i="1"/>
  <c r="AN610" i="1"/>
  <c r="AM610" i="1"/>
  <c r="AQ609" i="1"/>
  <c r="AO609" i="1"/>
  <c r="AN609" i="1"/>
  <c r="AM609" i="1"/>
  <c r="AQ608" i="1"/>
  <c r="AO608" i="1"/>
  <c r="AN608" i="1"/>
  <c r="AM608" i="1"/>
  <c r="AQ607" i="1"/>
  <c r="AO607" i="1"/>
  <c r="AN607" i="1"/>
  <c r="AM607" i="1"/>
  <c r="AQ606" i="1"/>
  <c r="AO606" i="1"/>
  <c r="AN606" i="1"/>
  <c r="AM606" i="1"/>
  <c r="AQ605" i="1"/>
  <c r="AO605" i="1"/>
  <c r="AN605" i="1"/>
  <c r="AM605" i="1"/>
  <c r="AQ604" i="1"/>
  <c r="AO604" i="1"/>
  <c r="AN604" i="1"/>
  <c r="AM604" i="1"/>
  <c r="AQ603" i="1"/>
  <c r="AO603" i="1"/>
  <c r="AN603" i="1"/>
  <c r="AM603" i="1"/>
  <c r="AQ602" i="1"/>
  <c r="AO602" i="1"/>
  <c r="AN602" i="1"/>
  <c r="AM602" i="1"/>
  <c r="AQ601" i="1"/>
  <c r="AO601" i="1"/>
  <c r="AN601" i="1"/>
  <c r="AM601" i="1"/>
  <c r="AQ600" i="1"/>
  <c r="AO600" i="1"/>
  <c r="AN600" i="1"/>
  <c r="AM600" i="1"/>
  <c r="AQ599" i="1"/>
  <c r="AO599" i="1"/>
  <c r="AN599" i="1"/>
  <c r="AM599" i="1"/>
  <c r="AQ598" i="1"/>
  <c r="AO598" i="1"/>
  <c r="AN598" i="1"/>
  <c r="AM598" i="1"/>
  <c r="AQ597" i="1"/>
  <c r="AO597" i="1"/>
  <c r="AN597" i="1"/>
  <c r="AM597" i="1"/>
  <c r="AQ596" i="1"/>
  <c r="AO596" i="1"/>
  <c r="AN596" i="1"/>
  <c r="AM596" i="1"/>
  <c r="AQ595" i="1"/>
  <c r="AO595" i="1"/>
  <c r="AN595" i="1"/>
  <c r="AM595" i="1"/>
  <c r="AQ594" i="1"/>
  <c r="AO594" i="1"/>
  <c r="AN594" i="1"/>
  <c r="AM594" i="1"/>
  <c r="AQ593" i="1"/>
  <c r="AO593" i="1"/>
  <c r="AN593" i="1"/>
  <c r="AM593" i="1"/>
  <c r="AQ592" i="1"/>
  <c r="AO592" i="1"/>
  <c r="AN592" i="1"/>
  <c r="AM592" i="1"/>
  <c r="AQ591" i="1"/>
  <c r="AO591" i="1"/>
  <c r="AN591" i="1"/>
  <c r="AM591" i="1"/>
  <c r="AQ590" i="1"/>
  <c r="AO590" i="1"/>
  <c r="AN590" i="1"/>
  <c r="AM590" i="1"/>
  <c r="AQ589" i="1"/>
  <c r="AO589" i="1"/>
  <c r="AN589" i="1"/>
  <c r="AM589" i="1"/>
  <c r="AQ588" i="1"/>
  <c r="AO588" i="1"/>
  <c r="AN588" i="1"/>
  <c r="AM588" i="1"/>
  <c r="AQ587" i="1"/>
  <c r="AO587" i="1"/>
  <c r="AN587" i="1"/>
  <c r="AM587" i="1"/>
  <c r="AQ586" i="1"/>
  <c r="AO586" i="1"/>
  <c r="AN586" i="1"/>
  <c r="AM586" i="1"/>
  <c r="AQ585" i="1"/>
  <c r="AO585" i="1"/>
  <c r="AN585" i="1"/>
  <c r="AM585" i="1"/>
  <c r="AQ584" i="1"/>
  <c r="AO584" i="1"/>
  <c r="AN584" i="1"/>
  <c r="AM584" i="1"/>
  <c r="AQ583" i="1"/>
  <c r="AO583" i="1"/>
  <c r="AN583" i="1"/>
  <c r="AM583" i="1"/>
  <c r="AQ582" i="1"/>
  <c r="AO582" i="1"/>
  <c r="AN582" i="1"/>
  <c r="AM582" i="1"/>
  <c r="AQ581" i="1"/>
  <c r="AO581" i="1"/>
  <c r="AN581" i="1"/>
  <c r="AM581" i="1"/>
  <c r="AQ580" i="1"/>
  <c r="AO580" i="1"/>
  <c r="AN580" i="1"/>
  <c r="AM580" i="1"/>
  <c r="AQ579" i="1"/>
  <c r="AO579" i="1"/>
  <c r="AN579" i="1"/>
  <c r="AM579" i="1"/>
  <c r="AQ578" i="1"/>
  <c r="AO578" i="1"/>
  <c r="AN578" i="1"/>
  <c r="AM578" i="1"/>
  <c r="AQ577" i="1"/>
  <c r="AO577" i="1"/>
  <c r="AN577" i="1"/>
  <c r="AM577" i="1"/>
  <c r="AQ576" i="1"/>
  <c r="AO576" i="1"/>
  <c r="AN576" i="1"/>
  <c r="AM576" i="1"/>
  <c r="AQ575" i="1"/>
  <c r="AO575" i="1"/>
  <c r="AN575" i="1"/>
  <c r="AM575" i="1"/>
  <c r="AQ574" i="1"/>
  <c r="AO574" i="1"/>
  <c r="AN574" i="1"/>
  <c r="AM574" i="1"/>
  <c r="AQ573" i="1"/>
  <c r="AO573" i="1"/>
  <c r="AN573" i="1"/>
  <c r="AM573" i="1"/>
  <c r="AQ572" i="1"/>
  <c r="AO572" i="1"/>
  <c r="AN572" i="1"/>
  <c r="AM572" i="1"/>
  <c r="AQ571" i="1"/>
  <c r="AO571" i="1"/>
  <c r="AN571" i="1"/>
  <c r="AM571" i="1"/>
  <c r="AQ570" i="1"/>
  <c r="AO570" i="1"/>
  <c r="AN570" i="1"/>
  <c r="AM570" i="1"/>
  <c r="AQ569" i="1"/>
  <c r="AO569" i="1"/>
  <c r="AN569" i="1"/>
  <c r="AM569" i="1"/>
  <c r="AQ568" i="1"/>
  <c r="AO568" i="1"/>
  <c r="AN568" i="1"/>
  <c r="AM568" i="1"/>
  <c r="AQ567" i="1"/>
  <c r="AO567" i="1"/>
  <c r="AN567" i="1"/>
  <c r="AM567" i="1"/>
  <c r="AQ566" i="1"/>
  <c r="AO566" i="1"/>
  <c r="AN566" i="1"/>
  <c r="AM566" i="1"/>
  <c r="AQ565" i="1"/>
  <c r="AO565" i="1"/>
  <c r="AN565" i="1"/>
  <c r="AM565" i="1"/>
  <c r="AQ564" i="1"/>
  <c r="AO564" i="1"/>
  <c r="AN564" i="1"/>
  <c r="AM564" i="1"/>
  <c r="AQ563" i="1"/>
  <c r="AO563" i="1"/>
  <c r="AN563" i="1"/>
  <c r="AM563" i="1"/>
  <c r="AQ562" i="1"/>
  <c r="AO562" i="1"/>
  <c r="AN562" i="1"/>
  <c r="AM562" i="1"/>
  <c r="AQ561" i="1"/>
  <c r="AO561" i="1"/>
  <c r="AN561" i="1"/>
  <c r="AM561" i="1"/>
  <c r="AQ560" i="1"/>
  <c r="AO560" i="1"/>
  <c r="AN560" i="1"/>
  <c r="AM560" i="1"/>
  <c r="AQ559" i="1"/>
  <c r="AO559" i="1"/>
  <c r="AN559" i="1"/>
  <c r="AM559" i="1"/>
  <c r="AQ558" i="1"/>
  <c r="AO558" i="1"/>
  <c r="AN558" i="1"/>
  <c r="AM558" i="1"/>
  <c r="AQ557" i="1"/>
  <c r="AO557" i="1"/>
  <c r="AN557" i="1"/>
  <c r="AM557" i="1"/>
  <c r="AQ556" i="1"/>
  <c r="AO556" i="1"/>
  <c r="AN556" i="1"/>
  <c r="AM556" i="1"/>
  <c r="AQ555" i="1"/>
  <c r="AO555" i="1"/>
  <c r="AN555" i="1"/>
  <c r="AM555" i="1"/>
  <c r="AQ554" i="1"/>
  <c r="AO554" i="1"/>
  <c r="AN554" i="1"/>
  <c r="AM554" i="1"/>
  <c r="AQ553" i="1"/>
  <c r="AO553" i="1"/>
  <c r="AN553" i="1"/>
  <c r="AM553" i="1"/>
  <c r="AQ552" i="1"/>
  <c r="AO552" i="1"/>
  <c r="AN552" i="1"/>
  <c r="AM552" i="1"/>
  <c r="AQ551" i="1"/>
  <c r="AO551" i="1"/>
  <c r="AN551" i="1"/>
  <c r="AM551" i="1"/>
  <c r="AQ550" i="1"/>
  <c r="AO550" i="1"/>
  <c r="AN550" i="1"/>
  <c r="AM550" i="1"/>
  <c r="AQ549" i="1"/>
  <c r="AO549" i="1"/>
  <c r="AN549" i="1"/>
  <c r="AM549" i="1"/>
  <c r="AQ548" i="1"/>
  <c r="AO548" i="1"/>
  <c r="AN548" i="1"/>
  <c r="AM548" i="1"/>
  <c r="AQ547" i="1"/>
  <c r="AO547" i="1"/>
  <c r="AN547" i="1"/>
  <c r="AM547" i="1"/>
  <c r="AQ546" i="1"/>
  <c r="AO546" i="1"/>
  <c r="AN546" i="1"/>
  <c r="AM546" i="1"/>
  <c r="AQ545" i="1"/>
  <c r="AO545" i="1"/>
  <c r="AN545" i="1"/>
  <c r="AM545" i="1"/>
  <c r="AQ544" i="1"/>
  <c r="AO544" i="1"/>
  <c r="AN544" i="1"/>
  <c r="AM544" i="1"/>
  <c r="AQ543" i="1"/>
  <c r="AO543" i="1"/>
  <c r="AN543" i="1"/>
  <c r="AM543" i="1"/>
  <c r="AQ542" i="1"/>
  <c r="AO542" i="1"/>
  <c r="AN542" i="1"/>
  <c r="AM542" i="1"/>
  <c r="AQ541" i="1"/>
  <c r="AO541" i="1"/>
  <c r="AN541" i="1"/>
  <c r="AM541" i="1"/>
  <c r="AQ540" i="1"/>
  <c r="AO540" i="1"/>
  <c r="AN540" i="1"/>
  <c r="AM540" i="1"/>
  <c r="AQ539" i="1"/>
  <c r="AO539" i="1"/>
  <c r="AN539" i="1"/>
  <c r="AM539" i="1"/>
  <c r="AQ538" i="1"/>
  <c r="AO538" i="1"/>
  <c r="AN538" i="1"/>
  <c r="AM538" i="1"/>
  <c r="AQ537" i="1"/>
  <c r="AO537" i="1"/>
  <c r="AN537" i="1"/>
  <c r="AM537" i="1"/>
  <c r="AQ536" i="1"/>
  <c r="AO536" i="1"/>
  <c r="AN536" i="1"/>
  <c r="AM536" i="1"/>
  <c r="AQ535" i="1"/>
  <c r="AO535" i="1"/>
  <c r="AN535" i="1"/>
  <c r="AM535" i="1"/>
  <c r="AQ534" i="1"/>
  <c r="AO534" i="1"/>
  <c r="AN534" i="1"/>
  <c r="AM534" i="1"/>
  <c r="AQ533" i="1"/>
  <c r="AO533" i="1"/>
  <c r="AN533" i="1"/>
  <c r="AM533" i="1"/>
  <c r="AQ532" i="1"/>
  <c r="AO532" i="1"/>
  <c r="AN532" i="1"/>
  <c r="AM532" i="1"/>
  <c r="AQ531" i="1"/>
  <c r="AO531" i="1"/>
  <c r="AN531" i="1"/>
  <c r="AM531" i="1"/>
  <c r="AQ530" i="1"/>
  <c r="AO530" i="1"/>
  <c r="AN530" i="1"/>
  <c r="AM530" i="1"/>
  <c r="AQ529" i="1"/>
  <c r="AO529" i="1"/>
  <c r="AN529" i="1"/>
  <c r="AM529" i="1"/>
  <c r="AQ528" i="1"/>
  <c r="AO528" i="1"/>
  <c r="AN528" i="1"/>
  <c r="AM528" i="1"/>
  <c r="AQ527" i="1"/>
  <c r="AO527" i="1"/>
  <c r="AN527" i="1"/>
  <c r="AM527" i="1"/>
  <c r="AQ526" i="1"/>
  <c r="AO526" i="1"/>
  <c r="AN526" i="1"/>
  <c r="AM526" i="1"/>
  <c r="AQ525" i="1"/>
  <c r="AO525" i="1"/>
  <c r="AN525" i="1"/>
  <c r="AM525" i="1"/>
  <c r="AQ524" i="1"/>
  <c r="AO524" i="1"/>
  <c r="AN524" i="1"/>
  <c r="AM524" i="1"/>
  <c r="AQ523" i="1"/>
  <c r="AO523" i="1"/>
  <c r="AN523" i="1"/>
  <c r="AM523" i="1"/>
  <c r="AQ522" i="1"/>
  <c r="AO522" i="1"/>
  <c r="AN522" i="1"/>
  <c r="AM522" i="1"/>
  <c r="AQ521" i="1"/>
  <c r="AO521" i="1"/>
  <c r="AN521" i="1"/>
  <c r="AM521" i="1"/>
  <c r="AQ520" i="1"/>
  <c r="AO520" i="1"/>
  <c r="AN520" i="1"/>
  <c r="AM520" i="1"/>
  <c r="AQ519" i="1"/>
  <c r="AO519" i="1"/>
  <c r="AN519" i="1"/>
  <c r="AM519" i="1"/>
  <c r="AQ518" i="1"/>
  <c r="AO518" i="1"/>
  <c r="AN518" i="1"/>
  <c r="AM518" i="1"/>
  <c r="AQ517" i="1"/>
  <c r="AO517" i="1"/>
  <c r="AN517" i="1"/>
  <c r="AM517" i="1"/>
  <c r="AQ516" i="1"/>
  <c r="AO516" i="1"/>
  <c r="AN516" i="1"/>
  <c r="AM516" i="1"/>
  <c r="AQ515" i="1"/>
  <c r="AO515" i="1"/>
  <c r="AN515" i="1"/>
  <c r="AM515" i="1"/>
  <c r="AQ514" i="1"/>
  <c r="AO514" i="1"/>
  <c r="AN514" i="1"/>
  <c r="AM514" i="1"/>
  <c r="AQ513" i="1"/>
  <c r="AO513" i="1"/>
  <c r="AN513" i="1"/>
  <c r="AM513" i="1"/>
  <c r="AQ512" i="1"/>
  <c r="AO512" i="1"/>
  <c r="AN512" i="1"/>
  <c r="AM512" i="1"/>
  <c r="AQ511" i="1"/>
  <c r="AO511" i="1"/>
  <c r="AN511" i="1"/>
  <c r="AM511" i="1"/>
  <c r="AQ510" i="1"/>
  <c r="AO510" i="1"/>
  <c r="AN510" i="1"/>
  <c r="AM510" i="1"/>
  <c r="AQ509" i="1"/>
  <c r="AO509" i="1"/>
  <c r="AN509" i="1"/>
  <c r="AM509" i="1"/>
  <c r="AQ508" i="1"/>
  <c r="AO508" i="1"/>
  <c r="AN508" i="1"/>
  <c r="AM508" i="1"/>
  <c r="AQ507" i="1"/>
  <c r="AO507" i="1"/>
  <c r="AN507" i="1"/>
  <c r="AM507" i="1"/>
  <c r="AQ506" i="1"/>
  <c r="AO506" i="1"/>
  <c r="AN506" i="1"/>
  <c r="AM506" i="1"/>
  <c r="AQ505" i="1"/>
  <c r="AO505" i="1"/>
  <c r="AN505" i="1"/>
  <c r="AM505" i="1"/>
  <c r="AQ504" i="1"/>
  <c r="AO504" i="1"/>
  <c r="AN504" i="1"/>
  <c r="AM504" i="1"/>
  <c r="AQ503" i="1"/>
  <c r="AO503" i="1"/>
  <c r="AN503" i="1"/>
  <c r="AM503" i="1"/>
  <c r="AQ502" i="1"/>
  <c r="AO502" i="1"/>
  <c r="AN502" i="1"/>
  <c r="AM502" i="1"/>
  <c r="AQ501" i="1"/>
  <c r="AO501" i="1"/>
  <c r="AN501" i="1"/>
  <c r="AM501" i="1"/>
  <c r="AQ500" i="1"/>
  <c r="AO500" i="1"/>
  <c r="AN500" i="1"/>
  <c r="AM500" i="1"/>
  <c r="AQ499" i="1"/>
  <c r="AO499" i="1"/>
  <c r="AN499" i="1"/>
  <c r="AM499" i="1"/>
  <c r="AQ498" i="1"/>
  <c r="AO498" i="1"/>
  <c r="AN498" i="1"/>
  <c r="AM498" i="1"/>
  <c r="AQ497" i="1"/>
  <c r="AO497" i="1"/>
  <c r="AN497" i="1"/>
  <c r="AM497" i="1"/>
  <c r="AQ496" i="1"/>
  <c r="AO496" i="1"/>
  <c r="AN496" i="1"/>
  <c r="AM496" i="1"/>
  <c r="AQ495" i="1"/>
  <c r="AO495" i="1"/>
  <c r="AN495" i="1"/>
  <c r="AM495" i="1"/>
  <c r="AQ494" i="1"/>
  <c r="AO494" i="1"/>
  <c r="AN494" i="1"/>
  <c r="AM494" i="1"/>
  <c r="AQ493" i="1"/>
  <c r="AO493" i="1"/>
  <c r="AN493" i="1"/>
  <c r="AM493" i="1"/>
  <c r="AQ492" i="1"/>
  <c r="AO492" i="1"/>
  <c r="AN492" i="1"/>
  <c r="AM492" i="1"/>
  <c r="AQ491" i="1"/>
  <c r="AO491" i="1"/>
  <c r="AN491" i="1"/>
  <c r="AM491" i="1"/>
  <c r="AQ490" i="1"/>
  <c r="AO490" i="1"/>
  <c r="AN490" i="1"/>
  <c r="AM490" i="1"/>
  <c r="AQ489" i="1"/>
  <c r="AO489" i="1"/>
  <c r="AN489" i="1"/>
  <c r="AM489" i="1"/>
  <c r="AQ488" i="1"/>
  <c r="AO488" i="1"/>
  <c r="AN488" i="1"/>
  <c r="AM488" i="1"/>
  <c r="AQ487" i="1"/>
  <c r="AO487" i="1"/>
  <c r="AN487" i="1"/>
  <c r="AM487" i="1"/>
  <c r="AQ486" i="1"/>
  <c r="AO486" i="1"/>
  <c r="AN486" i="1"/>
  <c r="AM486" i="1"/>
  <c r="AQ485" i="1"/>
  <c r="AO485" i="1"/>
  <c r="AN485" i="1"/>
  <c r="AM485" i="1"/>
  <c r="AQ484" i="1"/>
  <c r="AO484" i="1"/>
  <c r="AN484" i="1"/>
  <c r="AM484" i="1"/>
  <c r="AQ483" i="1"/>
  <c r="AO483" i="1"/>
  <c r="AN483" i="1"/>
  <c r="AM483" i="1"/>
  <c r="AQ482" i="1"/>
  <c r="AO482" i="1"/>
  <c r="AN482" i="1"/>
  <c r="AM482" i="1"/>
  <c r="AQ481" i="1"/>
  <c r="AO481" i="1"/>
  <c r="AN481" i="1"/>
  <c r="AM481" i="1"/>
  <c r="AQ480" i="1"/>
  <c r="AO480" i="1"/>
  <c r="AN480" i="1"/>
  <c r="AM480" i="1"/>
  <c r="AQ479" i="1"/>
  <c r="AO479" i="1"/>
  <c r="AN479" i="1"/>
  <c r="AM479" i="1"/>
  <c r="AQ478" i="1"/>
  <c r="AO478" i="1"/>
  <c r="AN478" i="1"/>
  <c r="AM478" i="1"/>
  <c r="AQ477" i="1"/>
  <c r="AO477" i="1"/>
  <c r="AN477" i="1"/>
  <c r="AM477" i="1"/>
  <c r="AQ476" i="1"/>
  <c r="AO476" i="1"/>
  <c r="AN476" i="1"/>
  <c r="AM476" i="1"/>
  <c r="AQ475" i="1"/>
  <c r="AO475" i="1"/>
  <c r="AN475" i="1"/>
  <c r="AM475" i="1"/>
  <c r="AQ474" i="1"/>
  <c r="AO474" i="1"/>
  <c r="AN474" i="1"/>
  <c r="AM474" i="1"/>
  <c r="AQ473" i="1"/>
  <c r="AO473" i="1"/>
  <c r="AN473" i="1"/>
  <c r="AM473" i="1"/>
  <c r="AQ472" i="1"/>
  <c r="AO472" i="1"/>
  <c r="AN472" i="1"/>
  <c r="AM472" i="1"/>
  <c r="AQ471" i="1"/>
  <c r="AO471" i="1"/>
  <c r="AN471" i="1"/>
  <c r="AM471" i="1"/>
  <c r="AQ470" i="1"/>
  <c r="AO470" i="1"/>
  <c r="AN470" i="1"/>
  <c r="AM470" i="1"/>
  <c r="AQ469" i="1"/>
  <c r="AO469" i="1"/>
  <c r="AN469" i="1"/>
  <c r="AM469" i="1"/>
  <c r="AQ468" i="1"/>
  <c r="AO468" i="1"/>
  <c r="AN468" i="1"/>
  <c r="AM468" i="1"/>
  <c r="AQ467" i="1"/>
  <c r="AO467" i="1"/>
  <c r="AN467" i="1"/>
  <c r="AM467" i="1"/>
  <c r="AQ466" i="1"/>
  <c r="AO466" i="1"/>
  <c r="AN466" i="1"/>
  <c r="AM466" i="1"/>
  <c r="AQ465" i="1"/>
  <c r="AO465" i="1"/>
  <c r="AN465" i="1"/>
  <c r="AM465" i="1"/>
  <c r="AQ464" i="1"/>
  <c r="AO464" i="1"/>
  <c r="AN464" i="1"/>
  <c r="AM464" i="1"/>
  <c r="AQ463" i="1"/>
  <c r="AO463" i="1"/>
  <c r="AN463" i="1"/>
  <c r="AM463" i="1"/>
  <c r="AQ462" i="1"/>
  <c r="AO462" i="1"/>
  <c r="AN462" i="1"/>
  <c r="AM462" i="1"/>
  <c r="AQ461" i="1"/>
  <c r="AO461" i="1"/>
  <c r="AN461" i="1"/>
  <c r="AM461" i="1"/>
  <c r="AQ460" i="1"/>
  <c r="AO460" i="1"/>
  <c r="AN460" i="1"/>
  <c r="AM460" i="1"/>
  <c r="AQ459" i="1"/>
  <c r="AO459" i="1"/>
  <c r="AN459" i="1"/>
  <c r="AM459" i="1"/>
  <c r="AQ458" i="1"/>
  <c r="AO458" i="1"/>
  <c r="AN458" i="1"/>
  <c r="AM458" i="1"/>
  <c r="AQ457" i="1"/>
  <c r="AO457" i="1"/>
  <c r="AN457" i="1"/>
  <c r="AM457" i="1"/>
  <c r="AQ456" i="1"/>
  <c r="AO456" i="1"/>
  <c r="AN456" i="1"/>
  <c r="AM456" i="1"/>
  <c r="AQ455" i="1"/>
  <c r="AO455" i="1"/>
  <c r="AN455" i="1"/>
  <c r="AM455" i="1"/>
  <c r="AQ454" i="1"/>
  <c r="AO454" i="1"/>
  <c r="AN454" i="1"/>
  <c r="AM454" i="1"/>
  <c r="AQ453" i="1"/>
  <c r="AO453" i="1"/>
  <c r="AN453" i="1"/>
  <c r="AM453" i="1"/>
  <c r="AQ452" i="1"/>
  <c r="AO452" i="1"/>
  <c r="AN452" i="1"/>
  <c r="AM452" i="1"/>
  <c r="AQ451" i="1"/>
  <c r="AO451" i="1"/>
  <c r="AN451" i="1"/>
  <c r="AM451" i="1"/>
  <c r="AQ450" i="1"/>
  <c r="AO450" i="1"/>
  <c r="AN450" i="1"/>
  <c r="AM450" i="1"/>
  <c r="AQ449" i="1"/>
  <c r="AO449" i="1"/>
  <c r="AN449" i="1"/>
  <c r="AM449" i="1"/>
  <c r="AQ448" i="1"/>
  <c r="AO448" i="1"/>
  <c r="AN448" i="1"/>
  <c r="AM448" i="1"/>
  <c r="AQ447" i="1"/>
  <c r="AO447" i="1"/>
  <c r="AN447" i="1"/>
  <c r="AM447" i="1"/>
  <c r="AQ446" i="1"/>
  <c r="AO446" i="1"/>
  <c r="AN446" i="1"/>
  <c r="AM446" i="1"/>
  <c r="AQ445" i="1"/>
  <c r="AO445" i="1"/>
  <c r="AN445" i="1"/>
  <c r="AM445" i="1"/>
  <c r="AQ444" i="1"/>
  <c r="AO444" i="1"/>
  <c r="AN444" i="1"/>
  <c r="AM444" i="1"/>
  <c r="AQ443" i="1"/>
  <c r="AO443" i="1"/>
  <c r="AN443" i="1"/>
  <c r="AM443" i="1"/>
  <c r="AQ442" i="1"/>
  <c r="AO442" i="1"/>
  <c r="AN442" i="1"/>
  <c r="AM442" i="1"/>
  <c r="AQ441" i="1"/>
  <c r="AO441" i="1"/>
  <c r="AN441" i="1"/>
  <c r="AM441" i="1"/>
  <c r="AQ440" i="1"/>
  <c r="AO440" i="1"/>
  <c r="AN440" i="1"/>
  <c r="AM440" i="1"/>
  <c r="AQ439" i="1"/>
  <c r="AO439" i="1"/>
  <c r="AN439" i="1"/>
  <c r="AM439" i="1"/>
  <c r="AQ438" i="1"/>
  <c r="AO438" i="1"/>
  <c r="AN438" i="1"/>
  <c r="AM438" i="1"/>
  <c r="AQ437" i="1"/>
  <c r="AO437" i="1"/>
  <c r="AN437" i="1"/>
  <c r="AM437" i="1"/>
  <c r="AQ436" i="1"/>
  <c r="AO436" i="1"/>
  <c r="AN436" i="1"/>
  <c r="AM436" i="1"/>
  <c r="AQ435" i="1"/>
  <c r="AO435" i="1"/>
  <c r="AN435" i="1"/>
  <c r="AM435" i="1"/>
  <c r="AQ434" i="1"/>
  <c r="AO434" i="1"/>
  <c r="AN434" i="1"/>
  <c r="AM434" i="1"/>
  <c r="AQ433" i="1"/>
  <c r="AO433" i="1"/>
  <c r="AN433" i="1"/>
  <c r="AM433" i="1"/>
  <c r="AQ432" i="1"/>
  <c r="AO432" i="1"/>
  <c r="AN432" i="1"/>
  <c r="AM432" i="1"/>
  <c r="AQ431" i="1"/>
  <c r="AO431" i="1"/>
  <c r="AN431" i="1"/>
  <c r="AM431" i="1"/>
  <c r="AQ430" i="1"/>
  <c r="AO430" i="1"/>
  <c r="AN430" i="1"/>
  <c r="AM430" i="1"/>
  <c r="AQ429" i="1"/>
  <c r="AO429" i="1"/>
  <c r="AN429" i="1"/>
  <c r="AM429" i="1"/>
  <c r="AQ428" i="1"/>
  <c r="AO428" i="1"/>
  <c r="AN428" i="1"/>
  <c r="AM428" i="1"/>
  <c r="AQ427" i="1"/>
  <c r="AO427" i="1"/>
  <c r="AN427" i="1"/>
  <c r="AM427" i="1"/>
  <c r="AQ426" i="1"/>
  <c r="AO426" i="1"/>
  <c r="AN426" i="1"/>
  <c r="AM426" i="1"/>
  <c r="AQ425" i="1"/>
  <c r="AO425" i="1"/>
  <c r="AN425" i="1"/>
  <c r="AM425" i="1"/>
  <c r="AQ424" i="1"/>
  <c r="AO424" i="1"/>
  <c r="AN424" i="1"/>
  <c r="AM424" i="1"/>
  <c r="AQ423" i="1"/>
  <c r="AO423" i="1"/>
  <c r="AN423" i="1"/>
  <c r="AM423" i="1"/>
  <c r="AQ422" i="1"/>
  <c r="AO422" i="1"/>
  <c r="AN422" i="1"/>
  <c r="AM422" i="1"/>
  <c r="AQ421" i="1"/>
  <c r="AO421" i="1"/>
  <c r="AN421" i="1"/>
  <c r="AM421" i="1"/>
  <c r="AQ420" i="1"/>
  <c r="AO420" i="1"/>
  <c r="AN420" i="1"/>
  <c r="AM420" i="1"/>
  <c r="AQ419" i="1"/>
  <c r="AO419" i="1"/>
  <c r="AN419" i="1"/>
  <c r="AM419" i="1"/>
  <c r="AQ418" i="1"/>
  <c r="AO418" i="1"/>
  <c r="AN418" i="1"/>
  <c r="AM418" i="1"/>
  <c r="AQ417" i="1"/>
  <c r="AO417" i="1"/>
  <c r="AN417" i="1"/>
  <c r="AM417" i="1"/>
  <c r="AQ416" i="1"/>
  <c r="AO416" i="1"/>
  <c r="AN416" i="1"/>
  <c r="AM416" i="1"/>
  <c r="AQ415" i="1"/>
  <c r="AO415" i="1"/>
  <c r="AN415" i="1"/>
  <c r="AM415" i="1"/>
  <c r="AQ414" i="1"/>
  <c r="AO414" i="1"/>
  <c r="AN414" i="1"/>
  <c r="AM414" i="1"/>
  <c r="AQ413" i="1"/>
  <c r="AO413" i="1"/>
  <c r="AN413" i="1"/>
  <c r="AM413" i="1"/>
  <c r="AQ412" i="1"/>
  <c r="AO412" i="1"/>
  <c r="AN412" i="1"/>
  <c r="AM412" i="1"/>
  <c r="AQ411" i="1"/>
  <c r="AO411" i="1"/>
  <c r="AN411" i="1"/>
  <c r="AM411" i="1"/>
  <c r="AQ410" i="1"/>
  <c r="AO410" i="1"/>
  <c r="AN410" i="1"/>
  <c r="AM410" i="1"/>
  <c r="AQ409" i="1"/>
  <c r="AO409" i="1"/>
  <c r="AN409" i="1"/>
  <c r="AM409" i="1"/>
  <c r="AQ408" i="1"/>
  <c r="AO408" i="1"/>
  <c r="AN408" i="1"/>
  <c r="AM408" i="1"/>
  <c r="AQ407" i="1"/>
  <c r="AO407" i="1"/>
  <c r="AN407" i="1"/>
  <c r="AM407" i="1"/>
  <c r="AQ406" i="1"/>
  <c r="AO406" i="1"/>
  <c r="AN406" i="1"/>
  <c r="AM406" i="1"/>
  <c r="AQ405" i="1"/>
  <c r="AO405" i="1"/>
  <c r="AN405" i="1"/>
  <c r="AM405" i="1"/>
  <c r="AQ404" i="1"/>
  <c r="AO404" i="1"/>
  <c r="AN404" i="1"/>
  <c r="AM404" i="1"/>
  <c r="AQ403" i="1"/>
  <c r="AO403" i="1"/>
  <c r="AN403" i="1"/>
  <c r="AM403" i="1"/>
  <c r="AQ402" i="1"/>
  <c r="AO402" i="1"/>
  <c r="AN402" i="1"/>
  <c r="AM402" i="1"/>
  <c r="AQ401" i="1"/>
  <c r="AO401" i="1"/>
  <c r="AN401" i="1"/>
  <c r="AM401" i="1"/>
  <c r="AQ400" i="1"/>
  <c r="AO400" i="1"/>
  <c r="AN400" i="1"/>
  <c r="AM400" i="1"/>
  <c r="AQ399" i="1"/>
  <c r="AO399" i="1"/>
  <c r="AN399" i="1"/>
  <c r="AM399" i="1"/>
  <c r="AQ398" i="1"/>
  <c r="AO398" i="1"/>
  <c r="AN398" i="1"/>
  <c r="AM398" i="1"/>
  <c r="AQ397" i="1"/>
  <c r="AO397" i="1"/>
  <c r="AN397" i="1"/>
  <c r="AM397" i="1"/>
  <c r="AQ396" i="1"/>
  <c r="AO396" i="1"/>
  <c r="AN396" i="1"/>
  <c r="AM396" i="1"/>
  <c r="AQ395" i="1"/>
  <c r="AO395" i="1"/>
  <c r="AN395" i="1"/>
  <c r="AM395" i="1"/>
  <c r="AQ394" i="1"/>
  <c r="AO394" i="1"/>
  <c r="AN394" i="1"/>
  <c r="AM394" i="1"/>
  <c r="AQ393" i="1"/>
  <c r="AO393" i="1"/>
  <c r="AN393" i="1"/>
  <c r="AM393" i="1"/>
  <c r="AQ392" i="1"/>
  <c r="AO392" i="1"/>
  <c r="AN392" i="1"/>
  <c r="AM392" i="1"/>
  <c r="AQ391" i="1"/>
  <c r="AO391" i="1"/>
  <c r="AN391" i="1"/>
  <c r="AM391" i="1"/>
  <c r="AQ390" i="1"/>
  <c r="AO390" i="1"/>
  <c r="AN390" i="1"/>
  <c r="AM390" i="1"/>
  <c r="AQ389" i="1"/>
  <c r="AO389" i="1"/>
  <c r="AN389" i="1"/>
  <c r="AM389" i="1"/>
  <c r="AQ388" i="1"/>
  <c r="AO388" i="1"/>
  <c r="AN388" i="1"/>
  <c r="AM388" i="1"/>
  <c r="AQ387" i="1"/>
  <c r="AO387" i="1"/>
  <c r="AN387" i="1"/>
  <c r="AM387" i="1"/>
  <c r="AQ386" i="1"/>
  <c r="AO386" i="1"/>
  <c r="AN386" i="1"/>
  <c r="AM386" i="1"/>
  <c r="AQ385" i="1"/>
  <c r="AO385" i="1"/>
  <c r="AN385" i="1"/>
  <c r="AM385" i="1"/>
  <c r="AQ384" i="1"/>
  <c r="AO384" i="1"/>
  <c r="AN384" i="1"/>
  <c r="AM384" i="1"/>
  <c r="AQ383" i="1"/>
  <c r="AO383" i="1"/>
  <c r="AN383" i="1"/>
  <c r="AM383" i="1"/>
  <c r="AQ382" i="1"/>
  <c r="AO382" i="1"/>
  <c r="AN382" i="1"/>
  <c r="AM382" i="1"/>
  <c r="AQ381" i="1"/>
  <c r="AO381" i="1"/>
  <c r="AN381" i="1"/>
  <c r="AM381" i="1"/>
  <c r="AQ380" i="1"/>
  <c r="AO380" i="1"/>
  <c r="AN380" i="1"/>
  <c r="AM380" i="1"/>
  <c r="AQ379" i="1"/>
  <c r="AO379" i="1"/>
  <c r="AN379" i="1"/>
  <c r="AM379" i="1"/>
  <c r="AQ378" i="1"/>
  <c r="AO378" i="1"/>
  <c r="AN378" i="1"/>
  <c r="AM378" i="1"/>
  <c r="AQ377" i="1"/>
  <c r="AO377" i="1"/>
  <c r="AN377" i="1"/>
  <c r="AM377" i="1"/>
  <c r="AQ376" i="1"/>
  <c r="AO376" i="1"/>
  <c r="AN376" i="1"/>
  <c r="AM376" i="1"/>
  <c r="AQ375" i="1"/>
  <c r="AO375" i="1"/>
  <c r="AN375" i="1"/>
  <c r="AM375" i="1"/>
  <c r="AQ374" i="1"/>
  <c r="AO374" i="1"/>
  <c r="AN374" i="1"/>
  <c r="AM374" i="1"/>
  <c r="AQ373" i="1"/>
  <c r="AO373" i="1"/>
  <c r="AN373" i="1"/>
  <c r="AM373" i="1"/>
  <c r="AQ372" i="1"/>
  <c r="AO372" i="1"/>
  <c r="AN372" i="1"/>
  <c r="AM372" i="1"/>
  <c r="AQ371" i="1"/>
  <c r="AO371" i="1"/>
  <c r="AN371" i="1"/>
  <c r="AM371" i="1"/>
  <c r="AQ370" i="1"/>
  <c r="AO370" i="1"/>
  <c r="AN370" i="1"/>
  <c r="AM370" i="1"/>
  <c r="AQ369" i="1"/>
  <c r="AO369" i="1"/>
  <c r="AN369" i="1"/>
  <c r="AM369" i="1"/>
  <c r="AQ368" i="1"/>
  <c r="AO368" i="1"/>
  <c r="AN368" i="1"/>
  <c r="AM368" i="1"/>
  <c r="AQ367" i="1"/>
  <c r="AO367" i="1"/>
  <c r="AN367" i="1"/>
  <c r="AM367" i="1"/>
  <c r="AQ366" i="1"/>
  <c r="AO366" i="1"/>
  <c r="AN366" i="1"/>
  <c r="AM366" i="1"/>
  <c r="AQ365" i="1"/>
  <c r="AO365" i="1"/>
  <c r="AN365" i="1"/>
  <c r="AM365" i="1"/>
  <c r="AQ364" i="1"/>
  <c r="AO364" i="1"/>
  <c r="AN364" i="1"/>
  <c r="AM364" i="1"/>
  <c r="AQ363" i="1"/>
  <c r="AO363" i="1"/>
  <c r="AN363" i="1"/>
  <c r="AM363" i="1"/>
  <c r="AQ362" i="1"/>
  <c r="AO362" i="1"/>
  <c r="AN362" i="1"/>
  <c r="AM362" i="1"/>
  <c r="AQ361" i="1"/>
  <c r="AO361" i="1"/>
  <c r="AN361" i="1"/>
  <c r="AM361" i="1"/>
  <c r="AQ360" i="1"/>
  <c r="AO360" i="1"/>
  <c r="AN360" i="1"/>
  <c r="AM360" i="1"/>
  <c r="AQ359" i="1"/>
  <c r="AO359" i="1"/>
  <c r="AN359" i="1"/>
  <c r="AM359" i="1"/>
  <c r="AQ358" i="1"/>
  <c r="AO358" i="1"/>
  <c r="AN358" i="1"/>
  <c r="AM358" i="1"/>
  <c r="AQ357" i="1"/>
  <c r="AO357" i="1"/>
  <c r="AN357" i="1"/>
  <c r="AM357" i="1"/>
  <c r="AQ356" i="1"/>
  <c r="AO356" i="1"/>
  <c r="AN356" i="1"/>
  <c r="AM356" i="1"/>
  <c r="AQ355" i="1"/>
  <c r="AO355" i="1"/>
  <c r="AN355" i="1"/>
  <c r="AM355" i="1"/>
  <c r="AQ354" i="1"/>
  <c r="AO354" i="1"/>
  <c r="AN354" i="1"/>
  <c r="AM354" i="1"/>
  <c r="AQ353" i="1"/>
  <c r="AO353" i="1"/>
  <c r="AN353" i="1"/>
  <c r="AM353" i="1"/>
  <c r="AQ352" i="1"/>
  <c r="AO352" i="1"/>
  <c r="AN352" i="1"/>
  <c r="AM352" i="1"/>
  <c r="AQ351" i="1"/>
  <c r="AO351" i="1"/>
  <c r="AN351" i="1"/>
  <c r="AM351" i="1"/>
  <c r="AQ350" i="1"/>
  <c r="AO350" i="1"/>
  <c r="AN350" i="1"/>
  <c r="AM350" i="1"/>
  <c r="AQ349" i="1"/>
  <c r="AO349" i="1"/>
  <c r="AN349" i="1"/>
  <c r="AM349" i="1"/>
  <c r="AQ348" i="1"/>
  <c r="AO348" i="1"/>
  <c r="AN348" i="1"/>
  <c r="AM348" i="1"/>
  <c r="AQ347" i="1"/>
  <c r="AO347" i="1"/>
  <c r="AN347" i="1"/>
  <c r="AM347" i="1"/>
  <c r="AQ346" i="1"/>
  <c r="AO346" i="1"/>
  <c r="AN346" i="1"/>
  <c r="AM346" i="1"/>
  <c r="AQ345" i="1"/>
  <c r="AO345" i="1"/>
  <c r="AN345" i="1"/>
  <c r="AM345" i="1"/>
  <c r="AQ344" i="1"/>
  <c r="AO344" i="1"/>
  <c r="AN344" i="1"/>
  <c r="AM344" i="1"/>
  <c r="AQ343" i="1"/>
  <c r="AO343" i="1"/>
  <c r="AN343" i="1"/>
  <c r="AM343" i="1"/>
  <c r="AQ342" i="1"/>
  <c r="AO342" i="1"/>
  <c r="AN342" i="1"/>
  <c r="AM342" i="1"/>
  <c r="AQ341" i="1"/>
  <c r="AO341" i="1"/>
  <c r="AN341" i="1"/>
  <c r="AM341" i="1"/>
  <c r="AQ340" i="1"/>
  <c r="AO340" i="1"/>
  <c r="AN340" i="1"/>
  <c r="AM340" i="1"/>
  <c r="AQ339" i="1"/>
  <c r="AO339" i="1"/>
  <c r="AN339" i="1"/>
  <c r="AM339" i="1"/>
  <c r="AQ338" i="1"/>
  <c r="AO338" i="1"/>
  <c r="AN338" i="1"/>
  <c r="AM338" i="1"/>
  <c r="AQ337" i="1"/>
  <c r="AO337" i="1"/>
  <c r="AN337" i="1"/>
  <c r="AM337" i="1"/>
  <c r="AQ336" i="1"/>
  <c r="AO336" i="1"/>
  <c r="AN336" i="1"/>
  <c r="AM336" i="1"/>
  <c r="AQ335" i="1"/>
  <c r="AO335" i="1"/>
  <c r="AN335" i="1"/>
  <c r="AM335" i="1"/>
  <c r="AQ334" i="1"/>
  <c r="AO334" i="1"/>
  <c r="AN334" i="1"/>
  <c r="AM334" i="1"/>
  <c r="AQ333" i="1"/>
  <c r="AO333" i="1"/>
  <c r="AN333" i="1"/>
  <c r="AM333" i="1"/>
  <c r="AQ332" i="1"/>
  <c r="AO332" i="1"/>
  <c r="AN332" i="1"/>
  <c r="AM332" i="1"/>
  <c r="AQ331" i="1"/>
  <c r="AO331" i="1"/>
  <c r="AN331" i="1"/>
  <c r="AM331" i="1"/>
  <c r="AQ330" i="1"/>
  <c r="AO330" i="1"/>
  <c r="AN330" i="1"/>
  <c r="AM330" i="1"/>
  <c r="AQ329" i="1"/>
  <c r="AO329" i="1"/>
  <c r="AN329" i="1"/>
  <c r="AM329" i="1"/>
  <c r="AQ328" i="1"/>
  <c r="AO328" i="1"/>
  <c r="AN328" i="1"/>
  <c r="AM328" i="1"/>
  <c r="AQ327" i="1"/>
  <c r="AO327" i="1"/>
  <c r="AN327" i="1"/>
  <c r="AM327" i="1"/>
  <c r="AQ326" i="1"/>
  <c r="AO326" i="1"/>
  <c r="AN326" i="1"/>
  <c r="AM326" i="1"/>
  <c r="AQ325" i="1"/>
  <c r="AO325" i="1"/>
  <c r="AN325" i="1"/>
  <c r="AM325" i="1"/>
  <c r="AQ324" i="1"/>
  <c r="AO324" i="1"/>
  <c r="AN324" i="1"/>
  <c r="AM324" i="1"/>
  <c r="AQ323" i="1"/>
  <c r="AO323" i="1"/>
  <c r="AN323" i="1"/>
  <c r="AM323" i="1"/>
  <c r="AQ322" i="1"/>
  <c r="AO322" i="1"/>
  <c r="AN322" i="1"/>
  <c r="AM322" i="1"/>
  <c r="AQ321" i="1"/>
  <c r="AO321" i="1"/>
  <c r="AN321" i="1"/>
  <c r="AM321" i="1"/>
  <c r="AQ320" i="1"/>
  <c r="AO320" i="1"/>
  <c r="AN320" i="1"/>
  <c r="AM320" i="1"/>
  <c r="AQ319" i="1"/>
  <c r="AO319" i="1"/>
  <c r="AN319" i="1"/>
  <c r="AM319" i="1"/>
  <c r="AQ318" i="1"/>
  <c r="AO318" i="1"/>
  <c r="AN318" i="1"/>
  <c r="AM318" i="1"/>
  <c r="AQ317" i="1"/>
  <c r="AO317" i="1"/>
  <c r="AN317" i="1"/>
  <c r="AM317" i="1"/>
  <c r="AQ316" i="1"/>
  <c r="AO316" i="1"/>
  <c r="AN316" i="1"/>
  <c r="AM316" i="1"/>
  <c r="AQ315" i="1"/>
  <c r="AO315" i="1"/>
  <c r="AN315" i="1"/>
  <c r="AM315" i="1"/>
  <c r="AQ314" i="1"/>
  <c r="AO314" i="1"/>
  <c r="AN314" i="1"/>
  <c r="AM314" i="1"/>
  <c r="AQ313" i="1"/>
  <c r="AO313" i="1"/>
  <c r="AN313" i="1"/>
  <c r="AM313" i="1"/>
  <c r="AQ312" i="1"/>
  <c r="AO312" i="1"/>
  <c r="AN312" i="1"/>
  <c r="AM312" i="1"/>
  <c r="AQ311" i="1"/>
  <c r="AO311" i="1"/>
  <c r="AN311" i="1"/>
  <c r="AM311" i="1"/>
  <c r="AQ310" i="1"/>
  <c r="AO310" i="1"/>
  <c r="AN310" i="1"/>
  <c r="AM310" i="1"/>
  <c r="AQ309" i="1"/>
  <c r="AO309" i="1"/>
  <c r="AN309" i="1"/>
  <c r="AM309" i="1"/>
  <c r="AQ308" i="1"/>
  <c r="AO308" i="1"/>
  <c r="AN308" i="1"/>
  <c r="AM308" i="1"/>
  <c r="AQ307" i="1"/>
  <c r="AO307" i="1"/>
  <c r="AN307" i="1"/>
  <c r="AM307" i="1"/>
  <c r="AQ306" i="1"/>
  <c r="AO306" i="1"/>
  <c r="AN306" i="1"/>
  <c r="AM306" i="1"/>
  <c r="AQ305" i="1"/>
  <c r="AO305" i="1"/>
  <c r="AN305" i="1"/>
  <c r="AM305" i="1"/>
  <c r="AQ304" i="1"/>
  <c r="AO304" i="1"/>
  <c r="AN304" i="1"/>
  <c r="AM304" i="1"/>
  <c r="AQ303" i="1"/>
  <c r="AO303" i="1"/>
  <c r="AN303" i="1"/>
  <c r="AM303" i="1"/>
  <c r="AQ302" i="1"/>
  <c r="AO302" i="1"/>
  <c r="AN302" i="1"/>
  <c r="AM302" i="1"/>
  <c r="AQ301" i="1"/>
  <c r="AO301" i="1"/>
  <c r="AN301" i="1"/>
  <c r="AM301" i="1"/>
  <c r="AQ300" i="1"/>
  <c r="AO300" i="1"/>
  <c r="AN300" i="1"/>
  <c r="AM300" i="1"/>
  <c r="AQ299" i="1"/>
  <c r="AO299" i="1"/>
  <c r="AN299" i="1"/>
  <c r="AM299" i="1"/>
  <c r="AQ298" i="1"/>
  <c r="AO298" i="1"/>
  <c r="AN298" i="1"/>
  <c r="AM298" i="1"/>
  <c r="AQ297" i="1"/>
  <c r="AO297" i="1"/>
  <c r="AN297" i="1"/>
  <c r="AM297" i="1"/>
  <c r="AQ296" i="1"/>
  <c r="AO296" i="1"/>
  <c r="AN296" i="1"/>
  <c r="AM296" i="1"/>
  <c r="AQ295" i="1"/>
  <c r="AO295" i="1"/>
  <c r="AN295" i="1"/>
  <c r="AM295" i="1"/>
  <c r="AQ294" i="1"/>
  <c r="AO294" i="1"/>
  <c r="AN294" i="1"/>
  <c r="AM294" i="1"/>
  <c r="AQ293" i="1"/>
  <c r="AO293" i="1"/>
  <c r="AN293" i="1"/>
  <c r="AM293" i="1"/>
  <c r="AQ292" i="1"/>
  <c r="AO292" i="1"/>
  <c r="AN292" i="1"/>
  <c r="AM292" i="1"/>
  <c r="AQ291" i="1"/>
  <c r="AO291" i="1"/>
  <c r="AN291" i="1"/>
  <c r="AM291" i="1"/>
  <c r="AQ290" i="1"/>
  <c r="AO290" i="1"/>
  <c r="AN290" i="1"/>
  <c r="AM290" i="1"/>
  <c r="AQ289" i="1"/>
  <c r="AO289" i="1"/>
  <c r="AN289" i="1"/>
  <c r="AM289" i="1"/>
  <c r="AQ288" i="1"/>
  <c r="AO288" i="1"/>
  <c r="AN288" i="1"/>
  <c r="AM288" i="1"/>
  <c r="AQ287" i="1"/>
  <c r="AO287" i="1"/>
  <c r="AN287" i="1"/>
  <c r="AM287" i="1"/>
  <c r="AQ286" i="1"/>
  <c r="AO286" i="1"/>
  <c r="AN286" i="1"/>
  <c r="AM286" i="1"/>
  <c r="AQ285" i="1"/>
  <c r="AO285" i="1"/>
  <c r="AN285" i="1"/>
  <c r="AM285" i="1"/>
  <c r="AQ284" i="1"/>
  <c r="AO284" i="1"/>
  <c r="AN284" i="1"/>
  <c r="AM284" i="1"/>
  <c r="AQ283" i="1"/>
  <c r="AO283" i="1"/>
  <c r="AN283" i="1"/>
  <c r="AM283" i="1"/>
  <c r="AQ282" i="1"/>
  <c r="AO282" i="1"/>
  <c r="AN282" i="1"/>
  <c r="AM282" i="1"/>
  <c r="AQ281" i="1"/>
  <c r="AO281" i="1"/>
  <c r="AN281" i="1"/>
  <c r="AM281" i="1"/>
  <c r="AQ280" i="1"/>
  <c r="AO280" i="1"/>
  <c r="AN280" i="1"/>
  <c r="AM280" i="1"/>
  <c r="AQ279" i="1"/>
  <c r="AO279" i="1"/>
  <c r="AN279" i="1"/>
  <c r="AM279" i="1"/>
  <c r="AQ278" i="1"/>
  <c r="AO278" i="1"/>
  <c r="AN278" i="1"/>
  <c r="AM278" i="1"/>
  <c r="AQ277" i="1"/>
  <c r="AO277" i="1"/>
  <c r="AN277" i="1"/>
  <c r="AM277" i="1"/>
  <c r="AQ276" i="1"/>
  <c r="AO276" i="1"/>
  <c r="AN276" i="1"/>
  <c r="AM276" i="1"/>
  <c r="AQ275" i="1"/>
  <c r="AO275" i="1"/>
  <c r="AN275" i="1"/>
  <c r="AM275" i="1"/>
  <c r="AQ274" i="1"/>
  <c r="AO274" i="1"/>
  <c r="AN274" i="1"/>
  <c r="AM274" i="1"/>
  <c r="AQ273" i="1"/>
  <c r="AO273" i="1"/>
  <c r="AN273" i="1"/>
  <c r="AM273" i="1"/>
  <c r="AQ272" i="1"/>
  <c r="AO272" i="1"/>
  <c r="AN272" i="1"/>
  <c r="AM272" i="1"/>
  <c r="AQ271" i="1"/>
  <c r="AO271" i="1"/>
  <c r="AN271" i="1"/>
  <c r="AM271" i="1"/>
  <c r="AQ270" i="1"/>
  <c r="AO270" i="1"/>
  <c r="AN270" i="1"/>
  <c r="AM270" i="1"/>
  <c r="AQ269" i="1"/>
  <c r="AO269" i="1"/>
  <c r="AN269" i="1"/>
  <c r="AM269" i="1"/>
  <c r="AQ268" i="1"/>
  <c r="AO268" i="1"/>
  <c r="AN268" i="1"/>
  <c r="AM268" i="1"/>
  <c r="AQ267" i="1"/>
  <c r="AO267" i="1"/>
  <c r="AN267" i="1"/>
  <c r="AM267" i="1"/>
  <c r="AQ266" i="1"/>
  <c r="AO266" i="1"/>
  <c r="AN266" i="1"/>
  <c r="AM266" i="1"/>
  <c r="AQ265" i="1"/>
  <c r="AO265" i="1"/>
  <c r="AN265" i="1"/>
  <c r="AM265" i="1"/>
  <c r="AQ264" i="1"/>
  <c r="AO264" i="1"/>
  <c r="AN264" i="1"/>
  <c r="AM264" i="1"/>
  <c r="AQ263" i="1"/>
  <c r="AO263" i="1"/>
  <c r="AN263" i="1"/>
  <c r="AM263" i="1"/>
  <c r="AQ262" i="1"/>
  <c r="AO262" i="1"/>
  <c r="AN262" i="1"/>
  <c r="AM262" i="1"/>
  <c r="AQ261" i="1"/>
  <c r="AO261" i="1"/>
  <c r="AN261" i="1"/>
  <c r="AM261" i="1"/>
  <c r="AQ260" i="1"/>
  <c r="AO260" i="1"/>
  <c r="AN260" i="1"/>
  <c r="AM260" i="1"/>
  <c r="AQ259" i="1"/>
  <c r="AO259" i="1"/>
  <c r="AN259" i="1"/>
  <c r="AM259" i="1"/>
  <c r="AQ258" i="1"/>
  <c r="AO258" i="1"/>
  <c r="AN258" i="1"/>
  <c r="AM258" i="1"/>
  <c r="AQ257" i="1"/>
  <c r="AO257" i="1"/>
  <c r="AN257" i="1"/>
  <c r="AM257" i="1"/>
  <c r="AQ256" i="1"/>
  <c r="AO256" i="1"/>
  <c r="AN256" i="1"/>
  <c r="AM256" i="1"/>
  <c r="AQ255" i="1"/>
  <c r="AO255" i="1"/>
  <c r="AN255" i="1"/>
  <c r="AM255" i="1"/>
  <c r="AQ254" i="1"/>
  <c r="AO254" i="1"/>
  <c r="AN254" i="1"/>
  <c r="AM254" i="1"/>
  <c r="AQ253" i="1"/>
  <c r="AO253" i="1"/>
  <c r="AN253" i="1"/>
  <c r="AM253" i="1"/>
  <c r="AQ252" i="1"/>
  <c r="AO252" i="1"/>
  <c r="AN252" i="1"/>
  <c r="AM252" i="1"/>
  <c r="AQ251" i="1"/>
  <c r="AO251" i="1"/>
  <c r="AN251" i="1"/>
  <c r="AM251" i="1"/>
  <c r="AQ250" i="1"/>
  <c r="AO250" i="1"/>
  <c r="AN250" i="1"/>
  <c r="AM250" i="1"/>
  <c r="AQ249" i="1"/>
  <c r="AO249" i="1"/>
  <c r="AN249" i="1"/>
  <c r="AM249" i="1"/>
  <c r="AQ248" i="1"/>
  <c r="AO248" i="1"/>
  <c r="AN248" i="1"/>
  <c r="AM248" i="1"/>
  <c r="AQ247" i="1"/>
  <c r="AO247" i="1"/>
  <c r="AN247" i="1"/>
  <c r="AM247" i="1"/>
  <c r="AQ246" i="1"/>
  <c r="AO246" i="1"/>
  <c r="AN246" i="1"/>
  <c r="AM246" i="1"/>
  <c r="AQ245" i="1"/>
  <c r="AO245" i="1"/>
  <c r="AN245" i="1"/>
  <c r="AM245" i="1"/>
  <c r="AQ244" i="1"/>
  <c r="AO244" i="1"/>
  <c r="AN244" i="1"/>
  <c r="AM244" i="1"/>
  <c r="AQ243" i="1"/>
  <c r="AO243" i="1"/>
  <c r="AN243" i="1"/>
  <c r="AM243" i="1"/>
  <c r="AQ242" i="1"/>
  <c r="AO242" i="1"/>
  <c r="AN242" i="1"/>
  <c r="AM242" i="1"/>
  <c r="AQ241" i="1"/>
  <c r="AO241" i="1"/>
  <c r="AN241" i="1"/>
  <c r="AM241" i="1"/>
  <c r="AQ240" i="1"/>
  <c r="AO240" i="1"/>
  <c r="AN240" i="1"/>
  <c r="AM240" i="1"/>
  <c r="AQ239" i="1"/>
  <c r="AO239" i="1"/>
  <c r="AN239" i="1"/>
  <c r="AM239" i="1"/>
  <c r="AQ238" i="1"/>
  <c r="AO238" i="1"/>
  <c r="AN238" i="1"/>
  <c r="AM238" i="1"/>
  <c r="AQ237" i="1"/>
  <c r="AO237" i="1"/>
  <c r="AN237" i="1"/>
  <c r="AM237" i="1"/>
  <c r="AQ236" i="1"/>
  <c r="AO236" i="1"/>
  <c r="AN236" i="1"/>
  <c r="AM236" i="1"/>
  <c r="AQ235" i="1"/>
  <c r="AO235" i="1"/>
  <c r="AN235" i="1"/>
  <c r="AM235" i="1"/>
  <c r="AQ234" i="1"/>
  <c r="AO234" i="1"/>
  <c r="AN234" i="1"/>
  <c r="AM234" i="1"/>
  <c r="AQ233" i="1"/>
  <c r="AO233" i="1"/>
  <c r="AN233" i="1"/>
  <c r="AM233" i="1"/>
  <c r="AQ232" i="1"/>
  <c r="AO232" i="1"/>
  <c r="AN232" i="1"/>
  <c r="AM232" i="1"/>
  <c r="AQ231" i="1"/>
  <c r="AO231" i="1"/>
  <c r="AN231" i="1"/>
  <c r="AM231" i="1"/>
  <c r="AQ230" i="1"/>
  <c r="AO230" i="1"/>
  <c r="AN230" i="1"/>
  <c r="AM230" i="1"/>
  <c r="AQ229" i="1"/>
  <c r="AO229" i="1"/>
  <c r="AN229" i="1"/>
  <c r="AM229" i="1"/>
  <c r="AQ228" i="1"/>
  <c r="AO228" i="1"/>
  <c r="AN228" i="1"/>
  <c r="AM228" i="1"/>
  <c r="AQ227" i="1"/>
  <c r="AO227" i="1"/>
  <c r="AN227" i="1"/>
  <c r="AM227" i="1"/>
  <c r="AQ226" i="1"/>
  <c r="AO226" i="1"/>
  <c r="AN226" i="1"/>
  <c r="AM226" i="1"/>
  <c r="AQ225" i="1"/>
  <c r="AO225" i="1"/>
  <c r="AN225" i="1"/>
  <c r="AM225" i="1"/>
  <c r="AQ224" i="1"/>
  <c r="AO224" i="1"/>
  <c r="AN224" i="1"/>
  <c r="AM224" i="1"/>
  <c r="AQ223" i="1"/>
  <c r="AO223" i="1"/>
  <c r="AN223" i="1"/>
  <c r="AM223" i="1"/>
  <c r="AQ222" i="1"/>
  <c r="AO222" i="1"/>
  <c r="AN222" i="1"/>
  <c r="AM222" i="1"/>
  <c r="AQ221" i="1"/>
  <c r="AO221" i="1"/>
  <c r="AN221" i="1"/>
  <c r="AM221" i="1"/>
  <c r="AQ220" i="1"/>
  <c r="AO220" i="1"/>
  <c r="AN220" i="1"/>
  <c r="AM220" i="1"/>
  <c r="AQ219" i="1"/>
  <c r="AO219" i="1"/>
  <c r="AN219" i="1"/>
  <c r="AM219" i="1"/>
  <c r="AQ218" i="1"/>
  <c r="AO218" i="1"/>
  <c r="AN218" i="1"/>
  <c r="AM218" i="1"/>
  <c r="AQ217" i="1"/>
  <c r="AO217" i="1"/>
  <c r="AN217" i="1"/>
  <c r="AM217" i="1"/>
  <c r="AQ216" i="1"/>
  <c r="AO216" i="1"/>
  <c r="AN216" i="1"/>
  <c r="AM216" i="1"/>
  <c r="AQ215" i="1"/>
  <c r="AO215" i="1"/>
  <c r="AN215" i="1"/>
  <c r="AM215" i="1"/>
  <c r="AQ214" i="1"/>
  <c r="AO214" i="1"/>
  <c r="AN214" i="1"/>
  <c r="AM214" i="1"/>
  <c r="AQ213" i="1"/>
  <c r="AO213" i="1"/>
  <c r="AN213" i="1"/>
  <c r="AM213" i="1"/>
  <c r="AQ212" i="1"/>
  <c r="AO212" i="1"/>
  <c r="AN212" i="1"/>
  <c r="AM212" i="1"/>
  <c r="AQ211" i="1"/>
  <c r="AO211" i="1"/>
  <c r="AN211" i="1"/>
  <c r="AM211" i="1"/>
  <c r="AQ210" i="1"/>
  <c r="AO210" i="1"/>
  <c r="AN210" i="1"/>
  <c r="AM210" i="1"/>
  <c r="AQ209" i="1"/>
  <c r="AO209" i="1"/>
  <c r="AN209" i="1"/>
  <c r="AM209" i="1"/>
  <c r="AQ208" i="1"/>
  <c r="AO208" i="1"/>
  <c r="AN208" i="1"/>
  <c r="AM208" i="1"/>
  <c r="AQ207" i="1"/>
  <c r="AO207" i="1"/>
  <c r="AN207" i="1"/>
  <c r="AM207" i="1"/>
  <c r="AQ206" i="1"/>
  <c r="AO206" i="1"/>
  <c r="AN206" i="1"/>
  <c r="AM206" i="1"/>
  <c r="AQ205" i="1"/>
  <c r="AO205" i="1"/>
  <c r="AN205" i="1"/>
  <c r="AM205" i="1"/>
  <c r="AQ204" i="1"/>
  <c r="AO204" i="1"/>
  <c r="AN204" i="1"/>
  <c r="AM204" i="1"/>
  <c r="AQ203" i="1"/>
  <c r="AO203" i="1"/>
  <c r="AN203" i="1"/>
  <c r="AM203" i="1"/>
  <c r="AQ202" i="1"/>
  <c r="AO202" i="1"/>
  <c r="AN202" i="1"/>
  <c r="AM202" i="1"/>
  <c r="AQ201" i="1"/>
  <c r="AO201" i="1"/>
  <c r="AN201" i="1"/>
  <c r="AM201" i="1"/>
  <c r="AQ200" i="1"/>
  <c r="AO200" i="1"/>
  <c r="AN200" i="1"/>
  <c r="AM200" i="1"/>
  <c r="AQ199" i="1"/>
  <c r="AO199" i="1"/>
  <c r="AN199" i="1"/>
  <c r="AM199" i="1"/>
  <c r="AQ198" i="1"/>
  <c r="AO198" i="1"/>
  <c r="AN198" i="1"/>
  <c r="AM198" i="1"/>
  <c r="AQ197" i="1"/>
  <c r="AO197" i="1"/>
  <c r="AN197" i="1"/>
  <c r="AM197" i="1"/>
  <c r="AQ196" i="1"/>
  <c r="AO196" i="1"/>
  <c r="AN196" i="1"/>
  <c r="AM196" i="1"/>
  <c r="AQ195" i="1"/>
  <c r="AO195" i="1"/>
  <c r="AN195" i="1"/>
  <c r="AM195" i="1"/>
  <c r="AQ194" i="1"/>
  <c r="AO194" i="1"/>
  <c r="AN194" i="1"/>
  <c r="AM194" i="1"/>
  <c r="AQ193" i="1"/>
  <c r="AO193" i="1"/>
  <c r="AN193" i="1"/>
  <c r="AM193" i="1"/>
  <c r="AQ192" i="1"/>
  <c r="AO192" i="1"/>
  <c r="AN192" i="1"/>
  <c r="AM192" i="1"/>
  <c r="AQ191" i="1"/>
  <c r="AO191" i="1"/>
  <c r="AN191" i="1"/>
  <c r="AM191" i="1"/>
  <c r="AQ190" i="1"/>
  <c r="AO190" i="1"/>
  <c r="AN190" i="1"/>
  <c r="AM190" i="1"/>
  <c r="AQ189" i="1"/>
  <c r="AO189" i="1"/>
  <c r="AN189" i="1"/>
  <c r="AM189" i="1"/>
  <c r="AQ188" i="1"/>
  <c r="AO188" i="1"/>
  <c r="AN188" i="1"/>
  <c r="AM188" i="1"/>
  <c r="AQ187" i="1"/>
  <c r="AO187" i="1"/>
  <c r="AN187" i="1"/>
  <c r="AM187" i="1"/>
  <c r="AQ186" i="1"/>
  <c r="AO186" i="1"/>
  <c r="AN186" i="1"/>
  <c r="AM186" i="1"/>
  <c r="AQ185" i="1"/>
  <c r="AO185" i="1"/>
  <c r="AN185" i="1"/>
  <c r="AM185" i="1"/>
  <c r="AQ184" i="1"/>
  <c r="AO184" i="1"/>
  <c r="AN184" i="1"/>
  <c r="AM184" i="1"/>
  <c r="AQ183" i="1"/>
  <c r="AO183" i="1"/>
  <c r="AN183" i="1"/>
  <c r="AM183" i="1"/>
  <c r="AQ182" i="1"/>
  <c r="AO182" i="1"/>
  <c r="AN182" i="1"/>
  <c r="AM182" i="1"/>
  <c r="AQ181" i="1"/>
  <c r="AO181" i="1"/>
  <c r="AN181" i="1"/>
  <c r="AM181" i="1"/>
  <c r="AQ180" i="1"/>
  <c r="AO180" i="1"/>
  <c r="AN180" i="1"/>
  <c r="AM180" i="1"/>
  <c r="AQ179" i="1"/>
  <c r="AO179" i="1"/>
  <c r="AN179" i="1"/>
  <c r="AM179" i="1"/>
  <c r="AQ178" i="1"/>
  <c r="AO178" i="1"/>
  <c r="AN178" i="1"/>
  <c r="AM178" i="1"/>
  <c r="AQ177" i="1"/>
  <c r="AO177" i="1"/>
  <c r="AN177" i="1"/>
  <c r="AM177" i="1"/>
  <c r="AQ176" i="1"/>
  <c r="AO176" i="1"/>
  <c r="AN176" i="1"/>
  <c r="AM176" i="1"/>
  <c r="AQ175" i="1"/>
  <c r="AO175" i="1"/>
  <c r="AN175" i="1"/>
  <c r="AM175" i="1"/>
  <c r="AQ174" i="1"/>
  <c r="AO174" i="1"/>
  <c r="AN174" i="1"/>
  <c r="AM174" i="1"/>
  <c r="AQ173" i="1"/>
  <c r="AO173" i="1"/>
  <c r="AN173" i="1"/>
  <c r="AM173" i="1"/>
  <c r="AQ172" i="1"/>
  <c r="AO172" i="1"/>
  <c r="AN172" i="1"/>
  <c r="AM172" i="1"/>
  <c r="AQ171" i="1"/>
  <c r="AO171" i="1"/>
  <c r="AN171" i="1"/>
  <c r="AM171" i="1"/>
  <c r="AQ170" i="1"/>
  <c r="AO170" i="1"/>
  <c r="AN170" i="1"/>
  <c r="AM170" i="1"/>
  <c r="AQ169" i="1"/>
  <c r="AO169" i="1"/>
  <c r="AN169" i="1"/>
  <c r="AM169" i="1"/>
  <c r="AQ168" i="1"/>
  <c r="AO168" i="1"/>
  <c r="AN168" i="1"/>
  <c r="AM168" i="1"/>
  <c r="AQ167" i="1"/>
  <c r="AO167" i="1"/>
  <c r="AN167" i="1"/>
  <c r="AM167" i="1"/>
  <c r="AQ166" i="1"/>
  <c r="AO166" i="1"/>
  <c r="AN166" i="1"/>
  <c r="AM166" i="1"/>
  <c r="AQ165" i="1"/>
  <c r="AO165" i="1"/>
  <c r="AN165" i="1"/>
  <c r="AM165" i="1"/>
  <c r="AQ164" i="1"/>
  <c r="AO164" i="1"/>
  <c r="AN164" i="1"/>
  <c r="AM164" i="1"/>
  <c r="AQ163" i="1"/>
  <c r="AO163" i="1"/>
  <c r="AN163" i="1"/>
  <c r="AM163" i="1"/>
  <c r="AQ162" i="1"/>
  <c r="AO162" i="1"/>
  <c r="AN162" i="1"/>
  <c r="AM162" i="1"/>
  <c r="AQ161" i="1"/>
  <c r="AO161" i="1"/>
  <c r="AN161" i="1"/>
  <c r="AM161" i="1"/>
  <c r="AQ160" i="1"/>
  <c r="AO160" i="1"/>
  <c r="AN160" i="1"/>
  <c r="AM160" i="1"/>
  <c r="AQ159" i="1"/>
  <c r="AO159" i="1"/>
  <c r="AN159" i="1"/>
  <c r="AM159" i="1"/>
  <c r="AQ158" i="1"/>
  <c r="AO158" i="1"/>
  <c r="AN158" i="1"/>
  <c r="AM158" i="1"/>
  <c r="AQ157" i="1"/>
  <c r="AO157" i="1"/>
  <c r="AN157" i="1"/>
  <c r="AM157" i="1"/>
  <c r="AQ156" i="1"/>
  <c r="AO156" i="1"/>
  <c r="AN156" i="1"/>
  <c r="AM156" i="1"/>
  <c r="AQ155" i="1"/>
  <c r="AO155" i="1"/>
  <c r="AN155" i="1"/>
  <c r="AM155" i="1"/>
  <c r="AQ154" i="1"/>
  <c r="AO154" i="1"/>
  <c r="AN154" i="1"/>
  <c r="AM154" i="1"/>
  <c r="AQ153" i="1"/>
  <c r="AO153" i="1"/>
  <c r="AN153" i="1"/>
  <c r="AM153" i="1"/>
  <c r="AQ152" i="1"/>
  <c r="AO152" i="1"/>
  <c r="AN152" i="1"/>
  <c r="AM152" i="1"/>
  <c r="AQ151" i="1"/>
  <c r="AO151" i="1"/>
  <c r="AN151" i="1"/>
  <c r="AM151" i="1"/>
  <c r="AQ150" i="1"/>
  <c r="AO150" i="1"/>
  <c r="AN150" i="1"/>
  <c r="AM150" i="1"/>
  <c r="AQ149" i="1"/>
  <c r="AO149" i="1"/>
  <c r="AN149" i="1"/>
  <c r="AM149" i="1"/>
  <c r="AQ148" i="1"/>
  <c r="AO148" i="1"/>
  <c r="AN148" i="1"/>
  <c r="AM148" i="1"/>
  <c r="AQ147" i="1"/>
  <c r="AO147" i="1"/>
  <c r="AN147" i="1"/>
  <c r="AM147" i="1"/>
  <c r="AQ146" i="1"/>
  <c r="AO146" i="1"/>
  <c r="AN146" i="1"/>
  <c r="AM146" i="1"/>
  <c r="AQ145" i="1"/>
  <c r="AO145" i="1"/>
  <c r="AN145" i="1"/>
  <c r="AM145" i="1"/>
  <c r="AQ144" i="1"/>
  <c r="AO144" i="1"/>
  <c r="AN144" i="1"/>
  <c r="AM144" i="1"/>
  <c r="AQ143" i="1"/>
  <c r="AO143" i="1"/>
  <c r="AN143" i="1"/>
  <c r="AM143" i="1"/>
  <c r="AQ142" i="1"/>
  <c r="AO142" i="1"/>
  <c r="AN142" i="1"/>
  <c r="AM142" i="1"/>
  <c r="AQ141" i="1"/>
  <c r="AO141" i="1"/>
  <c r="AN141" i="1"/>
  <c r="AM141" i="1"/>
  <c r="AQ140" i="1"/>
  <c r="AO140" i="1"/>
  <c r="AN140" i="1"/>
  <c r="AM140" i="1"/>
  <c r="AQ139" i="1"/>
  <c r="AO139" i="1"/>
  <c r="AN139" i="1"/>
  <c r="AM139" i="1"/>
  <c r="AQ138" i="1"/>
  <c r="AO138" i="1"/>
  <c r="AN138" i="1"/>
  <c r="AM138" i="1"/>
  <c r="AQ137" i="1"/>
  <c r="AO137" i="1"/>
  <c r="AN137" i="1"/>
  <c r="AM137" i="1"/>
  <c r="AQ136" i="1"/>
  <c r="AO136" i="1"/>
  <c r="AN136" i="1"/>
  <c r="AM136" i="1"/>
  <c r="AQ135" i="1"/>
  <c r="AO135" i="1"/>
  <c r="AN135" i="1"/>
  <c r="AM135" i="1"/>
  <c r="AQ134" i="1"/>
  <c r="AO134" i="1"/>
  <c r="AN134" i="1"/>
  <c r="AM134" i="1"/>
  <c r="AQ133" i="1"/>
  <c r="AO133" i="1"/>
  <c r="AN133" i="1"/>
  <c r="AM133" i="1"/>
  <c r="AQ132" i="1"/>
  <c r="AO132" i="1"/>
  <c r="AN132" i="1"/>
  <c r="AM132" i="1"/>
  <c r="AQ131" i="1"/>
  <c r="AO131" i="1"/>
  <c r="AN131" i="1"/>
  <c r="AM131" i="1"/>
  <c r="AQ130" i="1"/>
  <c r="AO130" i="1"/>
  <c r="AN130" i="1"/>
  <c r="AM130" i="1"/>
  <c r="AQ129" i="1"/>
  <c r="AO129" i="1"/>
  <c r="AN129" i="1"/>
  <c r="AM129" i="1"/>
  <c r="AQ128" i="1"/>
  <c r="AO128" i="1"/>
  <c r="AN128" i="1"/>
  <c r="AM128" i="1"/>
  <c r="AQ127" i="1"/>
  <c r="AO127" i="1"/>
  <c r="AN127" i="1"/>
  <c r="AM127" i="1"/>
  <c r="AQ126" i="1"/>
  <c r="AO126" i="1"/>
  <c r="AN126" i="1"/>
  <c r="AM126" i="1"/>
  <c r="AQ125" i="1"/>
  <c r="AO125" i="1"/>
  <c r="AN125" i="1"/>
  <c r="AM125" i="1"/>
  <c r="AQ124" i="1"/>
  <c r="AO124" i="1"/>
  <c r="AN124" i="1"/>
  <c r="AM124" i="1"/>
  <c r="AQ123" i="1"/>
  <c r="AO123" i="1"/>
  <c r="AN123" i="1"/>
  <c r="AM123" i="1"/>
  <c r="AQ122" i="1"/>
  <c r="AO122" i="1"/>
  <c r="AN122" i="1"/>
  <c r="AM122" i="1"/>
  <c r="AQ121" i="1"/>
  <c r="AO121" i="1"/>
  <c r="AN121" i="1"/>
  <c r="AM121" i="1"/>
  <c r="AQ120" i="1"/>
  <c r="AO120" i="1"/>
  <c r="AN120" i="1"/>
  <c r="AM120" i="1"/>
  <c r="AQ119" i="1"/>
  <c r="AO119" i="1"/>
  <c r="AN119" i="1"/>
  <c r="AM119" i="1"/>
  <c r="AQ118" i="1"/>
  <c r="AO118" i="1"/>
  <c r="AN118" i="1"/>
  <c r="AM118" i="1"/>
  <c r="AQ117" i="1"/>
  <c r="AO117" i="1"/>
  <c r="AN117" i="1"/>
  <c r="AM117" i="1"/>
  <c r="AQ116" i="1"/>
  <c r="AO116" i="1"/>
  <c r="AN116" i="1"/>
  <c r="AM116" i="1"/>
  <c r="AQ115" i="1"/>
  <c r="AO115" i="1"/>
  <c r="AN115" i="1"/>
  <c r="AM115" i="1"/>
  <c r="AQ114" i="1"/>
  <c r="AO114" i="1"/>
  <c r="AN114" i="1"/>
  <c r="AM114" i="1"/>
  <c r="AQ113" i="1"/>
  <c r="AO113" i="1"/>
  <c r="AN113" i="1"/>
  <c r="AM113" i="1"/>
  <c r="AQ112" i="1"/>
  <c r="AO112" i="1"/>
  <c r="AN112" i="1"/>
  <c r="AM112" i="1"/>
  <c r="AQ111" i="1"/>
  <c r="AO111" i="1"/>
  <c r="AN111" i="1"/>
  <c r="AM111" i="1"/>
  <c r="AQ110" i="1"/>
  <c r="AO110" i="1"/>
  <c r="AN110" i="1"/>
  <c r="AM110" i="1"/>
  <c r="AQ109" i="1"/>
  <c r="AO109" i="1"/>
  <c r="AN109" i="1"/>
  <c r="AM109" i="1"/>
  <c r="AQ108" i="1"/>
  <c r="AO108" i="1"/>
  <c r="AN108" i="1"/>
  <c r="AM108" i="1"/>
  <c r="AQ107" i="1"/>
  <c r="AO107" i="1"/>
  <c r="AN107" i="1"/>
  <c r="AM107" i="1"/>
  <c r="AQ106" i="1"/>
  <c r="AO106" i="1"/>
  <c r="AN106" i="1"/>
  <c r="AM106" i="1"/>
  <c r="AQ105" i="1"/>
  <c r="AO105" i="1"/>
  <c r="AN105" i="1"/>
  <c r="AM105" i="1"/>
  <c r="AQ104" i="1"/>
  <c r="AO104" i="1"/>
  <c r="AN104" i="1"/>
  <c r="AM104" i="1"/>
  <c r="AQ103" i="1"/>
  <c r="AO103" i="1"/>
  <c r="AN103" i="1"/>
  <c r="AM103" i="1"/>
  <c r="AQ102" i="1"/>
  <c r="AO102" i="1"/>
  <c r="AN102" i="1"/>
  <c r="AM102" i="1"/>
  <c r="AQ101" i="1"/>
  <c r="AO101" i="1"/>
  <c r="AN101" i="1"/>
  <c r="AM101" i="1"/>
  <c r="AQ100" i="1"/>
  <c r="AO100" i="1"/>
  <c r="AN100" i="1"/>
  <c r="AM100" i="1"/>
  <c r="AQ99" i="1"/>
  <c r="AO99" i="1"/>
  <c r="AN99" i="1"/>
  <c r="AM99" i="1"/>
  <c r="AQ98" i="1"/>
  <c r="AO98" i="1"/>
  <c r="AN98" i="1"/>
  <c r="AM98" i="1"/>
  <c r="AQ97" i="1"/>
  <c r="AO97" i="1"/>
  <c r="AN97" i="1"/>
  <c r="AM97" i="1"/>
  <c r="AQ96" i="1"/>
  <c r="AO96" i="1"/>
  <c r="AN96" i="1"/>
  <c r="AM96" i="1"/>
  <c r="AQ95" i="1"/>
  <c r="AO95" i="1"/>
  <c r="AN95" i="1"/>
  <c r="AM95" i="1"/>
  <c r="AQ94" i="1"/>
  <c r="AO94" i="1"/>
  <c r="AN94" i="1"/>
  <c r="AM94" i="1"/>
  <c r="AQ93" i="1"/>
  <c r="AO93" i="1"/>
  <c r="AN93" i="1"/>
  <c r="AM93" i="1"/>
  <c r="AQ92" i="1"/>
  <c r="AO92" i="1"/>
  <c r="AN92" i="1"/>
  <c r="AM92" i="1"/>
  <c r="AQ91" i="1"/>
  <c r="AO91" i="1"/>
  <c r="AN91" i="1"/>
  <c r="AM91" i="1"/>
  <c r="AQ90" i="1"/>
  <c r="AO90" i="1"/>
  <c r="AN90" i="1"/>
  <c r="AM90" i="1"/>
  <c r="AQ89" i="1"/>
  <c r="AO89" i="1"/>
  <c r="AN89" i="1"/>
  <c r="AM89" i="1"/>
  <c r="AQ88" i="1"/>
  <c r="AO88" i="1"/>
  <c r="AN88" i="1"/>
  <c r="AM88" i="1"/>
  <c r="AQ87" i="1"/>
  <c r="AO87" i="1"/>
  <c r="AN87" i="1"/>
  <c r="AM87" i="1"/>
  <c r="AQ86" i="1"/>
  <c r="AO86" i="1"/>
  <c r="AN86" i="1"/>
  <c r="AM86" i="1"/>
  <c r="AQ85" i="1"/>
  <c r="AO85" i="1"/>
  <c r="AN85" i="1"/>
  <c r="AM85" i="1"/>
  <c r="AQ84" i="1"/>
  <c r="AO84" i="1"/>
  <c r="AN84" i="1"/>
  <c r="AM84" i="1"/>
  <c r="AQ83" i="1"/>
  <c r="AO83" i="1"/>
  <c r="AN83" i="1"/>
  <c r="AM83" i="1"/>
  <c r="AQ82" i="1"/>
  <c r="AO82" i="1"/>
  <c r="AN82" i="1"/>
  <c r="AM82" i="1"/>
  <c r="AQ81" i="1"/>
  <c r="AO81" i="1"/>
  <c r="AN81" i="1"/>
  <c r="AM81" i="1"/>
  <c r="AQ80" i="1"/>
  <c r="AO80" i="1"/>
  <c r="AN80" i="1"/>
  <c r="AM80" i="1"/>
  <c r="AQ79" i="1"/>
  <c r="AO79" i="1"/>
  <c r="AN79" i="1"/>
  <c r="AM79" i="1"/>
  <c r="AQ78" i="1"/>
  <c r="AO78" i="1"/>
  <c r="AN78" i="1"/>
  <c r="AM78" i="1"/>
  <c r="AQ77" i="1"/>
  <c r="AO77" i="1"/>
  <c r="AN77" i="1"/>
  <c r="AM77" i="1"/>
  <c r="AQ76" i="1"/>
  <c r="AO76" i="1"/>
  <c r="AN76" i="1"/>
  <c r="AM76" i="1"/>
  <c r="AQ75" i="1"/>
  <c r="AO75" i="1"/>
  <c r="AN75" i="1"/>
  <c r="AM75" i="1"/>
  <c r="AQ74" i="1"/>
  <c r="AO74" i="1"/>
  <c r="AN74" i="1"/>
  <c r="AM74" i="1"/>
  <c r="AQ73" i="1"/>
  <c r="AO73" i="1"/>
  <c r="AN73" i="1"/>
  <c r="AM73" i="1"/>
  <c r="AQ72" i="1"/>
  <c r="AO72" i="1"/>
  <c r="AN72" i="1"/>
  <c r="AM72" i="1"/>
  <c r="AQ71" i="1"/>
  <c r="AO71" i="1"/>
  <c r="AN71" i="1"/>
  <c r="AM71" i="1"/>
  <c r="AQ70" i="1"/>
  <c r="AO70" i="1"/>
  <c r="AN70" i="1"/>
  <c r="AM70" i="1"/>
  <c r="AQ69" i="1"/>
  <c r="AO69" i="1"/>
  <c r="AN69" i="1"/>
  <c r="AM69" i="1"/>
  <c r="AQ68" i="1"/>
  <c r="AO68" i="1"/>
  <c r="AN68" i="1"/>
  <c r="AM68" i="1"/>
  <c r="AQ67" i="1"/>
  <c r="AO67" i="1"/>
  <c r="AN67" i="1"/>
  <c r="AM67" i="1"/>
  <c r="AQ66" i="1"/>
  <c r="AO66" i="1"/>
  <c r="AN66" i="1"/>
  <c r="AM66" i="1"/>
  <c r="AQ65" i="1"/>
  <c r="AO65" i="1"/>
  <c r="AN65" i="1"/>
  <c r="AM65" i="1"/>
  <c r="AQ64" i="1"/>
  <c r="AO64" i="1"/>
  <c r="AN64" i="1"/>
  <c r="AM64" i="1"/>
  <c r="AQ63" i="1"/>
  <c r="AO63" i="1"/>
  <c r="AN63" i="1"/>
  <c r="AM63" i="1"/>
  <c r="AQ62" i="1"/>
  <c r="AO62" i="1"/>
  <c r="AN62" i="1"/>
  <c r="AM62" i="1"/>
  <c r="AQ61" i="1"/>
  <c r="AO61" i="1"/>
  <c r="AN61" i="1"/>
  <c r="AM61" i="1"/>
  <c r="AQ60" i="1"/>
  <c r="AO60" i="1"/>
  <c r="AN60" i="1"/>
  <c r="AM60" i="1"/>
  <c r="AQ59" i="1"/>
  <c r="AO59" i="1"/>
  <c r="AN59" i="1"/>
  <c r="AM59" i="1"/>
  <c r="AQ58" i="1"/>
  <c r="AO58" i="1"/>
  <c r="AN58" i="1"/>
  <c r="AM58" i="1"/>
  <c r="AQ57" i="1"/>
  <c r="AO57" i="1"/>
  <c r="AN57" i="1"/>
  <c r="AM57" i="1"/>
  <c r="AQ56" i="1"/>
  <c r="AO56" i="1"/>
  <c r="AN56" i="1"/>
  <c r="AM56" i="1"/>
  <c r="AQ55" i="1"/>
  <c r="AO55" i="1"/>
  <c r="AN55" i="1"/>
  <c r="AM55" i="1"/>
  <c r="AQ54" i="1"/>
  <c r="AO54" i="1"/>
  <c r="AN54" i="1"/>
  <c r="AM54" i="1"/>
  <c r="AQ53" i="1"/>
  <c r="AO53" i="1"/>
  <c r="AN53" i="1"/>
  <c r="AM53" i="1"/>
  <c r="AQ52" i="1"/>
  <c r="AO52" i="1"/>
  <c r="AN52" i="1"/>
  <c r="AM52" i="1"/>
  <c r="AO51" i="1"/>
  <c r="AN51" i="1"/>
  <c r="AM51" i="1"/>
  <c r="AQ51" i="1" l="1"/>
</calcChain>
</file>

<file path=xl/sharedStrings.xml><?xml version="1.0" encoding="utf-8"?>
<sst xmlns="http://schemas.openxmlformats.org/spreadsheetml/2006/main" count="4479" uniqueCount="67">
  <si>
    <t>January</t>
  </si>
  <si>
    <t>February</t>
  </si>
  <si>
    <t>March</t>
  </si>
  <si>
    <t>April</t>
  </si>
  <si>
    <t>May</t>
  </si>
  <si>
    <t>June</t>
  </si>
  <si>
    <t>July</t>
  </si>
  <si>
    <t>August</t>
  </si>
  <si>
    <t>September</t>
  </si>
  <si>
    <t>October</t>
  </si>
  <si>
    <t>November</t>
  </si>
  <si>
    <t>December</t>
  </si>
  <si>
    <t>Arav Sharma</t>
  </si>
  <si>
    <t>Riya Verma</t>
  </si>
  <si>
    <t>Kunal Mehta</t>
  </si>
  <si>
    <t>Ananya Singh</t>
  </si>
  <si>
    <t>Rohit Malohtra</t>
  </si>
  <si>
    <t>Sneha Kapoor</t>
  </si>
  <si>
    <t>Neha Saini</t>
  </si>
  <si>
    <t>Varun Arora</t>
  </si>
  <si>
    <t>Ishita Jain</t>
  </si>
  <si>
    <t>Nikhil Yadav</t>
  </si>
  <si>
    <t>Manish Tiwari</t>
  </si>
  <si>
    <t>Simran Kaur</t>
  </si>
  <si>
    <t>Rahul Saxena</t>
  </si>
  <si>
    <t>Aditi Sharma</t>
  </si>
  <si>
    <t>Mohit Chauhan</t>
  </si>
  <si>
    <t>Nandini Rao</t>
  </si>
  <si>
    <t>Tanya Kapoor</t>
  </si>
  <si>
    <t>Akash Pandey</t>
  </si>
  <si>
    <t>Muskan Arora</t>
  </si>
  <si>
    <t>Divya Mehta</t>
  </si>
  <si>
    <t>Harsh Vardhan</t>
  </si>
  <si>
    <t>Ankit Sharma</t>
  </si>
  <si>
    <t>Komal Yadav</t>
  </si>
  <si>
    <t>Pranav Jain</t>
  </si>
  <si>
    <t>Mansi Aggarwal</t>
  </si>
  <si>
    <t>Pooja Chawla</t>
  </si>
  <si>
    <t>Tarun Kumar</t>
  </si>
  <si>
    <t>Renu Sharma</t>
  </si>
  <si>
    <t>Vishal Mehta</t>
  </si>
  <si>
    <t>Ritika Arora</t>
  </si>
  <si>
    <t>Sachin Yadav</t>
  </si>
  <si>
    <t>Priti Aggarwal</t>
  </si>
  <si>
    <t>Lokesh Gupta</t>
  </si>
  <si>
    <t>Ayesha Khan</t>
  </si>
  <si>
    <t>Aman Khan</t>
  </si>
  <si>
    <t>Danish Ahmed</t>
  </si>
  <si>
    <t>Rajeev Bhatia</t>
  </si>
  <si>
    <t>=</t>
  </si>
  <si>
    <t>p</t>
  </si>
  <si>
    <t>AB</t>
  </si>
  <si>
    <t>Month</t>
  </si>
  <si>
    <t>EmployeeNO.</t>
  </si>
  <si>
    <t>Date</t>
  </si>
  <si>
    <t>Status</t>
  </si>
  <si>
    <t>(All)</t>
  </si>
  <si>
    <t>Count of Status</t>
  </si>
  <si>
    <t>Row Labels</t>
  </si>
  <si>
    <t>Grand Total</t>
  </si>
  <si>
    <t>Column Labels</t>
  </si>
  <si>
    <t>TOTAL ATTENDANCE</t>
  </si>
  <si>
    <t>TOTAL PERSENT</t>
  </si>
  <si>
    <t>TOTAL ABSENT</t>
  </si>
  <si>
    <t>ATTENDANCE (%)</t>
  </si>
  <si>
    <t>P</t>
  </si>
  <si>
    <t>Piyush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</si>
</sst>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numFmts>
  <fonts count="14" x14ac:knownFonts="1">
    <font>
      <sz val="11"/>
      <color theme="1"/>
      <name val="Calibri"/>
      <family val="2"/>
      <scheme val="minor"/>
    </font>
    <font>
      <b/>
      <sz val="12"/>
      <color theme="1"/>
      <name val="Calibri"/>
      <family val="2"/>
      <scheme val="minor"/>
    </font>
    <font>
      <sz val="8"/>
      <name val="Calibri"/>
      <family val="2"/>
      <scheme val="minor"/>
    </font>
    <font>
      <b/>
      <sz val="11"/>
      <color theme="1"/>
      <name val="Calibri"/>
      <family val="2"/>
      <scheme val="minor"/>
    </font>
    <font>
      <b/>
      <sz val="16"/>
      <color theme="1"/>
      <name val="Calibri"/>
      <family val="2"/>
      <scheme val="minor"/>
    </font>
    <font>
      <b/>
      <sz val="22"/>
      <color theme="1"/>
      <name val="Calibri"/>
      <family val="2"/>
      <scheme val="minor"/>
    </font>
    <font>
      <b/>
      <sz val="20"/>
      <color theme="1"/>
      <name val="Calibri"/>
      <family val="2"/>
      <scheme val="minor"/>
    </font>
    <font>
      <b/>
      <sz val="24"/>
      <color theme="1"/>
      <name val="Calibri"/>
      <family val="2"/>
      <scheme val="minor"/>
    </font>
    <font>
      <sz val="14"/>
      <color theme="1"/>
      <name val="Calibri"/>
      <family val="2"/>
      <scheme val="minor"/>
    </font>
    <font>
      <b/>
      <sz val="16"/>
      <color rgb="FF002060"/>
      <name val="Calibri"/>
      <family val="2"/>
      <scheme val="minor"/>
    </font>
    <font>
      <b/>
      <sz val="11"/>
      <color rgb="FF002060"/>
      <name val="Calibri"/>
      <family val="2"/>
      <scheme val="minor"/>
    </font>
    <font>
      <b/>
      <sz val="20"/>
      <color rgb="FF002060"/>
      <name val="Calibri"/>
      <family val="2"/>
      <scheme val="minor"/>
    </font>
    <font>
      <b/>
      <sz val="14"/>
      <color rgb="FF002060"/>
      <name val="Amasis MT Pro"/>
      <family val="1"/>
    </font>
    <font>
      <b/>
      <sz val="24"/>
      <color rgb="FF002060"/>
      <name val="Calibri"/>
      <family val="2"/>
      <scheme val="minor"/>
    </font>
  </fonts>
  <fills count="4">
    <fill>
      <patternFill patternType="none"/>
    </fill>
    <fill>
      <patternFill patternType="gray125"/>
    </fill>
    <fill>
      <patternFill patternType="solid">
        <fgColor theme="0"/>
        <bgColor indexed="64"/>
      </patternFill>
    </fill>
    <fill>
      <patternFill patternType="solid">
        <fgColor theme="2" tint="-9.9978637043366805E-2"/>
        <bgColor indexed="64"/>
      </patternFill>
    </fill>
  </fills>
  <borders count="10">
    <border>
      <left/>
      <right/>
      <top/>
      <bottom/>
      <diagonal/>
    </border>
    <border>
      <left style="thin">
        <color rgb="FF800080"/>
      </left>
      <right style="thin">
        <color rgb="FF800080"/>
      </right>
      <top style="thin">
        <color rgb="FF800080"/>
      </top>
      <bottom style="thin">
        <color rgb="FF80008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int="-0.34998626667073579"/>
      </top>
      <bottom style="thin">
        <color theme="0" tint="-0.3499862666707357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5" fillId="0" borderId="2" xfId="0" applyFont="1" applyBorder="1"/>
    <xf numFmtId="0" fontId="4" fillId="0" borderId="0" xfId="0" applyFont="1" applyAlignment="1">
      <alignment horizontal="center"/>
    </xf>
    <xf numFmtId="0" fontId="3" fillId="0" borderId="6" xfId="0" applyFont="1" applyBorder="1" applyAlignment="1">
      <alignment horizontal="center"/>
    </xf>
    <xf numFmtId="0" fontId="6" fillId="0" borderId="0" xfId="0" applyFont="1" applyAlignment="1">
      <alignment horizontal="center"/>
    </xf>
    <xf numFmtId="0" fontId="6" fillId="0" borderId="6" xfId="0" applyFont="1" applyBorder="1" applyAlignment="1">
      <alignment horizontal="center"/>
    </xf>
    <xf numFmtId="164" fontId="3" fillId="0" borderId="6" xfId="0" applyNumberFormat="1" applyFont="1" applyBorder="1" applyAlignment="1">
      <alignment horizontal="center"/>
    </xf>
    <xf numFmtId="14" fontId="0" fillId="0" borderId="0" xfId="0" applyNumberFormat="1"/>
    <xf numFmtId="0" fontId="7" fillId="2" borderId="6" xfId="0" applyFont="1" applyFill="1" applyBorder="1" applyAlignment="1" applyProtection="1">
      <alignment horizontal="center"/>
      <protection locked="0"/>
    </xf>
    <xf numFmtId="0" fontId="1" fillId="2" borderId="1" xfId="0" applyFont="1" applyFill="1" applyBorder="1" applyAlignment="1" applyProtection="1">
      <alignment horizontal="left"/>
      <protection locked="0"/>
    </xf>
    <xf numFmtId="0" fontId="0" fillId="0" borderId="6" xfId="0" pivotButton="1" applyBorder="1"/>
    <xf numFmtId="0" fontId="0" fillId="0" borderId="6" xfId="0" applyBorder="1"/>
    <xf numFmtId="0" fontId="0" fillId="0" borderId="6" xfId="0" applyBorder="1" applyAlignment="1">
      <alignment horizontal="left"/>
    </xf>
    <xf numFmtId="0" fontId="0" fillId="3" borderId="0" xfId="0" applyFill="1"/>
    <xf numFmtId="0" fontId="0" fillId="3" borderId="0" xfId="0" applyFill="1" applyAlignment="1">
      <alignment horizontal="left" vertical="top"/>
    </xf>
    <xf numFmtId="0" fontId="5" fillId="0" borderId="3" xfId="0" applyFont="1" applyBorder="1" applyAlignment="1">
      <alignment horizontal="center"/>
    </xf>
    <xf numFmtId="0" fontId="5" fillId="0" borderId="4" xfId="0" applyFont="1" applyBorder="1" applyAlignment="1">
      <alignment horizontal="center"/>
    </xf>
    <xf numFmtId="0" fontId="5"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10" fontId="0" fillId="0" borderId="8" xfId="0" applyNumberFormat="1" applyBorder="1" applyAlignment="1">
      <alignment horizontal="center"/>
    </xf>
    <xf numFmtId="10" fontId="0" fillId="0" borderId="9" xfId="0" applyNumberFormat="1" applyBorder="1" applyAlignment="1">
      <alignment horizontal="center"/>
    </xf>
    <xf numFmtId="0" fontId="0" fillId="0" borderId="0" xfId="0" applyAlignment="1">
      <alignment horizontal="center"/>
    </xf>
    <xf numFmtId="0" fontId="0" fillId="0" borderId="5" xfId="0" applyBorder="1" applyAlignment="1">
      <alignment horizontal="center"/>
    </xf>
    <xf numFmtId="0" fontId="12" fillId="3" borderId="6" xfId="0" applyFont="1" applyFill="1" applyBorder="1" applyAlignment="1">
      <alignment horizontal="center" vertical="center"/>
    </xf>
    <xf numFmtId="0" fontId="0" fillId="3" borderId="6" xfId="0" applyFill="1" applyBorder="1" applyAlignment="1">
      <alignment horizontal="center" vertical="center"/>
    </xf>
    <xf numFmtId="10" fontId="11" fillId="3" borderId="6" xfId="0" applyNumberFormat="1" applyFont="1" applyFill="1" applyBorder="1" applyAlignment="1">
      <alignment horizontal="center"/>
    </xf>
    <xf numFmtId="0" fontId="9" fillId="3" borderId="6" xfId="0" applyFont="1" applyFill="1" applyBorder="1" applyAlignment="1">
      <alignment horizontal="center" vertical="center"/>
    </xf>
    <xf numFmtId="0" fontId="11" fillId="3" borderId="6" xfId="0" applyFont="1" applyFill="1" applyBorder="1" applyAlignment="1">
      <alignment horizontal="center"/>
    </xf>
    <xf numFmtId="0" fontId="10" fillId="3" borderId="6" xfId="0" applyFont="1" applyFill="1" applyBorder="1" applyAlignment="1">
      <alignment horizontal="center" vertical="center"/>
    </xf>
    <xf numFmtId="0" fontId="8" fillId="3" borderId="6" xfId="0" applyFont="1" applyFill="1" applyBorder="1" applyAlignment="1">
      <alignment horizontal="center" vertical="center"/>
    </xf>
    <xf numFmtId="0" fontId="13" fillId="3" borderId="6" xfId="0" applyFont="1" applyFill="1" applyBorder="1" applyAlignment="1">
      <alignment horizontal="center"/>
    </xf>
    <xf numFmtId="0" fontId="0" fillId="0" borderId="6" xfId="0" applyNumberFormat="1" applyBorder="1"/>
  </cellXfs>
  <cellStyles count="1">
    <cellStyle name="Normal" xfId="0" builtinId="0"/>
  </cellStyles>
  <dxfs count="27">
    <dxf>
      <font>
        <b/>
        <i val="0"/>
        <color theme="9" tint="-0.24994659260841701"/>
      </font>
      <fill>
        <patternFill patternType="solid">
          <fgColor auto="1"/>
          <bgColor rgb="FFFFFF00"/>
        </patternFill>
      </fill>
    </dxf>
    <dxf>
      <font>
        <b/>
        <i val="0"/>
        <color rgb="FFFF0000"/>
      </font>
      <border>
        <left style="thin">
          <color auto="1"/>
        </left>
        <right style="thin">
          <color auto="1"/>
        </right>
        <top style="thin">
          <color auto="1"/>
        </top>
        <bottom style="thin">
          <color auto="1"/>
        </bottom>
        <vertical/>
        <horizontal/>
      </border>
    </dxf>
    <dxf>
      <fill>
        <patternFill>
          <bgColor theme="8" tint="0.39994506668294322"/>
        </patternFill>
      </fill>
    </dxf>
    <dxf>
      <numFmt numFmtId="19" formatCode="dd/mm/yyyy"/>
    </dxf>
    <dxf>
      <numFmt numFmtId="19" formatCode="dd/mm/yyyy"/>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s>
  <tableStyles count="0" defaultTableStyle="TableStyleMedium2" defaultPivotStyle="PivotStyleLight16"/>
  <colors>
    <mruColors>
      <color rgb="FF800080"/>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[Attendance_Tracker_2000_Employees.xlsm]PIVOT TABLES!PivotTable2</c:name>
    <c:fmtId val="14"/>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i="1" u="sng">
                <a:solidFill>
                  <a:schemeClr val="tx1"/>
                </a:solidFill>
                <a:latin typeface="Amasis MT Pro" panose="02040504050005020304" pitchFamily="18" charset="0"/>
              </a:rPr>
              <a:t>Employee</a:t>
            </a:r>
            <a:r>
              <a:rPr lang="en-US" i="1" u="sng" baseline="0">
                <a:solidFill>
                  <a:schemeClr val="tx1"/>
                </a:solidFill>
                <a:latin typeface="Amasis MT Pro" panose="02040504050005020304" pitchFamily="18" charset="0"/>
              </a:rPr>
              <a:t> wise attendance</a:t>
            </a:r>
            <a:endParaRPr lang="en-US" i="1" u="sng">
              <a:solidFill>
                <a:schemeClr val="tx1"/>
              </a:solidFill>
              <a:latin typeface="Amasis MT Pro" panose="02040504050005020304" pitchFamily="18" charset="0"/>
            </a:endParaRPr>
          </a:p>
        </c:rich>
      </c:tx>
      <c:layout>
        <c:manualLayout>
          <c:xMode val="edge"/>
          <c:yMode val="edge"/>
          <c:x val="0.23791273781537567"/>
          <c:y val="3.4814514225428306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TABLES'!$B$5:$B$6</c:f>
              <c:strCache>
                <c:ptCount val="1"/>
                <c:pt idx="0">
                  <c:v>AB</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TABLES'!$A$7:$A$46</c:f>
              <c:strCache>
                <c:ptCount val="39"/>
                <c:pt idx="0">
                  <c:v>1001</c:v>
                </c:pt>
                <c:pt idx="1">
                  <c:v>1002</c:v>
                </c:pt>
                <c:pt idx="2">
                  <c:v>1003</c:v>
                </c:pt>
                <c:pt idx="3">
                  <c:v>1004</c:v>
                </c:pt>
                <c:pt idx="4">
                  <c:v>1005</c:v>
                </c:pt>
                <c:pt idx="5">
                  <c:v>1006</c:v>
                </c:pt>
                <c:pt idx="6">
                  <c:v>1007</c:v>
                </c:pt>
                <c:pt idx="7">
                  <c:v>1008</c:v>
                </c:pt>
                <c:pt idx="8">
                  <c:v>1009</c:v>
                </c:pt>
                <c:pt idx="9">
                  <c:v>1010</c:v>
                </c:pt>
                <c:pt idx="10">
                  <c:v>1011</c:v>
                </c:pt>
                <c:pt idx="11">
                  <c:v>1012</c:v>
                </c:pt>
                <c:pt idx="12">
                  <c:v>1013</c:v>
                </c:pt>
                <c:pt idx="13">
                  <c:v>1014</c:v>
                </c:pt>
                <c:pt idx="14">
                  <c:v>1015</c:v>
                </c:pt>
                <c:pt idx="15">
                  <c:v>1016</c:v>
                </c:pt>
                <c:pt idx="16">
                  <c:v>1017</c:v>
                </c:pt>
                <c:pt idx="17">
                  <c:v>1018</c:v>
                </c:pt>
                <c:pt idx="18">
                  <c:v>1019</c:v>
                </c:pt>
                <c:pt idx="19">
                  <c:v>1020</c:v>
                </c:pt>
                <c:pt idx="20">
                  <c:v>1021</c:v>
                </c:pt>
                <c:pt idx="21">
                  <c:v>1022</c:v>
                </c:pt>
                <c:pt idx="22">
                  <c:v>1023</c:v>
                </c:pt>
                <c:pt idx="23">
                  <c:v>1024</c:v>
                </c:pt>
                <c:pt idx="24">
                  <c:v>1025</c:v>
                </c:pt>
                <c:pt idx="25">
                  <c:v>1026</c:v>
                </c:pt>
                <c:pt idx="26">
                  <c:v>1027</c:v>
                </c:pt>
                <c:pt idx="27">
                  <c:v>1028</c:v>
                </c:pt>
                <c:pt idx="28">
                  <c:v>1029</c:v>
                </c:pt>
                <c:pt idx="29">
                  <c:v>1030</c:v>
                </c:pt>
                <c:pt idx="30">
                  <c:v>1031</c:v>
                </c:pt>
                <c:pt idx="31">
                  <c:v>1032</c:v>
                </c:pt>
                <c:pt idx="32">
                  <c:v>1033</c:v>
                </c:pt>
                <c:pt idx="33">
                  <c:v>1034</c:v>
                </c:pt>
                <c:pt idx="34">
                  <c:v>1035</c:v>
                </c:pt>
                <c:pt idx="35">
                  <c:v>1036</c:v>
                </c:pt>
                <c:pt idx="36">
                  <c:v>1037</c:v>
                </c:pt>
                <c:pt idx="37">
                  <c:v>1038</c:v>
                </c:pt>
                <c:pt idx="38">
                  <c:v>1039</c:v>
                </c:pt>
              </c:strCache>
            </c:strRef>
          </c:cat>
          <c:val>
            <c:numRef>
              <c:f>'PIVOT TABLES'!$B$7:$B$46</c:f>
              <c:numCache>
                <c:formatCode>General</c:formatCode>
                <c:ptCount val="39"/>
                <c:pt idx="0">
                  <c:v>1</c:v>
                </c:pt>
                <c:pt idx="3">
                  <c:v>1</c:v>
                </c:pt>
                <c:pt idx="4">
                  <c:v>2</c:v>
                </c:pt>
                <c:pt idx="6">
                  <c:v>2</c:v>
                </c:pt>
                <c:pt idx="8">
                  <c:v>1</c:v>
                </c:pt>
                <c:pt idx="10">
                  <c:v>1</c:v>
                </c:pt>
                <c:pt idx="13">
                  <c:v>1</c:v>
                </c:pt>
                <c:pt idx="14">
                  <c:v>2</c:v>
                </c:pt>
                <c:pt idx="17">
                  <c:v>1</c:v>
                </c:pt>
                <c:pt idx="19">
                  <c:v>1</c:v>
                </c:pt>
                <c:pt idx="25">
                  <c:v>1</c:v>
                </c:pt>
                <c:pt idx="26">
                  <c:v>1</c:v>
                </c:pt>
                <c:pt idx="30">
                  <c:v>1</c:v>
                </c:pt>
                <c:pt idx="31">
                  <c:v>1</c:v>
                </c:pt>
                <c:pt idx="33">
                  <c:v>1</c:v>
                </c:pt>
                <c:pt idx="34">
                  <c:v>1</c:v>
                </c:pt>
                <c:pt idx="35">
                  <c:v>1</c:v>
                </c:pt>
              </c:numCache>
            </c:numRef>
          </c:val>
          <c:extLst>
            <c:ext xmlns:c16="http://schemas.microsoft.com/office/drawing/2014/chart" uri="{C3380CC4-5D6E-409C-BE32-E72D297353CC}">
              <c16:uniqueId val="{00000000-1403-475E-9C82-4B0EBED350AC}"/>
            </c:ext>
          </c:extLst>
        </c:ser>
        <c:ser>
          <c:idx val="1"/>
          <c:order val="1"/>
          <c:tx>
            <c:strRef>
              <c:f>'PIVOT TABLES'!$C$5:$C$6</c:f>
              <c:strCache>
                <c:ptCount val="1"/>
                <c:pt idx="0">
                  <c:v>P</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TABLES'!$A$7:$A$46</c:f>
              <c:strCache>
                <c:ptCount val="39"/>
                <c:pt idx="0">
                  <c:v>1001</c:v>
                </c:pt>
                <c:pt idx="1">
                  <c:v>1002</c:v>
                </c:pt>
                <c:pt idx="2">
                  <c:v>1003</c:v>
                </c:pt>
                <c:pt idx="3">
                  <c:v>1004</c:v>
                </c:pt>
                <c:pt idx="4">
                  <c:v>1005</c:v>
                </c:pt>
                <c:pt idx="5">
                  <c:v>1006</c:v>
                </c:pt>
                <c:pt idx="6">
                  <c:v>1007</c:v>
                </c:pt>
                <c:pt idx="7">
                  <c:v>1008</c:v>
                </c:pt>
                <c:pt idx="8">
                  <c:v>1009</c:v>
                </c:pt>
                <c:pt idx="9">
                  <c:v>1010</c:v>
                </c:pt>
                <c:pt idx="10">
                  <c:v>1011</c:v>
                </c:pt>
                <c:pt idx="11">
                  <c:v>1012</c:v>
                </c:pt>
                <c:pt idx="12">
                  <c:v>1013</c:v>
                </c:pt>
                <c:pt idx="13">
                  <c:v>1014</c:v>
                </c:pt>
                <c:pt idx="14">
                  <c:v>1015</c:v>
                </c:pt>
                <c:pt idx="15">
                  <c:v>1016</c:v>
                </c:pt>
                <c:pt idx="16">
                  <c:v>1017</c:v>
                </c:pt>
                <c:pt idx="17">
                  <c:v>1018</c:v>
                </c:pt>
                <c:pt idx="18">
                  <c:v>1019</c:v>
                </c:pt>
                <c:pt idx="19">
                  <c:v>1020</c:v>
                </c:pt>
                <c:pt idx="20">
                  <c:v>1021</c:v>
                </c:pt>
                <c:pt idx="21">
                  <c:v>1022</c:v>
                </c:pt>
                <c:pt idx="22">
                  <c:v>1023</c:v>
                </c:pt>
                <c:pt idx="23">
                  <c:v>1024</c:v>
                </c:pt>
                <c:pt idx="24">
                  <c:v>1025</c:v>
                </c:pt>
                <c:pt idx="25">
                  <c:v>1026</c:v>
                </c:pt>
                <c:pt idx="26">
                  <c:v>1027</c:v>
                </c:pt>
                <c:pt idx="27">
                  <c:v>1028</c:v>
                </c:pt>
                <c:pt idx="28">
                  <c:v>1029</c:v>
                </c:pt>
                <c:pt idx="29">
                  <c:v>1030</c:v>
                </c:pt>
                <c:pt idx="30">
                  <c:v>1031</c:v>
                </c:pt>
                <c:pt idx="31">
                  <c:v>1032</c:v>
                </c:pt>
                <c:pt idx="32">
                  <c:v>1033</c:v>
                </c:pt>
                <c:pt idx="33">
                  <c:v>1034</c:v>
                </c:pt>
                <c:pt idx="34">
                  <c:v>1035</c:v>
                </c:pt>
                <c:pt idx="35">
                  <c:v>1036</c:v>
                </c:pt>
                <c:pt idx="36">
                  <c:v>1037</c:v>
                </c:pt>
                <c:pt idx="37">
                  <c:v>1038</c:v>
                </c:pt>
                <c:pt idx="38">
                  <c:v>1039</c:v>
                </c:pt>
              </c:strCache>
            </c:strRef>
          </c:cat>
          <c:val>
            <c:numRef>
              <c:f>'PIVOT TABLES'!$C$7:$C$46</c:f>
              <c:numCache>
                <c:formatCode>General</c:formatCode>
                <c:ptCount val="39"/>
                <c:pt idx="0">
                  <c:v>61</c:v>
                </c:pt>
                <c:pt idx="1">
                  <c:v>27</c:v>
                </c:pt>
                <c:pt idx="2">
                  <c:v>27</c:v>
                </c:pt>
                <c:pt idx="3">
                  <c:v>26</c:v>
                </c:pt>
                <c:pt idx="4">
                  <c:v>25</c:v>
                </c:pt>
                <c:pt idx="5">
                  <c:v>27</c:v>
                </c:pt>
                <c:pt idx="6">
                  <c:v>25</c:v>
                </c:pt>
                <c:pt idx="7">
                  <c:v>27</c:v>
                </c:pt>
                <c:pt idx="8">
                  <c:v>26</c:v>
                </c:pt>
                <c:pt idx="9">
                  <c:v>27</c:v>
                </c:pt>
                <c:pt idx="10">
                  <c:v>26</c:v>
                </c:pt>
                <c:pt idx="11">
                  <c:v>27</c:v>
                </c:pt>
                <c:pt idx="12">
                  <c:v>27</c:v>
                </c:pt>
                <c:pt idx="13">
                  <c:v>26</c:v>
                </c:pt>
                <c:pt idx="14">
                  <c:v>25</c:v>
                </c:pt>
                <c:pt idx="15">
                  <c:v>27</c:v>
                </c:pt>
                <c:pt idx="16">
                  <c:v>27</c:v>
                </c:pt>
                <c:pt idx="17">
                  <c:v>26</c:v>
                </c:pt>
                <c:pt idx="18">
                  <c:v>27</c:v>
                </c:pt>
                <c:pt idx="19">
                  <c:v>26</c:v>
                </c:pt>
                <c:pt idx="20">
                  <c:v>27</c:v>
                </c:pt>
                <c:pt idx="21">
                  <c:v>27</c:v>
                </c:pt>
                <c:pt idx="22">
                  <c:v>27</c:v>
                </c:pt>
                <c:pt idx="23">
                  <c:v>27</c:v>
                </c:pt>
                <c:pt idx="24">
                  <c:v>27</c:v>
                </c:pt>
                <c:pt idx="25">
                  <c:v>26</c:v>
                </c:pt>
                <c:pt idx="26">
                  <c:v>26</c:v>
                </c:pt>
                <c:pt idx="27">
                  <c:v>27</c:v>
                </c:pt>
                <c:pt idx="28">
                  <c:v>27</c:v>
                </c:pt>
                <c:pt idx="29">
                  <c:v>27</c:v>
                </c:pt>
                <c:pt idx="30">
                  <c:v>26</c:v>
                </c:pt>
                <c:pt idx="31">
                  <c:v>26</c:v>
                </c:pt>
                <c:pt idx="32">
                  <c:v>27</c:v>
                </c:pt>
                <c:pt idx="33">
                  <c:v>26</c:v>
                </c:pt>
                <c:pt idx="34">
                  <c:v>26</c:v>
                </c:pt>
                <c:pt idx="35">
                  <c:v>26</c:v>
                </c:pt>
                <c:pt idx="36">
                  <c:v>27</c:v>
                </c:pt>
                <c:pt idx="37">
                  <c:v>27</c:v>
                </c:pt>
                <c:pt idx="38">
                  <c:v>20</c:v>
                </c:pt>
              </c:numCache>
            </c:numRef>
          </c:val>
          <c:extLst>
            <c:ext xmlns:c16="http://schemas.microsoft.com/office/drawing/2014/chart" uri="{C3380CC4-5D6E-409C-BE32-E72D297353CC}">
              <c16:uniqueId val="{00000001-0D5E-46AE-BB26-37011E6F74A5}"/>
            </c:ext>
          </c:extLst>
        </c:ser>
        <c:dLbls>
          <c:dLblPos val="outEnd"/>
          <c:showLegendKey val="0"/>
          <c:showVal val="1"/>
          <c:showCatName val="0"/>
          <c:showSerName val="0"/>
          <c:showPercent val="0"/>
          <c:showBubbleSize val="0"/>
        </c:dLbls>
        <c:gapWidth val="444"/>
        <c:overlap val="-90"/>
        <c:axId val="244965920"/>
        <c:axId val="2108708543"/>
      </c:barChart>
      <c:catAx>
        <c:axId val="244965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solidFill>
                <a:latin typeface="+mn-lt"/>
                <a:ea typeface="+mn-ea"/>
                <a:cs typeface="+mn-cs"/>
              </a:defRPr>
            </a:pPr>
            <a:endParaRPr lang="en-US"/>
          </a:p>
        </c:txPr>
        <c:crossAx val="2108708543"/>
        <c:crosses val="autoZero"/>
        <c:auto val="1"/>
        <c:lblAlgn val="ctr"/>
        <c:lblOffset val="100"/>
        <c:noMultiLvlLbl val="0"/>
      </c:catAx>
      <c:valAx>
        <c:axId val="2108708543"/>
        <c:scaling>
          <c:orientation val="minMax"/>
        </c:scaling>
        <c:delete val="1"/>
        <c:axPos val="l"/>
        <c:numFmt formatCode="General" sourceLinked="1"/>
        <c:majorTickMark val="none"/>
        <c:minorTickMark val="none"/>
        <c:tickLblPos val="nextTo"/>
        <c:crossAx val="244965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[Attendance_Tracker_2000_Employees.xlsm]PIVOT TABLES!PivotTable1</c:name>
    <c:fmtId val="1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i="1" u="sng">
                <a:solidFill>
                  <a:schemeClr val="tx1"/>
                </a:solidFill>
              </a:rPr>
              <a:t>Persent V/S Absent</a:t>
            </a:r>
          </a:p>
        </c:rich>
      </c:tx>
      <c:layout>
        <c:manualLayout>
          <c:xMode val="edge"/>
          <c:yMode val="edge"/>
          <c:x val="0.34204375659993186"/>
          <c:y val="3.9435707883280165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38052808125630189"/>
          <c:y val="0.3129305578263038"/>
          <c:w val="0.22359105992592235"/>
          <c:h val="0.55083673534778599"/>
        </c:manualLayout>
      </c:layout>
      <c:doughnutChart>
        <c:varyColors val="1"/>
        <c:ser>
          <c:idx val="0"/>
          <c:order val="0"/>
          <c:tx>
            <c:strRef>
              <c:f>'PIVOT TABLES'!$H$8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2DF-4096-999C-E893A5F4901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2DF-4096-999C-E893A5F4901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TABLES'!$G$9:$G$11</c:f>
              <c:strCache>
                <c:ptCount val="2"/>
                <c:pt idx="0">
                  <c:v>AB</c:v>
                </c:pt>
                <c:pt idx="1">
                  <c:v>P</c:v>
                </c:pt>
              </c:strCache>
            </c:strRef>
          </c:cat>
          <c:val>
            <c:numRef>
              <c:f>'PIVOT TABLES'!$H$9:$H$11</c:f>
              <c:numCache>
                <c:formatCode>General</c:formatCode>
                <c:ptCount val="2"/>
                <c:pt idx="0">
                  <c:v>20</c:v>
                </c:pt>
                <c:pt idx="1">
                  <c:v>1061</c:v>
                </c:pt>
              </c:numCache>
            </c:numRef>
          </c:val>
          <c:extLst>
            <c:ext xmlns:c16="http://schemas.microsoft.com/office/drawing/2014/chart" uri="{C3380CC4-5D6E-409C-BE32-E72D297353CC}">
              <c16:uniqueId val="{00000004-22DF-4096-999C-E893A5F4901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0</xdr:col>
      <xdr:colOff>57380</xdr:colOff>
      <xdr:row>0</xdr:row>
      <xdr:rowOff>91349</xdr:rowOff>
    </xdr:from>
    <xdr:to>
      <xdr:col>43</xdr:col>
      <xdr:colOff>503678</xdr:colOff>
      <xdr:row>3</xdr:row>
      <xdr:rowOff>34199</xdr:rowOff>
    </xdr:to>
    <xdr:sp macro="" textlink="">
      <xdr:nvSpPr>
        <xdr:cNvPr id="3" name="Rectangle: Rounded Corners 2">
          <a:extLst>
            <a:ext uri="{FF2B5EF4-FFF2-40B4-BE49-F238E27FC236}">
              <a16:creationId xmlns:a16="http://schemas.microsoft.com/office/drawing/2014/main" id="{FFB828FF-FCE0-1B00-2BDC-F887CDD008E5}"/>
            </a:ext>
          </a:extLst>
        </xdr:cNvPr>
        <xdr:cNvSpPr/>
      </xdr:nvSpPr>
      <xdr:spPr>
        <a:xfrm>
          <a:off x="57380" y="91349"/>
          <a:ext cx="18233949" cy="528121"/>
        </a:xfrm>
        <a:prstGeom prst="round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solidFill>
            </a:rPr>
            <a:t>              </a:t>
          </a:r>
          <a:r>
            <a:rPr lang="en-IN" sz="2000" b="1">
              <a:solidFill>
                <a:schemeClr val="bg1"/>
              </a:solidFill>
            </a:rPr>
            <a:t>AUTOMATED</a:t>
          </a:r>
          <a:r>
            <a:rPr lang="en-IN" sz="2000" b="1" baseline="0">
              <a:solidFill>
                <a:schemeClr val="bg1"/>
              </a:solidFill>
            </a:rPr>
            <a:t> ATTENDANCE SHEEET</a:t>
          </a:r>
          <a:r>
            <a:rPr lang="en-IN" sz="1800" b="1" baseline="0">
              <a:solidFill>
                <a:schemeClr val="bg1"/>
              </a:solidFill>
            </a:rPr>
            <a:t> </a:t>
          </a:r>
          <a:r>
            <a:rPr lang="en-IN" sz="2400" b="1" baseline="0">
              <a:solidFill>
                <a:srgbClr val="FFFF00"/>
              </a:solidFill>
              <a:latin typeface="Edwardian Script ITC" panose="030303020407070D0804" pitchFamily="66" charset="0"/>
            </a:rPr>
            <a:t>by piyush</a:t>
          </a:r>
          <a:endParaRPr lang="en-IN" sz="1800" b="1">
            <a:solidFill>
              <a:srgbClr val="FFFF00"/>
            </a:solidFill>
            <a:latin typeface="Edwardian Script ITC" panose="030303020407070D0804" pitchFamily="66" charset="0"/>
          </a:endParaRPr>
        </a:p>
      </xdr:txBody>
    </xdr:sp>
    <xdr:clientData/>
  </xdr:twoCellAnchor>
  <xdr:twoCellAnchor>
    <xdr:from>
      <xdr:col>0</xdr:col>
      <xdr:colOff>361950</xdr:colOff>
      <xdr:row>1</xdr:row>
      <xdr:rowOff>19050</xdr:rowOff>
    </xdr:from>
    <xdr:to>
      <xdr:col>1</xdr:col>
      <xdr:colOff>152400</xdr:colOff>
      <xdr:row>2</xdr:row>
      <xdr:rowOff>95250</xdr:rowOff>
    </xdr:to>
    <xdr:sp macro="" textlink="">
      <xdr:nvSpPr>
        <xdr:cNvPr id="4" name="Rectangle: Rounded Corners 3">
          <a:extLst>
            <a:ext uri="{FF2B5EF4-FFF2-40B4-BE49-F238E27FC236}">
              <a16:creationId xmlns:a16="http://schemas.microsoft.com/office/drawing/2014/main" id="{11734B8D-3099-A5CF-D99B-D168BDD387A9}"/>
            </a:ext>
          </a:extLst>
        </xdr:cNvPr>
        <xdr:cNvSpPr/>
      </xdr:nvSpPr>
      <xdr:spPr>
        <a:xfrm>
          <a:off x="361950" y="209550"/>
          <a:ext cx="400050" cy="2667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371475</xdr:colOff>
      <xdr:row>1</xdr:row>
      <xdr:rowOff>0</xdr:rowOff>
    </xdr:from>
    <xdr:to>
      <xdr:col>1</xdr:col>
      <xdr:colOff>148712</xdr:colOff>
      <xdr:row>2</xdr:row>
      <xdr:rowOff>114300</xdr:rowOff>
    </xdr:to>
    <xdr:pic>
      <xdr:nvPicPr>
        <xdr:cNvPr id="6" name="Graphic 5" descr="Daily calendar">
          <a:extLst>
            <a:ext uri="{FF2B5EF4-FFF2-40B4-BE49-F238E27FC236}">
              <a16:creationId xmlns:a16="http://schemas.microsoft.com/office/drawing/2014/main" id="{0877BDA6-1698-0D29-EBC3-CAEB0BAFF08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71475" y="190500"/>
          <a:ext cx="386837" cy="304800"/>
        </a:xfrm>
        <a:prstGeom prst="rect">
          <a:avLst/>
        </a:prstGeom>
      </xdr:spPr>
    </xdr:pic>
    <xdr:clientData/>
  </xdr:twoCellAnchor>
  <xdr:twoCellAnchor>
    <xdr:from>
      <xdr:col>0</xdr:col>
      <xdr:colOff>531967</xdr:colOff>
      <xdr:row>4</xdr:row>
      <xdr:rowOff>51211</xdr:rowOff>
    </xdr:from>
    <xdr:to>
      <xdr:col>2</xdr:col>
      <xdr:colOff>348227</xdr:colOff>
      <xdr:row>5</xdr:row>
      <xdr:rowOff>163871</xdr:rowOff>
    </xdr:to>
    <xdr:sp macro="" textlink="">
      <xdr:nvSpPr>
        <xdr:cNvPr id="7" name="TextBox 6">
          <a:extLst>
            <a:ext uri="{FF2B5EF4-FFF2-40B4-BE49-F238E27FC236}">
              <a16:creationId xmlns:a16="http://schemas.microsoft.com/office/drawing/2014/main" id="{8AE3AEFF-89BB-CABE-FA02-54668CFD6F4B}"/>
            </a:ext>
          </a:extLst>
        </xdr:cNvPr>
        <xdr:cNvSpPr txBox="1"/>
      </xdr:nvSpPr>
      <xdr:spPr>
        <a:xfrm>
          <a:off x="531967" y="829598"/>
          <a:ext cx="1188679" cy="30725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tx1"/>
              </a:solidFill>
            </a:rPr>
            <a:t>MONTH</a:t>
          </a:r>
        </a:p>
      </xdr:txBody>
    </xdr:sp>
    <xdr:clientData/>
  </xdr:twoCellAnchor>
  <xdr:twoCellAnchor>
    <xdr:from>
      <xdr:col>2</xdr:col>
      <xdr:colOff>0</xdr:colOff>
      <xdr:row>4</xdr:row>
      <xdr:rowOff>9525</xdr:rowOff>
    </xdr:from>
    <xdr:to>
      <xdr:col>2</xdr:col>
      <xdr:colOff>0</xdr:colOff>
      <xdr:row>5</xdr:row>
      <xdr:rowOff>85725</xdr:rowOff>
    </xdr:to>
    <xdr:sp macro="" textlink="">
      <xdr:nvSpPr>
        <xdr:cNvPr id="10" name="TextBox 9">
          <a:extLst>
            <a:ext uri="{FF2B5EF4-FFF2-40B4-BE49-F238E27FC236}">
              <a16:creationId xmlns:a16="http://schemas.microsoft.com/office/drawing/2014/main" id="{2C0E45C4-C71C-10AE-97BD-1046BFED3848}"/>
            </a:ext>
          </a:extLst>
        </xdr:cNvPr>
        <xdr:cNvSpPr txBox="1"/>
      </xdr:nvSpPr>
      <xdr:spPr>
        <a:xfrm>
          <a:off x="2381249" y="771525"/>
          <a:ext cx="647701" cy="2667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tx1"/>
              </a:solidFill>
            </a:rPr>
            <a:t>Year</a:t>
          </a:r>
        </a:p>
      </xdr:txBody>
    </xdr:sp>
    <xdr:clientData/>
  </xdr:twoCellAnchor>
  <xdr:twoCellAnchor editAs="oneCell">
    <xdr:from>
      <xdr:col>3</xdr:col>
      <xdr:colOff>66675</xdr:colOff>
      <xdr:row>4</xdr:row>
      <xdr:rowOff>38099</xdr:rowOff>
    </xdr:from>
    <xdr:to>
      <xdr:col>3</xdr:col>
      <xdr:colOff>342901</xdr:colOff>
      <xdr:row>5</xdr:row>
      <xdr:rowOff>76200</xdr:rowOff>
    </xdr:to>
    <xdr:pic>
      <xdr:nvPicPr>
        <xdr:cNvPr id="17" name="Graphic 16" descr="Office worker">
          <a:extLst>
            <a:ext uri="{FF2B5EF4-FFF2-40B4-BE49-F238E27FC236}">
              <a16:creationId xmlns:a16="http://schemas.microsoft.com/office/drawing/2014/main" id="{F9CFC07E-6C6D-135E-8191-8726FA09097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724275" y="800099"/>
          <a:ext cx="276226" cy="228601"/>
        </a:xfrm>
        <a:prstGeom prst="rect">
          <a:avLst/>
        </a:prstGeom>
      </xdr:spPr>
    </xdr:pic>
    <xdr:clientData/>
  </xdr:twoCellAnchor>
  <xdr:twoCellAnchor>
    <xdr:from>
      <xdr:col>3</xdr:col>
      <xdr:colOff>342900</xdr:colOff>
      <xdr:row>4</xdr:row>
      <xdr:rowOff>47625</xdr:rowOff>
    </xdr:from>
    <xdr:to>
      <xdr:col>5</xdr:col>
      <xdr:colOff>133350</xdr:colOff>
      <xdr:row>5</xdr:row>
      <xdr:rowOff>66675</xdr:rowOff>
    </xdr:to>
    <xdr:sp macro="" textlink="">
      <xdr:nvSpPr>
        <xdr:cNvPr id="18" name="TextBox 17">
          <a:extLst>
            <a:ext uri="{FF2B5EF4-FFF2-40B4-BE49-F238E27FC236}">
              <a16:creationId xmlns:a16="http://schemas.microsoft.com/office/drawing/2014/main" id="{3079944C-8354-A354-A695-AC3A0FF14546}"/>
            </a:ext>
          </a:extLst>
        </xdr:cNvPr>
        <xdr:cNvSpPr txBox="1"/>
      </xdr:nvSpPr>
      <xdr:spPr>
        <a:xfrm>
          <a:off x="4000500" y="809625"/>
          <a:ext cx="1009650" cy="2095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800" b="1">
            <a:solidFill>
              <a:schemeClr val="tx1"/>
            </a:solidFill>
          </a:endParaRPr>
        </a:p>
      </xdr:txBody>
    </xdr:sp>
    <xdr:clientData/>
  </xdr:twoCellAnchor>
  <xdr:twoCellAnchor>
    <xdr:from>
      <xdr:col>3</xdr:col>
      <xdr:colOff>571500</xdr:colOff>
      <xdr:row>5</xdr:row>
      <xdr:rowOff>28574</xdr:rowOff>
    </xdr:from>
    <xdr:to>
      <xdr:col>4</xdr:col>
      <xdr:colOff>476250</xdr:colOff>
      <xdr:row>7</xdr:row>
      <xdr:rowOff>28574</xdr:rowOff>
    </xdr:to>
    <xdr:sp macro="" textlink="">
      <xdr:nvSpPr>
        <xdr:cNvPr id="21" name="TextBox 20">
          <a:extLst>
            <a:ext uri="{FF2B5EF4-FFF2-40B4-BE49-F238E27FC236}">
              <a16:creationId xmlns:a16="http://schemas.microsoft.com/office/drawing/2014/main" id="{07099E09-DBB6-265F-0A0D-632C50AC84D8}"/>
            </a:ext>
          </a:extLst>
        </xdr:cNvPr>
        <xdr:cNvSpPr txBox="1"/>
      </xdr:nvSpPr>
      <xdr:spPr>
        <a:xfrm>
          <a:off x="4229100" y="981074"/>
          <a:ext cx="514350"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600" b="1">
            <a:solidFill>
              <a:srgbClr val="00B050"/>
            </a:solidFill>
            <a:latin typeface="Arial Black" panose="020B0A04020102020204" pitchFamily="34" charset="0"/>
          </a:endParaRPr>
        </a:p>
      </xdr:txBody>
    </xdr:sp>
    <xdr:clientData/>
  </xdr:twoCellAnchor>
  <xdr:twoCellAnchor>
    <xdr:from>
      <xdr:col>3</xdr:col>
      <xdr:colOff>504825</xdr:colOff>
      <xdr:row>6</xdr:row>
      <xdr:rowOff>161925</xdr:rowOff>
    </xdr:from>
    <xdr:to>
      <xdr:col>5</xdr:col>
      <xdr:colOff>247650</xdr:colOff>
      <xdr:row>7</xdr:row>
      <xdr:rowOff>142875</xdr:rowOff>
    </xdr:to>
    <xdr:sp macro="" textlink="">
      <xdr:nvSpPr>
        <xdr:cNvPr id="22" name="TextBox 21">
          <a:extLst>
            <a:ext uri="{FF2B5EF4-FFF2-40B4-BE49-F238E27FC236}">
              <a16:creationId xmlns:a16="http://schemas.microsoft.com/office/drawing/2014/main" id="{D466249A-197E-2761-672A-DA1394EAA412}"/>
            </a:ext>
          </a:extLst>
        </xdr:cNvPr>
        <xdr:cNvSpPr txBox="1"/>
      </xdr:nvSpPr>
      <xdr:spPr>
        <a:xfrm>
          <a:off x="4162425" y="1304925"/>
          <a:ext cx="962025" cy="180975"/>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b="1">
            <a:solidFill>
              <a:schemeClr val="tx1"/>
            </a:solidFill>
          </a:endParaRPr>
        </a:p>
      </xdr:txBody>
    </xdr:sp>
    <xdr:clientData/>
  </xdr:twoCellAnchor>
  <xdr:twoCellAnchor>
    <xdr:from>
      <xdr:col>1</xdr:col>
      <xdr:colOff>1</xdr:colOff>
      <xdr:row>8</xdr:row>
      <xdr:rowOff>61850</xdr:rowOff>
    </xdr:from>
    <xdr:to>
      <xdr:col>2</xdr:col>
      <xdr:colOff>1</xdr:colOff>
      <xdr:row>11</xdr:row>
      <xdr:rowOff>160811</xdr:rowOff>
    </xdr:to>
    <xdr:sp macro="" textlink="">
      <xdr:nvSpPr>
        <xdr:cNvPr id="8" name="Rectangle: Diagonal Corners Rounded 7">
          <a:extLst>
            <a:ext uri="{FF2B5EF4-FFF2-40B4-BE49-F238E27FC236}">
              <a16:creationId xmlns:a16="http://schemas.microsoft.com/office/drawing/2014/main" id="{9E25C2A3-7F21-1826-F5FE-E55C9AE2291C}"/>
            </a:ext>
          </a:extLst>
        </xdr:cNvPr>
        <xdr:cNvSpPr/>
      </xdr:nvSpPr>
      <xdr:spPr>
        <a:xfrm>
          <a:off x="606137" y="1558636"/>
          <a:ext cx="766948" cy="655617"/>
        </a:xfrm>
        <a:prstGeom prst="round2Diag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bg1"/>
              </a:solidFill>
            </a:rPr>
            <a:t>EMP ID</a:t>
          </a:r>
        </a:p>
      </xdr:txBody>
    </xdr:sp>
    <xdr:clientData/>
  </xdr:twoCellAnchor>
  <xdr:twoCellAnchor>
    <xdr:from>
      <xdr:col>1</xdr:col>
      <xdr:colOff>754579</xdr:colOff>
      <xdr:row>8</xdr:row>
      <xdr:rowOff>74220</xdr:rowOff>
    </xdr:from>
    <xdr:to>
      <xdr:col>4</xdr:col>
      <xdr:colOff>1</xdr:colOff>
      <xdr:row>11</xdr:row>
      <xdr:rowOff>160811</xdr:rowOff>
    </xdr:to>
    <xdr:sp macro="" textlink="">
      <xdr:nvSpPr>
        <xdr:cNvPr id="9" name="Rectangle 8">
          <a:extLst>
            <a:ext uri="{FF2B5EF4-FFF2-40B4-BE49-F238E27FC236}">
              <a16:creationId xmlns:a16="http://schemas.microsoft.com/office/drawing/2014/main" id="{C6C396CA-66C9-9CB8-FF9E-8F06B227B804}"/>
            </a:ext>
          </a:extLst>
        </xdr:cNvPr>
        <xdr:cNvSpPr/>
      </xdr:nvSpPr>
      <xdr:spPr>
        <a:xfrm>
          <a:off x="1360715" y="1571006"/>
          <a:ext cx="2424546" cy="643247"/>
        </a:xfrm>
        <a:prstGeom prst="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a:t>EMPLOYEE NAMES</a:t>
          </a:r>
        </a:p>
      </xdr:txBody>
    </xdr:sp>
    <xdr:clientData/>
  </xdr:twoCellAnchor>
  <xdr:twoCellAnchor>
    <xdr:from>
      <xdr:col>4</xdr:col>
      <xdr:colOff>0</xdr:colOff>
      <xdr:row>8</xdr:row>
      <xdr:rowOff>74220</xdr:rowOff>
    </xdr:from>
    <xdr:to>
      <xdr:col>5</xdr:col>
      <xdr:colOff>581396</xdr:colOff>
      <xdr:row>11</xdr:row>
      <xdr:rowOff>160811</xdr:rowOff>
    </xdr:to>
    <xdr:sp macro="" textlink="">
      <xdr:nvSpPr>
        <xdr:cNvPr id="12" name="Rectangle: Top Corners One Rounded and One Snipped 11">
          <a:extLst>
            <a:ext uri="{FF2B5EF4-FFF2-40B4-BE49-F238E27FC236}">
              <a16:creationId xmlns:a16="http://schemas.microsoft.com/office/drawing/2014/main" id="{E31F6DC4-E271-E499-E7E6-1854D4139314}"/>
            </a:ext>
          </a:extLst>
        </xdr:cNvPr>
        <xdr:cNvSpPr/>
      </xdr:nvSpPr>
      <xdr:spPr>
        <a:xfrm>
          <a:off x="3785260" y="1571006"/>
          <a:ext cx="1187532" cy="643247"/>
        </a:xfrm>
        <a:prstGeom prst="snipRound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SUPERVISOR </a:t>
          </a:r>
        </a:p>
        <a:p>
          <a:pPr algn="l"/>
          <a:r>
            <a:rPr lang="en-IN" sz="1200" b="1"/>
            <a:t>NAME</a:t>
          </a:r>
        </a:p>
      </xdr:txBody>
    </xdr:sp>
    <xdr:clientData/>
  </xdr:twoCellAnchor>
  <xdr:twoCellAnchor>
    <xdr:from>
      <xdr:col>6</xdr:col>
      <xdr:colOff>10132</xdr:colOff>
      <xdr:row>8</xdr:row>
      <xdr:rowOff>64214</xdr:rowOff>
    </xdr:from>
    <xdr:to>
      <xdr:col>37</xdr:col>
      <xdr:colOff>10133</xdr:colOff>
      <xdr:row>9</xdr:row>
      <xdr:rowOff>172261</xdr:rowOff>
    </xdr:to>
    <xdr:sp macro="" textlink="">
      <xdr:nvSpPr>
        <xdr:cNvPr id="2" name="Rectangle: Rounded Corners 1">
          <a:extLst>
            <a:ext uri="{FF2B5EF4-FFF2-40B4-BE49-F238E27FC236}">
              <a16:creationId xmlns:a16="http://schemas.microsoft.com/office/drawing/2014/main" id="{C6CA4366-9F3D-64D5-F64D-2BAFE40DAE90}"/>
            </a:ext>
          </a:extLst>
        </xdr:cNvPr>
        <xdr:cNvSpPr/>
      </xdr:nvSpPr>
      <xdr:spPr>
        <a:xfrm>
          <a:off x="5005691" y="1675358"/>
          <a:ext cx="9099415" cy="300573"/>
        </a:xfrm>
        <a:prstGeom prst="round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bg1"/>
              </a:solidFill>
            </a:rPr>
            <a:t>                                                                          P=Persent , AB=Absent</a:t>
          </a:r>
          <a:r>
            <a:rPr lang="en-IN" sz="1400" b="1" baseline="0">
              <a:solidFill>
                <a:schemeClr val="bg1"/>
              </a:solidFill>
            </a:rPr>
            <a:t> , WO=Week Off</a:t>
          </a:r>
          <a:endParaRPr lang="en-IN" sz="1400" b="1">
            <a:solidFill>
              <a:schemeClr val="bg1"/>
            </a:solidFill>
          </a:endParaRPr>
        </a:p>
      </xdr:txBody>
    </xdr:sp>
    <xdr:clientData/>
  </xdr:twoCellAnchor>
  <xdr:twoCellAnchor>
    <xdr:from>
      <xdr:col>37</xdr:col>
      <xdr:colOff>599325</xdr:colOff>
      <xdr:row>8</xdr:row>
      <xdr:rowOff>42809</xdr:rowOff>
    </xdr:from>
    <xdr:to>
      <xdr:col>38</xdr:col>
      <xdr:colOff>588623</xdr:colOff>
      <xdr:row>11</xdr:row>
      <xdr:rowOff>149830</xdr:rowOff>
    </xdr:to>
    <xdr:sp macro="" textlink="">
      <xdr:nvSpPr>
        <xdr:cNvPr id="5" name="Rectangle: Top Corners Rounded 4">
          <a:extLst>
            <a:ext uri="{FF2B5EF4-FFF2-40B4-BE49-F238E27FC236}">
              <a16:creationId xmlns:a16="http://schemas.microsoft.com/office/drawing/2014/main" id="{EF6D59BD-26E1-1786-912C-316AF252FA7D}"/>
            </a:ext>
          </a:extLst>
        </xdr:cNvPr>
        <xdr:cNvSpPr/>
      </xdr:nvSpPr>
      <xdr:spPr>
        <a:xfrm>
          <a:off x="14736994" y="1658848"/>
          <a:ext cx="599326" cy="684943"/>
        </a:xfrm>
        <a:prstGeom prst="round2Same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38</xdr:col>
      <xdr:colOff>10702</xdr:colOff>
      <xdr:row>8</xdr:row>
      <xdr:rowOff>53511</xdr:rowOff>
    </xdr:from>
    <xdr:to>
      <xdr:col>39</xdr:col>
      <xdr:colOff>0</xdr:colOff>
      <xdr:row>11</xdr:row>
      <xdr:rowOff>160532</xdr:rowOff>
    </xdr:to>
    <xdr:sp macro="" textlink="">
      <xdr:nvSpPr>
        <xdr:cNvPr id="11" name="Rectangle: Top Corners Rounded 10">
          <a:extLst>
            <a:ext uri="{FF2B5EF4-FFF2-40B4-BE49-F238E27FC236}">
              <a16:creationId xmlns:a16="http://schemas.microsoft.com/office/drawing/2014/main" id="{E03F7708-B1BD-485F-B04A-0C5045E9EE7F}"/>
            </a:ext>
          </a:extLst>
        </xdr:cNvPr>
        <xdr:cNvSpPr/>
      </xdr:nvSpPr>
      <xdr:spPr>
        <a:xfrm>
          <a:off x="14758399" y="1669550"/>
          <a:ext cx="599326" cy="684943"/>
        </a:xfrm>
        <a:prstGeom prst="round2Same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bg1"/>
              </a:solidFill>
            </a:rPr>
            <a:t>Total</a:t>
          </a:r>
        </a:p>
        <a:p>
          <a:pPr algn="l"/>
          <a:r>
            <a:rPr lang="en-IN" sz="1200" b="1">
              <a:solidFill>
                <a:schemeClr val="bg1"/>
              </a:solidFill>
            </a:rPr>
            <a:t>   </a:t>
          </a:r>
          <a:r>
            <a:rPr lang="en-IN" sz="1200" b="1" baseline="0">
              <a:solidFill>
                <a:schemeClr val="bg1"/>
              </a:solidFill>
            </a:rPr>
            <a:t> </a:t>
          </a:r>
          <a:r>
            <a:rPr lang="en-IN" sz="1200" b="1">
              <a:solidFill>
                <a:schemeClr val="bg1"/>
              </a:solidFill>
            </a:rPr>
            <a:t>P</a:t>
          </a:r>
        </a:p>
      </xdr:txBody>
    </xdr:sp>
    <xdr:clientData/>
  </xdr:twoCellAnchor>
  <xdr:twoCellAnchor>
    <xdr:from>
      <xdr:col>39</xdr:col>
      <xdr:colOff>42809</xdr:colOff>
      <xdr:row>8</xdr:row>
      <xdr:rowOff>32108</xdr:rowOff>
    </xdr:from>
    <xdr:to>
      <xdr:col>39</xdr:col>
      <xdr:colOff>610027</xdr:colOff>
      <xdr:row>11</xdr:row>
      <xdr:rowOff>160532</xdr:rowOff>
    </xdr:to>
    <xdr:sp macro="" textlink="">
      <xdr:nvSpPr>
        <xdr:cNvPr id="14" name="Rectangle: Top Corners Rounded 13">
          <a:extLst>
            <a:ext uri="{FF2B5EF4-FFF2-40B4-BE49-F238E27FC236}">
              <a16:creationId xmlns:a16="http://schemas.microsoft.com/office/drawing/2014/main" id="{FCB76DB5-7600-4983-B189-5BAF8D7173D1}"/>
            </a:ext>
          </a:extLst>
        </xdr:cNvPr>
        <xdr:cNvSpPr/>
      </xdr:nvSpPr>
      <xdr:spPr>
        <a:xfrm>
          <a:off x="15400534" y="1648147"/>
          <a:ext cx="567218" cy="706346"/>
        </a:xfrm>
        <a:prstGeom prst="round2Same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Total</a:t>
          </a:r>
        </a:p>
        <a:p>
          <a:pPr algn="l"/>
          <a:r>
            <a:rPr lang="en-IN" sz="1200" b="1"/>
            <a:t>  AB</a:t>
          </a:r>
          <a:endParaRPr lang="en-IN" sz="1100" b="1"/>
        </a:p>
      </xdr:txBody>
    </xdr:sp>
    <xdr:clientData/>
  </xdr:twoCellAnchor>
  <xdr:twoCellAnchor>
    <xdr:from>
      <xdr:col>40</xdr:col>
      <xdr:colOff>32845</xdr:colOff>
      <xdr:row>8</xdr:row>
      <xdr:rowOff>54743</xdr:rowOff>
    </xdr:from>
    <xdr:to>
      <xdr:col>41</xdr:col>
      <xdr:colOff>602155</xdr:colOff>
      <xdr:row>11</xdr:row>
      <xdr:rowOff>153275</xdr:rowOff>
    </xdr:to>
    <xdr:sp macro="" textlink="">
      <xdr:nvSpPr>
        <xdr:cNvPr id="19" name="Rectangle 18">
          <a:extLst>
            <a:ext uri="{FF2B5EF4-FFF2-40B4-BE49-F238E27FC236}">
              <a16:creationId xmlns:a16="http://schemas.microsoft.com/office/drawing/2014/main" id="{96F64BCA-8FE6-A09E-9997-99FD64720E38}"/>
            </a:ext>
          </a:extLst>
        </xdr:cNvPr>
        <xdr:cNvSpPr/>
      </xdr:nvSpPr>
      <xdr:spPr>
        <a:xfrm>
          <a:off x="15951638" y="1620346"/>
          <a:ext cx="1182414" cy="656895"/>
        </a:xfrm>
        <a:prstGeom prst="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Total Woking </a:t>
          </a:r>
        </a:p>
        <a:p>
          <a:pPr algn="l"/>
          <a:r>
            <a:rPr lang="en-IN" sz="1400" b="1"/>
            <a:t>Days</a:t>
          </a:r>
        </a:p>
      </xdr:txBody>
    </xdr:sp>
    <xdr:clientData/>
  </xdr:twoCellAnchor>
  <xdr:twoCellAnchor>
    <xdr:from>
      <xdr:col>42</xdr:col>
      <xdr:colOff>20266</xdr:colOff>
      <xdr:row>8</xdr:row>
      <xdr:rowOff>50663</xdr:rowOff>
    </xdr:from>
    <xdr:to>
      <xdr:col>43</xdr:col>
      <xdr:colOff>597845</xdr:colOff>
      <xdr:row>11</xdr:row>
      <xdr:rowOff>141861</xdr:rowOff>
    </xdr:to>
    <xdr:sp macro="" textlink="">
      <xdr:nvSpPr>
        <xdr:cNvPr id="20" name="Rectangle 19">
          <a:extLst>
            <a:ext uri="{FF2B5EF4-FFF2-40B4-BE49-F238E27FC236}">
              <a16:creationId xmlns:a16="http://schemas.microsoft.com/office/drawing/2014/main" id="{8825ABBD-1E36-2514-E6C1-F976FEC22707}"/>
            </a:ext>
          </a:extLst>
        </xdr:cNvPr>
        <xdr:cNvSpPr/>
      </xdr:nvSpPr>
      <xdr:spPr>
        <a:xfrm>
          <a:off x="17155133" y="1661807"/>
          <a:ext cx="1185558" cy="668777"/>
        </a:xfrm>
        <a:prstGeom prst="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ATTENDANCE%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28576</xdr:colOff>
      <xdr:row>0</xdr:row>
      <xdr:rowOff>38100</xdr:rowOff>
    </xdr:from>
    <xdr:to>
      <xdr:col>24</xdr:col>
      <xdr:colOff>66676</xdr:colOff>
      <xdr:row>2</xdr:row>
      <xdr:rowOff>142875</xdr:rowOff>
    </xdr:to>
    <xdr:sp macro="" textlink="">
      <xdr:nvSpPr>
        <xdr:cNvPr id="2" name="Rectangle: Rounded Corners 1">
          <a:extLst>
            <a:ext uri="{FF2B5EF4-FFF2-40B4-BE49-F238E27FC236}">
              <a16:creationId xmlns:a16="http://schemas.microsoft.com/office/drawing/2014/main" id="{B401EE94-0892-D803-8665-844B565DC874}"/>
            </a:ext>
          </a:extLst>
        </xdr:cNvPr>
        <xdr:cNvSpPr/>
      </xdr:nvSpPr>
      <xdr:spPr>
        <a:xfrm>
          <a:off x="28576" y="38100"/>
          <a:ext cx="14668500" cy="485775"/>
        </a:xfrm>
        <a:prstGeom prst="roundRect">
          <a:avLst/>
        </a:prstGeom>
        <a:blipFill>
          <a:blip xmlns:r="http://schemas.openxmlformats.org/officeDocument/2006/relationships" r:embed="rId1"/>
          <a:tile tx="0" ty="0" sx="100000" sy="100000" flip="none" algn="tl"/>
        </a:blip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accent1">
                  <a:lumMod val="50000"/>
                </a:schemeClr>
              </a:solidFill>
              <a:latin typeface="Amasis MT Pro" panose="02040504050005020304" pitchFamily="18" charset="0"/>
            </a:rPr>
            <a:t>                                                        ATTENDANCE</a:t>
          </a:r>
          <a:r>
            <a:rPr lang="en-IN" sz="2400" b="1" baseline="0">
              <a:solidFill>
                <a:schemeClr val="accent1">
                  <a:lumMod val="50000"/>
                </a:schemeClr>
              </a:solidFill>
              <a:latin typeface="Amasis MT Pro" panose="02040504050005020304" pitchFamily="18" charset="0"/>
            </a:rPr>
            <a:t> </a:t>
          </a:r>
          <a:r>
            <a:rPr lang="en-IN" sz="2400" b="1">
              <a:solidFill>
                <a:schemeClr val="accent1">
                  <a:lumMod val="50000"/>
                </a:schemeClr>
              </a:solidFill>
              <a:latin typeface="Amasis MT Pro" panose="02040504050005020304" pitchFamily="18" charset="0"/>
            </a:rPr>
            <a:t>DASHBOARD</a:t>
          </a:r>
        </a:p>
      </xdr:txBody>
    </xdr:sp>
    <xdr:clientData/>
  </xdr:twoCellAnchor>
  <xdr:twoCellAnchor>
    <xdr:from>
      <xdr:col>5</xdr:col>
      <xdr:colOff>257175</xdr:colOff>
      <xdr:row>2</xdr:row>
      <xdr:rowOff>57150</xdr:rowOff>
    </xdr:from>
    <xdr:to>
      <xdr:col>8</xdr:col>
      <xdr:colOff>95250</xdr:colOff>
      <xdr:row>2</xdr:row>
      <xdr:rowOff>66675</xdr:rowOff>
    </xdr:to>
    <xdr:cxnSp macro="">
      <xdr:nvCxnSpPr>
        <xdr:cNvPr id="4" name="Straight Connector 3">
          <a:extLst>
            <a:ext uri="{FF2B5EF4-FFF2-40B4-BE49-F238E27FC236}">
              <a16:creationId xmlns:a16="http://schemas.microsoft.com/office/drawing/2014/main" id="{9A0EF116-5308-8D2A-C9C9-90BCA8875A6D}"/>
            </a:ext>
          </a:extLst>
        </xdr:cNvPr>
        <xdr:cNvCxnSpPr/>
      </xdr:nvCxnSpPr>
      <xdr:spPr>
        <a:xfrm>
          <a:off x="3305175" y="438150"/>
          <a:ext cx="1666875" cy="9525"/>
        </a:xfrm>
        <a:prstGeom prst="line">
          <a:avLst/>
        </a:prstGeom>
        <a:ln>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371475</xdr:colOff>
      <xdr:row>2</xdr:row>
      <xdr:rowOff>38100</xdr:rowOff>
    </xdr:from>
    <xdr:to>
      <xdr:col>17</xdr:col>
      <xdr:colOff>38100</xdr:colOff>
      <xdr:row>2</xdr:row>
      <xdr:rowOff>57150</xdr:rowOff>
    </xdr:to>
    <xdr:cxnSp macro="">
      <xdr:nvCxnSpPr>
        <xdr:cNvPr id="6" name="Straight Connector 5">
          <a:extLst>
            <a:ext uri="{FF2B5EF4-FFF2-40B4-BE49-F238E27FC236}">
              <a16:creationId xmlns:a16="http://schemas.microsoft.com/office/drawing/2014/main" id="{EB94D032-E600-1269-6D03-939AA0B1DBEB}"/>
            </a:ext>
          </a:extLst>
        </xdr:cNvPr>
        <xdr:cNvCxnSpPr/>
      </xdr:nvCxnSpPr>
      <xdr:spPr>
        <a:xfrm flipV="1">
          <a:off x="8905875" y="419100"/>
          <a:ext cx="1495425" cy="19050"/>
        </a:xfrm>
        <a:prstGeom prst="line">
          <a:avLst/>
        </a:prstGeom>
        <a:ln>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600075</xdr:colOff>
      <xdr:row>10</xdr:row>
      <xdr:rowOff>0</xdr:rowOff>
    </xdr:from>
    <xdr:to>
      <xdr:col>11</xdr:col>
      <xdr:colOff>9525</xdr:colOff>
      <xdr:row>24</xdr:row>
      <xdr:rowOff>104775</xdr:rowOff>
    </xdr:to>
    <xdr:graphicFrame macro="">
      <xdr:nvGraphicFramePr>
        <xdr:cNvPr id="14" name="Chart 13">
          <a:extLst>
            <a:ext uri="{FF2B5EF4-FFF2-40B4-BE49-F238E27FC236}">
              <a16:creationId xmlns:a16="http://schemas.microsoft.com/office/drawing/2014/main" id="{6B7D7D7B-D21A-45E0-9E5C-938F052DB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142875</xdr:colOff>
      <xdr:row>9</xdr:row>
      <xdr:rowOff>180975</xdr:rowOff>
    </xdr:from>
    <xdr:to>
      <xdr:col>20</xdr:col>
      <xdr:colOff>266700</xdr:colOff>
      <xdr:row>24</xdr:row>
      <xdr:rowOff>81667</xdr:rowOff>
    </xdr:to>
    <xdr:graphicFrame macro="">
      <xdr:nvGraphicFramePr>
        <xdr:cNvPr id="15" name="Chart 14">
          <a:extLst>
            <a:ext uri="{FF2B5EF4-FFF2-40B4-BE49-F238E27FC236}">
              <a16:creationId xmlns:a16="http://schemas.microsoft.com/office/drawing/2014/main" id="{CE86AA01-0493-45BD-81D9-9F8D55106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21</xdr:col>
      <xdr:colOff>14036</xdr:colOff>
      <xdr:row>3</xdr:row>
      <xdr:rowOff>51468</xdr:rowOff>
    </xdr:from>
    <xdr:to>
      <xdr:col>24</xdr:col>
      <xdr:colOff>12699</xdr:colOff>
      <xdr:row>10</xdr:row>
      <xdr:rowOff>76199</xdr:rowOff>
    </xdr:to>
    <mc:AlternateContent xmlns:mc="http://schemas.openxmlformats.org/markup-compatibility/2006" xmlns:a14="http://schemas.microsoft.com/office/drawing/2010/main">
      <mc:Choice Requires="a14">
        <xdr:graphicFrame macro="">
          <xdr:nvGraphicFramePr>
            <xdr:cNvPr id="16" name="Date 1">
              <a:extLst>
                <a:ext uri="{FF2B5EF4-FFF2-40B4-BE49-F238E27FC236}">
                  <a16:creationId xmlns:a16="http://schemas.microsoft.com/office/drawing/2014/main" id="{A8B19A92-8BC2-4D46-BB1D-997AE1D5486C}"/>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2889595" y="622968"/>
              <a:ext cx="1814016" cy="15711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38100</xdr:colOff>
      <xdr:row>11</xdr:row>
      <xdr:rowOff>50800</xdr:rowOff>
    </xdr:from>
    <xdr:to>
      <xdr:col>24</xdr:col>
      <xdr:colOff>38100</xdr:colOff>
      <xdr:row>24</xdr:row>
      <xdr:rowOff>98425</xdr:rowOff>
    </xdr:to>
    <mc:AlternateContent xmlns:mc="http://schemas.openxmlformats.org/markup-compatibility/2006" xmlns:a14="http://schemas.microsoft.com/office/drawing/2010/main">
      <mc:Choice Requires="a14">
        <xdr:graphicFrame macro="">
          <xdr:nvGraphicFramePr>
            <xdr:cNvPr id="17" name="EmployeeNO. 1">
              <a:extLst>
                <a:ext uri="{FF2B5EF4-FFF2-40B4-BE49-F238E27FC236}">
                  <a16:creationId xmlns:a16="http://schemas.microsoft.com/office/drawing/2014/main" id="{238FAB2D-DD52-4E37-A96D-7504477E2580}"/>
                </a:ext>
              </a:extLst>
            </xdr:cNvPr>
            <xdr:cNvGraphicFramePr/>
          </xdr:nvGraphicFramePr>
          <xdr:xfrm>
            <a:off x="0" y="0"/>
            <a:ext cx="0" cy="0"/>
          </xdr:xfrm>
          <a:graphic>
            <a:graphicData uri="http://schemas.microsoft.com/office/drawing/2010/slicer">
              <sle:slicer xmlns:sle="http://schemas.microsoft.com/office/drawing/2010/slicer" name="EmployeeNO. 1"/>
            </a:graphicData>
          </a:graphic>
        </xdr:graphicFrame>
      </mc:Choice>
      <mc:Fallback xmlns="">
        <xdr:sp macro="" textlink="">
          <xdr:nvSpPr>
            <xdr:cNvPr id="0" name=""/>
            <xdr:cNvSpPr>
              <a:spLocks noTextEdit="1"/>
            </xdr:cNvSpPr>
          </xdr:nvSpPr>
          <xdr:spPr>
            <a:xfrm>
              <a:off x="12913659" y="2359212"/>
              <a:ext cx="1815353"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IYUSH" refreshedDate="46264.492311226852" createdVersion="8" refreshedVersion="8" minRefreshableVersion="3" recordCount="1081" xr:uid="{01676DFC-15AD-4892-A374-8194A2BA039B}">
  <cacheSource type="worksheet">
    <worksheetSource name="Table1"/>
  </cacheSource>
  <cacheFields count="6">
    <cacheField name="Month" numFmtId="0">
      <sharedItems count="9">
        <s v="June"/>
        <s v="April"/>
        <s v="May"/>
        <s v="July"/>
        <s v="November"/>
        <s v="February"/>
        <s v="January"/>
        <s v="March"/>
        <s v="August"/>
      </sharedItems>
    </cacheField>
    <cacheField name="EmployeeNO." numFmtId="0">
      <sharedItems containsSemiMixedTypes="0" containsString="0" containsNumber="1" containsInteger="1" minValue="1001" maxValue="1039" count="39">
        <n v="1001"/>
        <n v="1039"/>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sharedItems>
    </cacheField>
    <cacheField name="Date" numFmtId="14">
      <sharedItems containsSemiMixedTypes="0" containsNonDate="0" containsDate="1" containsString="0" minDate="2026-01-01T00:00:00" maxDate="2026-11-03T00:00:00" count="63">
        <d v="2026-06-01T00:00:00"/>
        <d v="2026-06-03T00:00:00"/>
        <d v="2026-06-04T00:00:00"/>
        <d v="2026-06-05T00:00:00"/>
        <d v="2026-06-06T00:00:00"/>
        <d v="2026-06-02T00:00:00"/>
        <d v="2026-04-01T00:00:00"/>
        <d v="2026-04-02T00:00:00"/>
        <d v="2026-04-03T00:00:00"/>
        <d v="2026-04-04T00:00:00"/>
        <d v="2026-05-01T00:00:00"/>
        <d v="2026-05-02T00:00:00"/>
        <d v="2026-05-04T00:00:00"/>
        <d v="2026-05-05T00:00:00"/>
        <d v="2026-05-06T00:00:00"/>
        <d v="2026-05-07T00:00:00"/>
        <d v="2026-05-08T00:00:00"/>
        <d v="2026-05-09T00:00:00"/>
        <d v="2026-07-01T00:00:00"/>
        <d v="2026-07-02T00:00:00"/>
        <d v="2026-07-03T00:00:00"/>
        <d v="2026-07-04T00:00:00"/>
        <d v="2026-11-02T00:00:00"/>
        <d v="2026-02-02T00:00:00"/>
        <d v="2026-02-03T00:00:00"/>
        <d v="2026-02-04T00:00:00"/>
        <d v="2026-02-05T00:00:00"/>
        <d v="2026-02-06T00:00:00"/>
        <d v="2026-02-07T00:00:00"/>
        <d v="2026-01-01T00:00:00"/>
        <d v="2026-01-02T00:00:00"/>
        <d v="2026-01-03T00:00:00"/>
        <d v="2026-01-05T00:00:00"/>
        <d v="2026-01-06T00:00:00"/>
        <d v="2026-01-07T00:00:00"/>
        <d v="2026-01-08T00:00:00"/>
        <d v="2026-01-09T00:00:00"/>
        <d v="2026-01-10T00:00:00"/>
        <d v="2026-01-12T00:00:00"/>
        <d v="2026-01-13T00:00:00"/>
        <d v="2026-01-14T00:00:00"/>
        <d v="2026-01-15T00:00:00"/>
        <d v="2026-01-16T00:00:00"/>
        <d v="2026-01-17T00:00:00"/>
        <d v="2026-01-19T00:00:00"/>
        <d v="2026-01-20T00:00:00"/>
        <d v="2026-01-21T00:00:00"/>
        <d v="2026-01-22T00:00:00"/>
        <d v="2026-01-23T00:00:00"/>
        <d v="2026-01-24T00:00:00"/>
        <d v="2026-01-26T00:00:00"/>
        <d v="2026-01-27T00:00:00"/>
        <d v="2026-01-28T00:00:00"/>
        <d v="2026-01-29T00:00:00"/>
        <d v="2026-01-30T00:00:00"/>
        <d v="2026-01-31T00:00:00"/>
        <d v="2026-03-02T00:00:00"/>
        <d v="2026-03-03T00:00:00"/>
        <d v="2026-03-04T00:00:00"/>
        <d v="2026-03-05T00:00:00"/>
        <d v="2026-03-06T00:00:00"/>
        <d v="2026-03-07T00:00:00"/>
        <d v="2026-08-01T00:00:00"/>
      </sharedItems>
      <fieldGroup par="5"/>
    </cacheField>
    <cacheField name="Status" numFmtId="0">
      <sharedItems count="2">
        <s v="P"/>
        <s v="AB"/>
      </sharedItems>
    </cacheField>
    <cacheField name="Days (Date)" numFmtId="0" databaseField="0">
      <fieldGroup base="2">
        <rangePr groupBy="days" startDate="2026-01-01T00:00:00" endDate="2026-11-03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3-11-2026"/>
        </groupItems>
      </fieldGroup>
    </cacheField>
    <cacheField name="Months (Date)" numFmtId="0" databaseField="0">
      <fieldGroup base="2">
        <rangePr groupBy="months" startDate="2026-01-01T00:00:00" endDate="2026-11-03T00:00:00"/>
        <groupItems count="14">
          <s v="&lt;01-01-2026"/>
          <s v="Jan"/>
          <s v="Feb"/>
          <s v="Mar"/>
          <s v="Apr"/>
          <s v="May"/>
          <s v="Jun"/>
          <s v="Jul"/>
          <s v="Aug"/>
          <s v="Sep"/>
          <s v="Oct"/>
          <s v="Nov"/>
          <s v="Dec"/>
          <s v="&gt;03-11-2026"/>
        </groupItems>
      </fieldGroup>
    </cacheField>
  </cacheFields>
  <extLst>
    <ext xmlns:x14="http://schemas.microsoft.com/office/spreadsheetml/2009/9/main" uri="{725AE2AE-9491-48be-B2B4-4EB974FC3084}">
      <x14:pivotCacheDefinition pivotCacheId="8384561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x v="0"/>
    <x v="0"/>
    <x v="0"/>
    <x v="0"/>
  </r>
  <r>
    <x v="0"/>
    <x v="0"/>
    <x v="1"/>
    <x v="0"/>
  </r>
  <r>
    <x v="0"/>
    <x v="0"/>
    <x v="2"/>
    <x v="0"/>
  </r>
  <r>
    <x v="0"/>
    <x v="0"/>
    <x v="3"/>
    <x v="0"/>
  </r>
  <r>
    <x v="0"/>
    <x v="0"/>
    <x v="4"/>
    <x v="0"/>
  </r>
  <r>
    <x v="0"/>
    <x v="1"/>
    <x v="0"/>
    <x v="0"/>
  </r>
  <r>
    <x v="0"/>
    <x v="1"/>
    <x v="5"/>
    <x v="0"/>
  </r>
  <r>
    <x v="0"/>
    <x v="1"/>
    <x v="1"/>
    <x v="0"/>
  </r>
  <r>
    <x v="0"/>
    <x v="1"/>
    <x v="2"/>
    <x v="0"/>
  </r>
  <r>
    <x v="0"/>
    <x v="1"/>
    <x v="3"/>
    <x v="0"/>
  </r>
  <r>
    <x v="0"/>
    <x v="1"/>
    <x v="4"/>
    <x v="0"/>
  </r>
  <r>
    <x v="1"/>
    <x v="0"/>
    <x v="6"/>
    <x v="0"/>
  </r>
  <r>
    <x v="1"/>
    <x v="0"/>
    <x v="7"/>
    <x v="0"/>
  </r>
  <r>
    <x v="1"/>
    <x v="0"/>
    <x v="8"/>
    <x v="0"/>
  </r>
  <r>
    <x v="1"/>
    <x v="0"/>
    <x v="9"/>
    <x v="0"/>
  </r>
  <r>
    <x v="2"/>
    <x v="0"/>
    <x v="10"/>
    <x v="0"/>
  </r>
  <r>
    <x v="2"/>
    <x v="0"/>
    <x v="11"/>
    <x v="0"/>
  </r>
  <r>
    <x v="2"/>
    <x v="0"/>
    <x v="12"/>
    <x v="0"/>
  </r>
  <r>
    <x v="2"/>
    <x v="0"/>
    <x v="13"/>
    <x v="0"/>
  </r>
  <r>
    <x v="2"/>
    <x v="0"/>
    <x v="14"/>
    <x v="0"/>
  </r>
  <r>
    <x v="2"/>
    <x v="0"/>
    <x v="15"/>
    <x v="0"/>
  </r>
  <r>
    <x v="2"/>
    <x v="0"/>
    <x v="16"/>
    <x v="0"/>
  </r>
  <r>
    <x v="2"/>
    <x v="0"/>
    <x v="17"/>
    <x v="0"/>
  </r>
  <r>
    <x v="3"/>
    <x v="0"/>
    <x v="18"/>
    <x v="0"/>
  </r>
  <r>
    <x v="3"/>
    <x v="0"/>
    <x v="19"/>
    <x v="0"/>
  </r>
  <r>
    <x v="3"/>
    <x v="0"/>
    <x v="20"/>
    <x v="0"/>
  </r>
  <r>
    <x v="3"/>
    <x v="0"/>
    <x v="21"/>
    <x v="0"/>
  </r>
  <r>
    <x v="4"/>
    <x v="0"/>
    <x v="22"/>
    <x v="0"/>
  </r>
  <r>
    <x v="5"/>
    <x v="0"/>
    <x v="23"/>
    <x v="0"/>
  </r>
  <r>
    <x v="5"/>
    <x v="0"/>
    <x v="24"/>
    <x v="0"/>
  </r>
  <r>
    <x v="5"/>
    <x v="0"/>
    <x v="25"/>
    <x v="0"/>
  </r>
  <r>
    <x v="5"/>
    <x v="0"/>
    <x v="26"/>
    <x v="0"/>
  </r>
  <r>
    <x v="5"/>
    <x v="0"/>
    <x v="27"/>
    <x v="0"/>
  </r>
  <r>
    <x v="5"/>
    <x v="0"/>
    <x v="28"/>
    <x v="0"/>
  </r>
  <r>
    <x v="5"/>
    <x v="1"/>
    <x v="23"/>
    <x v="0"/>
  </r>
  <r>
    <x v="5"/>
    <x v="1"/>
    <x v="24"/>
    <x v="0"/>
  </r>
  <r>
    <x v="5"/>
    <x v="1"/>
    <x v="25"/>
    <x v="0"/>
  </r>
  <r>
    <x v="5"/>
    <x v="1"/>
    <x v="26"/>
    <x v="0"/>
  </r>
  <r>
    <x v="5"/>
    <x v="1"/>
    <x v="27"/>
    <x v="0"/>
  </r>
  <r>
    <x v="5"/>
    <x v="1"/>
    <x v="28"/>
    <x v="0"/>
  </r>
  <r>
    <x v="6"/>
    <x v="0"/>
    <x v="29"/>
    <x v="0"/>
  </r>
  <r>
    <x v="6"/>
    <x v="0"/>
    <x v="30"/>
    <x v="0"/>
  </r>
  <r>
    <x v="6"/>
    <x v="0"/>
    <x v="31"/>
    <x v="0"/>
  </r>
  <r>
    <x v="6"/>
    <x v="0"/>
    <x v="32"/>
    <x v="0"/>
  </r>
  <r>
    <x v="6"/>
    <x v="0"/>
    <x v="33"/>
    <x v="0"/>
  </r>
  <r>
    <x v="6"/>
    <x v="0"/>
    <x v="34"/>
    <x v="1"/>
  </r>
  <r>
    <x v="6"/>
    <x v="0"/>
    <x v="35"/>
    <x v="0"/>
  </r>
  <r>
    <x v="6"/>
    <x v="0"/>
    <x v="36"/>
    <x v="0"/>
  </r>
  <r>
    <x v="6"/>
    <x v="0"/>
    <x v="37"/>
    <x v="0"/>
  </r>
  <r>
    <x v="6"/>
    <x v="0"/>
    <x v="38"/>
    <x v="0"/>
  </r>
  <r>
    <x v="6"/>
    <x v="0"/>
    <x v="39"/>
    <x v="0"/>
  </r>
  <r>
    <x v="6"/>
    <x v="0"/>
    <x v="40"/>
    <x v="0"/>
  </r>
  <r>
    <x v="6"/>
    <x v="0"/>
    <x v="41"/>
    <x v="0"/>
  </r>
  <r>
    <x v="6"/>
    <x v="0"/>
    <x v="42"/>
    <x v="0"/>
  </r>
  <r>
    <x v="6"/>
    <x v="0"/>
    <x v="43"/>
    <x v="0"/>
  </r>
  <r>
    <x v="6"/>
    <x v="0"/>
    <x v="44"/>
    <x v="0"/>
  </r>
  <r>
    <x v="6"/>
    <x v="0"/>
    <x v="45"/>
    <x v="0"/>
  </r>
  <r>
    <x v="6"/>
    <x v="0"/>
    <x v="46"/>
    <x v="0"/>
  </r>
  <r>
    <x v="6"/>
    <x v="0"/>
    <x v="47"/>
    <x v="0"/>
  </r>
  <r>
    <x v="6"/>
    <x v="0"/>
    <x v="48"/>
    <x v="0"/>
  </r>
  <r>
    <x v="6"/>
    <x v="0"/>
    <x v="49"/>
    <x v="0"/>
  </r>
  <r>
    <x v="6"/>
    <x v="0"/>
    <x v="50"/>
    <x v="0"/>
  </r>
  <r>
    <x v="6"/>
    <x v="0"/>
    <x v="51"/>
    <x v="0"/>
  </r>
  <r>
    <x v="6"/>
    <x v="0"/>
    <x v="52"/>
    <x v="0"/>
  </r>
  <r>
    <x v="6"/>
    <x v="0"/>
    <x v="53"/>
    <x v="0"/>
  </r>
  <r>
    <x v="6"/>
    <x v="0"/>
    <x v="54"/>
    <x v="0"/>
  </r>
  <r>
    <x v="6"/>
    <x v="0"/>
    <x v="55"/>
    <x v="0"/>
  </r>
  <r>
    <x v="6"/>
    <x v="2"/>
    <x v="29"/>
    <x v="0"/>
  </r>
  <r>
    <x v="6"/>
    <x v="2"/>
    <x v="30"/>
    <x v="0"/>
  </r>
  <r>
    <x v="6"/>
    <x v="2"/>
    <x v="31"/>
    <x v="0"/>
  </r>
  <r>
    <x v="6"/>
    <x v="2"/>
    <x v="32"/>
    <x v="0"/>
  </r>
  <r>
    <x v="6"/>
    <x v="2"/>
    <x v="33"/>
    <x v="0"/>
  </r>
  <r>
    <x v="6"/>
    <x v="2"/>
    <x v="34"/>
    <x v="0"/>
  </r>
  <r>
    <x v="6"/>
    <x v="2"/>
    <x v="35"/>
    <x v="0"/>
  </r>
  <r>
    <x v="6"/>
    <x v="2"/>
    <x v="36"/>
    <x v="0"/>
  </r>
  <r>
    <x v="6"/>
    <x v="2"/>
    <x v="37"/>
    <x v="0"/>
  </r>
  <r>
    <x v="6"/>
    <x v="2"/>
    <x v="38"/>
    <x v="0"/>
  </r>
  <r>
    <x v="6"/>
    <x v="2"/>
    <x v="39"/>
    <x v="0"/>
  </r>
  <r>
    <x v="6"/>
    <x v="2"/>
    <x v="40"/>
    <x v="0"/>
  </r>
  <r>
    <x v="6"/>
    <x v="2"/>
    <x v="41"/>
    <x v="0"/>
  </r>
  <r>
    <x v="6"/>
    <x v="2"/>
    <x v="42"/>
    <x v="0"/>
  </r>
  <r>
    <x v="6"/>
    <x v="2"/>
    <x v="43"/>
    <x v="0"/>
  </r>
  <r>
    <x v="6"/>
    <x v="2"/>
    <x v="44"/>
    <x v="0"/>
  </r>
  <r>
    <x v="6"/>
    <x v="2"/>
    <x v="45"/>
    <x v="0"/>
  </r>
  <r>
    <x v="6"/>
    <x v="2"/>
    <x v="46"/>
    <x v="0"/>
  </r>
  <r>
    <x v="6"/>
    <x v="2"/>
    <x v="47"/>
    <x v="0"/>
  </r>
  <r>
    <x v="6"/>
    <x v="2"/>
    <x v="48"/>
    <x v="0"/>
  </r>
  <r>
    <x v="6"/>
    <x v="2"/>
    <x v="49"/>
    <x v="0"/>
  </r>
  <r>
    <x v="6"/>
    <x v="2"/>
    <x v="50"/>
    <x v="0"/>
  </r>
  <r>
    <x v="6"/>
    <x v="2"/>
    <x v="51"/>
    <x v="0"/>
  </r>
  <r>
    <x v="6"/>
    <x v="2"/>
    <x v="52"/>
    <x v="0"/>
  </r>
  <r>
    <x v="6"/>
    <x v="2"/>
    <x v="53"/>
    <x v="0"/>
  </r>
  <r>
    <x v="6"/>
    <x v="2"/>
    <x v="54"/>
    <x v="0"/>
  </r>
  <r>
    <x v="6"/>
    <x v="2"/>
    <x v="55"/>
    <x v="0"/>
  </r>
  <r>
    <x v="6"/>
    <x v="3"/>
    <x v="29"/>
    <x v="0"/>
  </r>
  <r>
    <x v="6"/>
    <x v="3"/>
    <x v="30"/>
    <x v="0"/>
  </r>
  <r>
    <x v="6"/>
    <x v="3"/>
    <x v="31"/>
    <x v="0"/>
  </r>
  <r>
    <x v="6"/>
    <x v="3"/>
    <x v="32"/>
    <x v="0"/>
  </r>
  <r>
    <x v="6"/>
    <x v="3"/>
    <x v="33"/>
    <x v="0"/>
  </r>
  <r>
    <x v="6"/>
    <x v="3"/>
    <x v="34"/>
    <x v="0"/>
  </r>
  <r>
    <x v="6"/>
    <x v="3"/>
    <x v="35"/>
    <x v="0"/>
  </r>
  <r>
    <x v="6"/>
    <x v="3"/>
    <x v="36"/>
    <x v="0"/>
  </r>
  <r>
    <x v="6"/>
    <x v="3"/>
    <x v="37"/>
    <x v="0"/>
  </r>
  <r>
    <x v="6"/>
    <x v="3"/>
    <x v="38"/>
    <x v="0"/>
  </r>
  <r>
    <x v="6"/>
    <x v="3"/>
    <x v="39"/>
    <x v="0"/>
  </r>
  <r>
    <x v="6"/>
    <x v="3"/>
    <x v="40"/>
    <x v="0"/>
  </r>
  <r>
    <x v="6"/>
    <x v="3"/>
    <x v="41"/>
    <x v="0"/>
  </r>
  <r>
    <x v="6"/>
    <x v="3"/>
    <x v="42"/>
    <x v="0"/>
  </r>
  <r>
    <x v="6"/>
    <x v="3"/>
    <x v="43"/>
    <x v="0"/>
  </r>
  <r>
    <x v="6"/>
    <x v="3"/>
    <x v="44"/>
    <x v="0"/>
  </r>
  <r>
    <x v="6"/>
    <x v="3"/>
    <x v="45"/>
    <x v="0"/>
  </r>
  <r>
    <x v="6"/>
    <x v="3"/>
    <x v="46"/>
    <x v="0"/>
  </r>
  <r>
    <x v="6"/>
    <x v="3"/>
    <x v="47"/>
    <x v="0"/>
  </r>
  <r>
    <x v="6"/>
    <x v="3"/>
    <x v="48"/>
    <x v="0"/>
  </r>
  <r>
    <x v="6"/>
    <x v="3"/>
    <x v="49"/>
    <x v="0"/>
  </r>
  <r>
    <x v="6"/>
    <x v="3"/>
    <x v="50"/>
    <x v="0"/>
  </r>
  <r>
    <x v="6"/>
    <x v="3"/>
    <x v="51"/>
    <x v="0"/>
  </r>
  <r>
    <x v="6"/>
    <x v="3"/>
    <x v="52"/>
    <x v="0"/>
  </r>
  <r>
    <x v="6"/>
    <x v="3"/>
    <x v="53"/>
    <x v="0"/>
  </r>
  <r>
    <x v="6"/>
    <x v="3"/>
    <x v="54"/>
    <x v="0"/>
  </r>
  <r>
    <x v="6"/>
    <x v="3"/>
    <x v="55"/>
    <x v="0"/>
  </r>
  <r>
    <x v="6"/>
    <x v="4"/>
    <x v="29"/>
    <x v="0"/>
  </r>
  <r>
    <x v="6"/>
    <x v="4"/>
    <x v="30"/>
    <x v="0"/>
  </r>
  <r>
    <x v="6"/>
    <x v="4"/>
    <x v="31"/>
    <x v="0"/>
  </r>
  <r>
    <x v="6"/>
    <x v="4"/>
    <x v="32"/>
    <x v="0"/>
  </r>
  <r>
    <x v="6"/>
    <x v="4"/>
    <x v="33"/>
    <x v="0"/>
  </r>
  <r>
    <x v="6"/>
    <x v="4"/>
    <x v="34"/>
    <x v="0"/>
  </r>
  <r>
    <x v="6"/>
    <x v="4"/>
    <x v="35"/>
    <x v="0"/>
  </r>
  <r>
    <x v="6"/>
    <x v="4"/>
    <x v="36"/>
    <x v="0"/>
  </r>
  <r>
    <x v="6"/>
    <x v="4"/>
    <x v="37"/>
    <x v="0"/>
  </r>
  <r>
    <x v="6"/>
    <x v="4"/>
    <x v="38"/>
    <x v="0"/>
  </r>
  <r>
    <x v="6"/>
    <x v="4"/>
    <x v="39"/>
    <x v="0"/>
  </r>
  <r>
    <x v="6"/>
    <x v="4"/>
    <x v="40"/>
    <x v="0"/>
  </r>
  <r>
    <x v="6"/>
    <x v="4"/>
    <x v="41"/>
    <x v="0"/>
  </r>
  <r>
    <x v="6"/>
    <x v="4"/>
    <x v="42"/>
    <x v="0"/>
  </r>
  <r>
    <x v="6"/>
    <x v="4"/>
    <x v="43"/>
    <x v="0"/>
  </r>
  <r>
    <x v="6"/>
    <x v="4"/>
    <x v="44"/>
    <x v="0"/>
  </r>
  <r>
    <x v="6"/>
    <x v="4"/>
    <x v="45"/>
    <x v="0"/>
  </r>
  <r>
    <x v="6"/>
    <x v="4"/>
    <x v="46"/>
    <x v="0"/>
  </r>
  <r>
    <x v="6"/>
    <x v="4"/>
    <x v="47"/>
    <x v="1"/>
  </r>
  <r>
    <x v="6"/>
    <x v="4"/>
    <x v="48"/>
    <x v="0"/>
  </r>
  <r>
    <x v="6"/>
    <x v="4"/>
    <x v="49"/>
    <x v="0"/>
  </r>
  <r>
    <x v="6"/>
    <x v="4"/>
    <x v="50"/>
    <x v="0"/>
  </r>
  <r>
    <x v="6"/>
    <x v="4"/>
    <x v="51"/>
    <x v="0"/>
  </r>
  <r>
    <x v="6"/>
    <x v="4"/>
    <x v="52"/>
    <x v="0"/>
  </r>
  <r>
    <x v="6"/>
    <x v="4"/>
    <x v="53"/>
    <x v="0"/>
  </r>
  <r>
    <x v="6"/>
    <x v="4"/>
    <x v="54"/>
    <x v="0"/>
  </r>
  <r>
    <x v="6"/>
    <x v="4"/>
    <x v="55"/>
    <x v="0"/>
  </r>
  <r>
    <x v="6"/>
    <x v="5"/>
    <x v="29"/>
    <x v="0"/>
  </r>
  <r>
    <x v="6"/>
    <x v="5"/>
    <x v="30"/>
    <x v="0"/>
  </r>
  <r>
    <x v="6"/>
    <x v="5"/>
    <x v="31"/>
    <x v="0"/>
  </r>
  <r>
    <x v="6"/>
    <x v="5"/>
    <x v="32"/>
    <x v="0"/>
  </r>
  <r>
    <x v="6"/>
    <x v="5"/>
    <x v="33"/>
    <x v="0"/>
  </r>
  <r>
    <x v="6"/>
    <x v="5"/>
    <x v="34"/>
    <x v="0"/>
  </r>
  <r>
    <x v="6"/>
    <x v="5"/>
    <x v="35"/>
    <x v="1"/>
  </r>
  <r>
    <x v="6"/>
    <x v="5"/>
    <x v="36"/>
    <x v="0"/>
  </r>
  <r>
    <x v="6"/>
    <x v="5"/>
    <x v="37"/>
    <x v="0"/>
  </r>
  <r>
    <x v="6"/>
    <x v="5"/>
    <x v="38"/>
    <x v="0"/>
  </r>
  <r>
    <x v="6"/>
    <x v="5"/>
    <x v="39"/>
    <x v="0"/>
  </r>
  <r>
    <x v="6"/>
    <x v="5"/>
    <x v="40"/>
    <x v="0"/>
  </r>
  <r>
    <x v="6"/>
    <x v="5"/>
    <x v="41"/>
    <x v="0"/>
  </r>
  <r>
    <x v="6"/>
    <x v="5"/>
    <x v="42"/>
    <x v="0"/>
  </r>
  <r>
    <x v="6"/>
    <x v="5"/>
    <x v="43"/>
    <x v="0"/>
  </r>
  <r>
    <x v="6"/>
    <x v="5"/>
    <x v="44"/>
    <x v="0"/>
  </r>
  <r>
    <x v="6"/>
    <x v="5"/>
    <x v="45"/>
    <x v="0"/>
  </r>
  <r>
    <x v="6"/>
    <x v="5"/>
    <x v="46"/>
    <x v="0"/>
  </r>
  <r>
    <x v="6"/>
    <x v="5"/>
    <x v="47"/>
    <x v="1"/>
  </r>
  <r>
    <x v="6"/>
    <x v="5"/>
    <x v="48"/>
    <x v="0"/>
  </r>
  <r>
    <x v="6"/>
    <x v="5"/>
    <x v="49"/>
    <x v="0"/>
  </r>
  <r>
    <x v="6"/>
    <x v="5"/>
    <x v="50"/>
    <x v="0"/>
  </r>
  <r>
    <x v="6"/>
    <x v="5"/>
    <x v="51"/>
    <x v="0"/>
  </r>
  <r>
    <x v="6"/>
    <x v="5"/>
    <x v="52"/>
    <x v="0"/>
  </r>
  <r>
    <x v="6"/>
    <x v="5"/>
    <x v="53"/>
    <x v="0"/>
  </r>
  <r>
    <x v="6"/>
    <x v="5"/>
    <x v="54"/>
    <x v="0"/>
  </r>
  <r>
    <x v="6"/>
    <x v="5"/>
    <x v="55"/>
    <x v="0"/>
  </r>
  <r>
    <x v="6"/>
    <x v="6"/>
    <x v="29"/>
    <x v="0"/>
  </r>
  <r>
    <x v="6"/>
    <x v="6"/>
    <x v="30"/>
    <x v="0"/>
  </r>
  <r>
    <x v="6"/>
    <x v="6"/>
    <x v="31"/>
    <x v="0"/>
  </r>
  <r>
    <x v="6"/>
    <x v="6"/>
    <x v="32"/>
    <x v="0"/>
  </r>
  <r>
    <x v="6"/>
    <x v="6"/>
    <x v="33"/>
    <x v="0"/>
  </r>
  <r>
    <x v="6"/>
    <x v="6"/>
    <x v="34"/>
    <x v="0"/>
  </r>
  <r>
    <x v="6"/>
    <x v="6"/>
    <x v="35"/>
    <x v="0"/>
  </r>
  <r>
    <x v="6"/>
    <x v="6"/>
    <x v="36"/>
    <x v="0"/>
  </r>
  <r>
    <x v="6"/>
    <x v="6"/>
    <x v="37"/>
    <x v="0"/>
  </r>
  <r>
    <x v="6"/>
    <x v="6"/>
    <x v="38"/>
    <x v="0"/>
  </r>
  <r>
    <x v="6"/>
    <x v="6"/>
    <x v="39"/>
    <x v="0"/>
  </r>
  <r>
    <x v="6"/>
    <x v="6"/>
    <x v="40"/>
    <x v="0"/>
  </r>
  <r>
    <x v="6"/>
    <x v="6"/>
    <x v="41"/>
    <x v="0"/>
  </r>
  <r>
    <x v="6"/>
    <x v="6"/>
    <x v="42"/>
    <x v="0"/>
  </r>
  <r>
    <x v="6"/>
    <x v="6"/>
    <x v="43"/>
    <x v="0"/>
  </r>
  <r>
    <x v="6"/>
    <x v="6"/>
    <x v="44"/>
    <x v="0"/>
  </r>
  <r>
    <x v="6"/>
    <x v="6"/>
    <x v="45"/>
    <x v="0"/>
  </r>
  <r>
    <x v="6"/>
    <x v="6"/>
    <x v="46"/>
    <x v="0"/>
  </r>
  <r>
    <x v="6"/>
    <x v="6"/>
    <x v="47"/>
    <x v="0"/>
  </r>
  <r>
    <x v="6"/>
    <x v="6"/>
    <x v="48"/>
    <x v="0"/>
  </r>
  <r>
    <x v="6"/>
    <x v="6"/>
    <x v="49"/>
    <x v="0"/>
  </r>
  <r>
    <x v="6"/>
    <x v="6"/>
    <x v="50"/>
    <x v="0"/>
  </r>
  <r>
    <x v="6"/>
    <x v="6"/>
    <x v="51"/>
    <x v="0"/>
  </r>
  <r>
    <x v="6"/>
    <x v="6"/>
    <x v="52"/>
    <x v="0"/>
  </r>
  <r>
    <x v="6"/>
    <x v="6"/>
    <x v="53"/>
    <x v="0"/>
  </r>
  <r>
    <x v="6"/>
    <x v="6"/>
    <x v="54"/>
    <x v="0"/>
  </r>
  <r>
    <x v="6"/>
    <x v="6"/>
    <x v="55"/>
    <x v="0"/>
  </r>
  <r>
    <x v="6"/>
    <x v="7"/>
    <x v="29"/>
    <x v="0"/>
  </r>
  <r>
    <x v="6"/>
    <x v="7"/>
    <x v="30"/>
    <x v="0"/>
  </r>
  <r>
    <x v="6"/>
    <x v="7"/>
    <x v="31"/>
    <x v="0"/>
  </r>
  <r>
    <x v="6"/>
    <x v="7"/>
    <x v="32"/>
    <x v="0"/>
  </r>
  <r>
    <x v="6"/>
    <x v="7"/>
    <x v="33"/>
    <x v="0"/>
  </r>
  <r>
    <x v="6"/>
    <x v="7"/>
    <x v="34"/>
    <x v="0"/>
  </r>
  <r>
    <x v="6"/>
    <x v="7"/>
    <x v="35"/>
    <x v="0"/>
  </r>
  <r>
    <x v="6"/>
    <x v="7"/>
    <x v="36"/>
    <x v="0"/>
  </r>
  <r>
    <x v="6"/>
    <x v="7"/>
    <x v="37"/>
    <x v="0"/>
  </r>
  <r>
    <x v="6"/>
    <x v="7"/>
    <x v="38"/>
    <x v="0"/>
  </r>
  <r>
    <x v="6"/>
    <x v="7"/>
    <x v="39"/>
    <x v="0"/>
  </r>
  <r>
    <x v="6"/>
    <x v="7"/>
    <x v="40"/>
    <x v="0"/>
  </r>
  <r>
    <x v="6"/>
    <x v="7"/>
    <x v="41"/>
    <x v="0"/>
  </r>
  <r>
    <x v="6"/>
    <x v="7"/>
    <x v="42"/>
    <x v="0"/>
  </r>
  <r>
    <x v="6"/>
    <x v="7"/>
    <x v="43"/>
    <x v="0"/>
  </r>
  <r>
    <x v="6"/>
    <x v="7"/>
    <x v="44"/>
    <x v="0"/>
  </r>
  <r>
    <x v="6"/>
    <x v="7"/>
    <x v="45"/>
    <x v="0"/>
  </r>
  <r>
    <x v="6"/>
    <x v="7"/>
    <x v="46"/>
    <x v="0"/>
  </r>
  <r>
    <x v="6"/>
    <x v="7"/>
    <x v="47"/>
    <x v="1"/>
  </r>
  <r>
    <x v="6"/>
    <x v="7"/>
    <x v="48"/>
    <x v="0"/>
  </r>
  <r>
    <x v="6"/>
    <x v="7"/>
    <x v="49"/>
    <x v="0"/>
  </r>
  <r>
    <x v="6"/>
    <x v="7"/>
    <x v="50"/>
    <x v="0"/>
  </r>
  <r>
    <x v="6"/>
    <x v="7"/>
    <x v="51"/>
    <x v="0"/>
  </r>
  <r>
    <x v="6"/>
    <x v="7"/>
    <x v="52"/>
    <x v="1"/>
  </r>
  <r>
    <x v="6"/>
    <x v="7"/>
    <x v="53"/>
    <x v="0"/>
  </r>
  <r>
    <x v="6"/>
    <x v="7"/>
    <x v="54"/>
    <x v="0"/>
  </r>
  <r>
    <x v="6"/>
    <x v="7"/>
    <x v="55"/>
    <x v="0"/>
  </r>
  <r>
    <x v="6"/>
    <x v="8"/>
    <x v="29"/>
    <x v="0"/>
  </r>
  <r>
    <x v="6"/>
    <x v="8"/>
    <x v="30"/>
    <x v="0"/>
  </r>
  <r>
    <x v="6"/>
    <x v="8"/>
    <x v="31"/>
    <x v="0"/>
  </r>
  <r>
    <x v="6"/>
    <x v="8"/>
    <x v="32"/>
    <x v="0"/>
  </r>
  <r>
    <x v="6"/>
    <x v="8"/>
    <x v="33"/>
    <x v="0"/>
  </r>
  <r>
    <x v="6"/>
    <x v="8"/>
    <x v="34"/>
    <x v="0"/>
  </r>
  <r>
    <x v="6"/>
    <x v="8"/>
    <x v="35"/>
    <x v="0"/>
  </r>
  <r>
    <x v="6"/>
    <x v="8"/>
    <x v="36"/>
    <x v="0"/>
  </r>
  <r>
    <x v="6"/>
    <x v="8"/>
    <x v="37"/>
    <x v="0"/>
  </r>
  <r>
    <x v="6"/>
    <x v="8"/>
    <x v="38"/>
    <x v="0"/>
  </r>
  <r>
    <x v="6"/>
    <x v="8"/>
    <x v="39"/>
    <x v="0"/>
  </r>
  <r>
    <x v="6"/>
    <x v="8"/>
    <x v="40"/>
    <x v="0"/>
  </r>
  <r>
    <x v="6"/>
    <x v="8"/>
    <x v="41"/>
    <x v="0"/>
  </r>
  <r>
    <x v="6"/>
    <x v="8"/>
    <x v="42"/>
    <x v="0"/>
  </r>
  <r>
    <x v="6"/>
    <x v="8"/>
    <x v="43"/>
    <x v="0"/>
  </r>
  <r>
    <x v="6"/>
    <x v="8"/>
    <x v="44"/>
    <x v="0"/>
  </r>
  <r>
    <x v="6"/>
    <x v="8"/>
    <x v="45"/>
    <x v="0"/>
  </r>
  <r>
    <x v="6"/>
    <x v="8"/>
    <x v="46"/>
    <x v="0"/>
  </r>
  <r>
    <x v="6"/>
    <x v="8"/>
    <x v="47"/>
    <x v="0"/>
  </r>
  <r>
    <x v="6"/>
    <x v="8"/>
    <x v="48"/>
    <x v="0"/>
  </r>
  <r>
    <x v="6"/>
    <x v="8"/>
    <x v="49"/>
    <x v="0"/>
  </r>
  <r>
    <x v="6"/>
    <x v="8"/>
    <x v="50"/>
    <x v="0"/>
  </r>
  <r>
    <x v="6"/>
    <x v="8"/>
    <x v="51"/>
    <x v="0"/>
  </r>
  <r>
    <x v="6"/>
    <x v="8"/>
    <x v="52"/>
    <x v="0"/>
  </r>
  <r>
    <x v="6"/>
    <x v="8"/>
    <x v="53"/>
    <x v="0"/>
  </r>
  <r>
    <x v="6"/>
    <x v="8"/>
    <x v="54"/>
    <x v="0"/>
  </r>
  <r>
    <x v="6"/>
    <x v="8"/>
    <x v="55"/>
    <x v="0"/>
  </r>
  <r>
    <x v="6"/>
    <x v="9"/>
    <x v="29"/>
    <x v="1"/>
  </r>
  <r>
    <x v="6"/>
    <x v="9"/>
    <x v="30"/>
    <x v="0"/>
  </r>
  <r>
    <x v="6"/>
    <x v="9"/>
    <x v="31"/>
    <x v="0"/>
  </r>
  <r>
    <x v="6"/>
    <x v="9"/>
    <x v="32"/>
    <x v="0"/>
  </r>
  <r>
    <x v="6"/>
    <x v="9"/>
    <x v="33"/>
    <x v="0"/>
  </r>
  <r>
    <x v="6"/>
    <x v="9"/>
    <x v="34"/>
    <x v="0"/>
  </r>
  <r>
    <x v="6"/>
    <x v="9"/>
    <x v="35"/>
    <x v="0"/>
  </r>
  <r>
    <x v="6"/>
    <x v="9"/>
    <x v="36"/>
    <x v="0"/>
  </r>
  <r>
    <x v="6"/>
    <x v="9"/>
    <x v="37"/>
    <x v="0"/>
  </r>
  <r>
    <x v="6"/>
    <x v="9"/>
    <x v="38"/>
    <x v="0"/>
  </r>
  <r>
    <x v="6"/>
    <x v="9"/>
    <x v="39"/>
    <x v="0"/>
  </r>
  <r>
    <x v="6"/>
    <x v="9"/>
    <x v="40"/>
    <x v="0"/>
  </r>
  <r>
    <x v="6"/>
    <x v="9"/>
    <x v="41"/>
    <x v="0"/>
  </r>
  <r>
    <x v="6"/>
    <x v="9"/>
    <x v="42"/>
    <x v="0"/>
  </r>
  <r>
    <x v="6"/>
    <x v="9"/>
    <x v="43"/>
    <x v="0"/>
  </r>
  <r>
    <x v="6"/>
    <x v="9"/>
    <x v="44"/>
    <x v="0"/>
  </r>
  <r>
    <x v="6"/>
    <x v="9"/>
    <x v="45"/>
    <x v="0"/>
  </r>
  <r>
    <x v="6"/>
    <x v="9"/>
    <x v="46"/>
    <x v="0"/>
  </r>
  <r>
    <x v="6"/>
    <x v="9"/>
    <x v="47"/>
    <x v="0"/>
  </r>
  <r>
    <x v="6"/>
    <x v="9"/>
    <x v="48"/>
    <x v="0"/>
  </r>
  <r>
    <x v="6"/>
    <x v="9"/>
    <x v="49"/>
    <x v="0"/>
  </r>
  <r>
    <x v="6"/>
    <x v="9"/>
    <x v="50"/>
    <x v="0"/>
  </r>
  <r>
    <x v="6"/>
    <x v="9"/>
    <x v="51"/>
    <x v="0"/>
  </r>
  <r>
    <x v="6"/>
    <x v="9"/>
    <x v="52"/>
    <x v="0"/>
  </r>
  <r>
    <x v="6"/>
    <x v="9"/>
    <x v="53"/>
    <x v="0"/>
  </r>
  <r>
    <x v="6"/>
    <x v="9"/>
    <x v="54"/>
    <x v="0"/>
  </r>
  <r>
    <x v="6"/>
    <x v="9"/>
    <x v="55"/>
    <x v="0"/>
  </r>
  <r>
    <x v="6"/>
    <x v="10"/>
    <x v="29"/>
    <x v="0"/>
  </r>
  <r>
    <x v="6"/>
    <x v="10"/>
    <x v="30"/>
    <x v="0"/>
  </r>
  <r>
    <x v="6"/>
    <x v="10"/>
    <x v="31"/>
    <x v="0"/>
  </r>
  <r>
    <x v="6"/>
    <x v="10"/>
    <x v="32"/>
    <x v="0"/>
  </r>
  <r>
    <x v="6"/>
    <x v="10"/>
    <x v="33"/>
    <x v="0"/>
  </r>
  <r>
    <x v="6"/>
    <x v="10"/>
    <x v="34"/>
    <x v="0"/>
  </r>
  <r>
    <x v="6"/>
    <x v="10"/>
    <x v="35"/>
    <x v="0"/>
  </r>
  <r>
    <x v="6"/>
    <x v="10"/>
    <x v="36"/>
    <x v="0"/>
  </r>
  <r>
    <x v="6"/>
    <x v="10"/>
    <x v="37"/>
    <x v="0"/>
  </r>
  <r>
    <x v="6"/>
    <x v="10"/>
    <x v="38"/>
    <x v="0"/>
  </r>
  <r>
    <x v="6"/>
    <x v="10"/>
    <x v="39"/>
    <x v="0"/>
  </r>
  <r>
    <x v="6"/>
    <x v="10"/>
    <x v="40"/>
    <x v="0"/>
  </r>
  <r>
    <x v="6"/>
    <x v="10"/>
    <x v="41"/>
    <x v="0"/>
  </r>
  <r>
    <x v="6"/>
    <x v="10"/>
    <x v="42"/>
    <x v="0"/>
  </r>
  <r>
    <x v="6"/>
    <x v="10"/>
    <x v="43"/>
    <x v="0"/>
  </r>
  <r>
    <x v="6"/>
    <x v="10"/>
    <x v="44"/>
    <x v="0"/>
  </r>
  <r>
    <x v="6"/>
    <x v="10"/>
    <x v="45"/>
    <x v="0"/>
  </r>
  <r>
    <x v="6"/>
    <x v="10"/>
    <x v="46"/>
    <x v="0"/>
  </r>
  <r>
    <x v="6"/>
    <x v="10"/>
    <x v="47"/>
    <x v="0"/>
  </r>
  <r>
    <x v="6"/>
    <x v="10"/>
    <x v="48"/>
    <x v="0"/>
  </r>
  <r>
    <x v="6"/>
    <x v="10"/>
    <x v="49"/>
    <x v="0"/>
  </r>
  <r>
    <x v="6"/>
    <x v="10"/>
    <x v="50"/>
    <x v="0"/>
  </r>
  <r>
    <x v="6"/>
    <x v="10"/>
    <x v="51"/>
    <x v="0"/>
  </r>
  <r>
    <x v="6"/>
    <x v="10"/>
    <x v="52"/>
    <x v="0"/>
  </r>
  <r>
    <x v="6"/>
    <x v="10"/>
    <x v="53"/>
    <x v="0"/>
  </r>
  <r>
    <x v="6"/>
    <x v="10"/>
    <x v="54"/>
    <x v="0"/>
  </r>
  <r>
    <x v="6"/>
    <x v="10"/>
    <x v="55"/>
    <x v="0"/>
  </r>
  <r>
    <x v="6"/>
    <x v="11"/>
    <x v="29"/>
    <x v="0"/>
  </r>
  <r>
    <x v="6"/>
    <x v="11"/>
    <x v="30"/>
    <x v="0"/>
  </r>
  <r>
    <x v="6"/>
    <x v="11"/>
    <x v="31"/>
    <x v="0"/>
  </r>
  <r>
    <x v="6"/>
    <x v="11"/>
    <x v="32"/>
    <x v="0"/>
  </r>
  <r>
    <x v="6"/>
    <x v="11"/>
    <x v="33"/>
    <x v="0"/>
  </r>
  <r>
    <x v="6"/>
    <x v="11"/>
    <x v="34"/>
    <x v="0"/>
  </r>
  <r>
    <x v="6"/>
    <x v="11"/>
    <x v="35"/>
    <x v="0"/>
  </r>
  <r>
    <x v="6"/>
    <x v="11"/>
    <x v="36"/>
    <x v="0"/>
  </r>
  <r>
    <x v="6"/>
    <x v="11"/>
    <x v="37"/>
    <x v="0"/>
  </r>
  <r>
    <x v="6"/>
    <x v="11"/>
    <x v="38"/>
    <x v="0"/>
  </r>
  <r>
    <x v="6"/>
    <x v="11"/>
    <x v="39"/>
    <x v="0"/>
  </r>
  <r>
    <x v="6"/>
    <x v="11"/>
    <x v="40"/>
    <x v="0"/>
  </r>
  <r>
    <x v="6"/>
    <x v="11"/>
    <x v="41"/>
    <x v="0"/>
  </r>
  <r>
    <x v="6"/>
    <x v="11"/>
    <x v="42"/>
    <x v="0"/>
  </r>
  <r>
    <x v="6"/>
    <x v="11"/>
    <x v="43"/>
    <x v="0"/>
  </r>
  <r>
    <x v="6"/>
    <x v="11"/>
    <x v="44"/>
    <x v="0"/>
  </r>
  <r>
    <x v="6"/>
    <x v="11"/>
    <x v="45"/>
    <x v="0"/>
  </r>
  <r>
    <x v="6"/>
    <x v="11"/>
    <x v="46"/>
    <x v="1"/>
  </r>
  <r>
    <x v="6"/>
    <x v="11"/>
    <x v="47"/>
    <x v="0"/>
  </r>
  <r>
    <x v="6"/>
    <x v="11"/>
    <x v="48"/>
    <x v="0"/>
  </r>
  <r>
    <x v="6"/>
    <x v="11"/>
    <x v="49"/>
    <x v="0"/>
  </r>
  <r>
    <x v="6"/>
    <x v="11"/>
    <x v="50"/>
    <x v="0"/>
  </r>
  <r>
    <x v="6"/>
    <x v="11"/>
    <x v="51"/>
    <x v="0"/>
  </r>
  <r>
    <x v="6"/>
    <x v="11"/>
    <x v="52"/>
    <x v="0"/>
  </r>
  <r>
    <x v="6"/>
    <x v="11"/>
    <x v="53"/>
    <x v="0"/>
  </r>
  <r>
    <x v="6"/>
    <x v="11"/>
    <x v="54"/>
    <x v="0"/>
  </r>
  <r>
    <x v="6"/>
    <x v="11"/>
    <x v="55"/>
    <x v="0"/>
  </r>
  <r>
    <x v="6"/>
    <x v="12"/>
    <x v="29"/>
    <x v="0"/>
  </r>
  <r>
    <x v="6"/>
    <x v="12"/>
    <x v="30"/>
    <x v="0"/>
  </r>
  <r>
    <x v="6"/>
    <x v="12"/>
    <x v="31"/>
    <x v="0"/>
  </r>
  <r>
    <x v="6"/>
    <x v="12"/>
    <x v="32"/>
    <x v="0"/>
  </r>
  <r>
    <x v="6"/>
    <x v="12"/>
    <x v="33"/>
    <x v="0"/>
  </r>
  <r>
    <x v="6"/>
    <x v="12"/>
    <x v="34"/>
    <x v="0"/>
  </r>
  <r>
    <x v="6"/>
    <x v="12"/>
    <x v="35"/>
    <x v="0"/>
  </r>
  <r>
    <x v="6"/>
    <x v="12"/>
    <x v="36"/>
    <x v="0"/>
  </r>
  <r>
    <x v="6"/>
    <x v="12"/>
    <x v="37"/>
    <x v="0"/>
  </r>
  <r>
    <x v="6"/>
    <x v="12"/>
    <x v="38"/>
    <x v="0"/>
  </r>
  <r>
    <x v="6"/>
    <x v="12"/>
    <x v="39"/>
    <x v="0"/>
  </r>
  <r>
    <x v="6"/>
    <x v="12"/>
    <x v="40"/>
    <x v="0"/>
  </r>
  <r>
    <x v="6"/>
    <x v="12"/>
    <x v="41"/>
    <x v="0"/>
  </r>
  <r>
    <x v="6"/>
    <x v="12"/>
    <x v="42"/>
    <x v="0"/>
  </r>
  <r>
    <x v="6"/>
    <x v="12"/>
    <x v="43"/>
    <x v="0"/>
  </r>
  <r>
    <x v="6"/>
    <x v="12"/>
    <x v="44"/>
    <x v="0"/>
  </r>
  <r>
    <x v="6"/>
    <x v="12"/>
    <x v="45"/>
    <x v="0"/>
  </r>
  <r>
    <x v="6"/>
    <x v="12"/>
    <x v="46"/>
    <x v="0"/>
  </r>
  <r>
    <x v="6"/>
    <x v="12"/>
    <x v="47"/>
    <x v="0"/>
  </r>
  <r>
    <x v="6"/>
    <x v="12"/>
    <x v="48"/>
    <x v="0"/>
  </r>
  <r>
    <x v="6"/>
    <x v="12"/>
    <x v="49"/>
    <x v="0"/>
  </r>
  <r>
    <x v="6"/>
    <x v="12"/>
    <x v="50"/>
    <x v="0"/>
  </r>
  <r>
    <x v="6"/>
    <x v="12"/>
    <x v="51"/>
    <x v="0"/>
  </r>
  <r>
    <x v="6"/>
    <x v="12"/>
    <x v="52"/>
    <x v="0"/>
  </r>
  <r>
    <x v="6"/>
    <x v="12"/>
    <x v="53"/>
    <x v="0"/>
  </r>
  <r>
    <x v="6"/>
    <x v="12"/>
    <x v="54"/>
    <x v="0"/>
  </r>
  <r>
    <x v="6"/>
    <x v="12"/>
    <x v="55"/>
    <x v="0"/>
  </r>
  <r>
    <x v="6"/>
    <x v="13"/>
    <x v="29"/>
    <x v="0"/>
  </r>
  <r>
    <x v="6"/>
    <x v="13"/>
    <x v="30"/>
    <x v="0"/>
  </r>
  <r>
    <x v="6"/>
    <x v="13"/>
    <x v="31"/>
    <x v="0"/>
  </r>
  <r>
    <x v="6"/>
    <x v="13"/>
    <x v="32"/>
    <x v="0"/>
  </r>
  <r>
    <x v="6"/>
    <x v="13"/>
    <x v="33"/>
    <x v="0"/>
  </r>
  <r>
    <x v="6"/>
    <x v="13"/>
    <x v="34"/>
    <x v="0"/>
  </r>
  <r>
    <x v="6"/>
    <x v="13"/>
    <x v="35"/>
    <x v="0"/>
  </r>
  <r>
    <x v="6"/>
    <x v="13"/>
    <x v="36"/>
    <x v="0"/>
  </r>
  <r>
    <x v="6"/>
    <x v="13"/>
    <x v="37"/>
    <x v="0"/>
  </r>
  <r>
    <x v="6"/>
    <x v="13"/>
    <x v="38"/>
    <x v="0"/>
  </r>
  <r>
    <x v="6"/>
    <x v="13"/>
    <x v="39"/>
    <x v="0"/>
  </r>
  <r>
    <x v="6"/>
    <x v="13"/>
    <x v="40"/>
    <x v="0"/>
  </r>
  <r>
    <x v="6"/>
    <x v="13"/>
    <x v="41"/>
    <x v="0"/>
  </r>
  <r>
    <x v="6"/>
    <x v="13"/>
    <x v="42"/>
    <x v="0"/>
  </r>
  <r>
    <x v="6"/>
    <x v="13"/>
    <x v="43"/>
    <x v="0"/>
  </r>
  <r>
    <x v="6"/>
    <x v="13"/>
    <x v="44"/>
    <x v="0"/>
  </r>
  <r>
    <x v="6"/>
    <x v="13"/>
    <x v="45"/>
    <x v="0"/>
  </r>
  <r>
    <x v="6"/>
    <x v="13"/>
    <x v="46"/>
    <x v="0"/>
  </r>
  <r>
    <x v="6"/>
    <x v="13"/>
    <x v="47"/>
    <x v="0"/>
  </r>
  <r>
    <x v="6"/>
    <x v="13"/>
    <x v="48"/>
    <x v="0"/>
  </r>
  <r>
    <x v="6"/>
    <x v="13"/>
    <x v="49"/>
    <x v="0"/>
  </r>
  <r>
    <x v="6"/>
    <x v="13"/>
    <x v="50"/>
    <x v="0"/>
  </r>
  <r>
    <x v="6"/>
    <x v="13"/>
    <x v="51"/>
    <x v="0"/>
  </r>
  <r>
    <x v="6"/>
    <x v="13"/>
    <x v="52"/>
    <x v="0"/>
  </r>
  <r>
    <x v="6"/>
    <x v="13"/>
    <x v="53"/>
    <x v="0"/>
  </r>
  <r>
    <x v="6"/>
    <x v="13"/>
    <x v="54"/>
    <x v="0"/>
  </r>
  <r>
    <x v="6"/>
    <x v="13"/>
    <x v="55"/>
    <x v="0"/>
  </r>
  <r>
    <x v="6"/>
    <x v="14"/>
    <x v="29"/>
    <x v="0"/>
  </r>
  <r>
    <x v="6"/>
    <x v="14"/>
    <x v="30"/>
    <x v="0"/>
  </r>
  <r>
    <x v="6"/>
    <x v="14"/>
    <x v="31"/>
    <x v="0"/>
  </r>
  <r>
    <x v="6"/>
    <x v="14"/>
    <x v="32"/>
    <x v="0"/>
  </r>
  <r>
    <x v="6"/>
    <x v="14"/>
    <x v="33"/>
    <x v="0"/>
  </r>
  <r>
    <x v="6"/>
    <x v="14"/>
    <x v="34"/>
    <x v="1"/>
  </r>
  <r>
    <x v="6"/>
    <x v="14"/>
    <x v="35"/>
    <x v="0"/>
  </r>
  <r>
    <x v="6"/>
    <x v="14"/>
    <x v="36"/>
    <x v="0"/>
  </r>
  <r>
    <x v="6"/>
    <x v="14"/>
    <x v="37"/>
    <x v="0"/>
  </r>
  <r>
    <x v="6"/>
    <x v="14"/>
    <x v="38"/>
    <x v="0"/>
  </r>
  <r>
    <x v="6"/>
    <x v="14"/>
    <x v="39"/>
    <x v="0"/>
  </r>
  <r>
    <x v="6"/>
    <x v="14"/>
    <x v="40"/>
    <x v="0"/>
  </r>
  <r>
    <x v="6"/>
    <x v="14"/>
    <x v="41"/>
    <x v="0"/>
  </r>
  <r>
    <x v="6"/>
    <x v="14"/>
    <x v="42"/>
    <x v="0"/>
  </r>
  <r>
    <x v="6"/>
    <x v="14"/>
    <x v="43"/>
    <x v="0"/>
  </r>
  <r>
    <x v="6"/>
    <x v="14"/>
    <x v="44"/>
    <x v="0"/>
  </r>
  <r>
    <x v="6"/>
    <x v="14"/>
    <x v="45"/>
    <x v="0"/>
  </r>
  <r>
    <x v="6"/>
    <x v="14"/>
    <x v="46"/>
    <x v="0"/>
  </r>
  <r>
    <x v="6"/>
    <x v="14"/>
    <x v="47"/>
    <x v="0"/>
  </r>
  <r>
    <x v="6"/>
    <x v="14"/>
    <x v="48"/>
    <x v="0"/>
  </r>
  <r>
    <x v="6"/>
    <x v="14"/>
    <x v="49"/>
    <x v="0"/>
  </r>
  <r>
    <x v="6"/>
    <x v="14"/>
    <x v="50"/>
    <x v="0"/>
  </r>
  <r>
    <x v="6"/>
    <x v="14"/>
    <x v="51"/>
    <x v="0"/>
  </r>
  <r>
    <x v="6"/>
    <x v="14"/>
    <x v="52"/>
    <x v="0"/>
  </r>
  <r>
    <x v="6"/>
    <x v="14"/>
    <x v="53"/>
    <x v="0"/>
  </r>
  <r>
    <x v="6"/>
    <x v="14"/>
    <x v="54"/>
    <x v="0"/>
  </r>
  <r>
    <x v="6"/>
    <x v="14"/>
    <x v="55"/>
    <x v="0"/>
  </r>
  <r>
    <x v="6"/>
    <x v="15"/>
    <x v="29"/>
    <x v="0"/>
  </r>
  <r>
    <x v="6"/>
    <x v="15"/>
    <x v="30"/>
    <x v="0"/>
  </r>
  <r>
    <x v="6"/>
    <x v="15"/>
    <x v="31"/>
    <x v="0"/>
  </r>
  <r>
    <x v="6"/>
    <x v="15"/>
    <x v="32"/>
    <x v="0"/>
  </r>
  <r>
    <x v="6"/>
    <x v="15"/>
    <x v="33"/>
    <x v="0"/>
  </r>
  <r>
    <x v="6"/>
    <x v="15"/>
    <x v="34"/>
    <x v="0"/>
  </r>
  <r>
    <x v="6"/>
    <x v="15"/>
    <x v="35"/>
    <x v="0"/>
  </r>
  <r>
    <x v="6"/>
    <x v="15"/>
    <x v="36"/>
    <x v="0"/>
  </r>
  <r>
    <x v="6"/>
    <x v="15"/>
    <x v="37"/>
    <x v="0"/>
  </r>
  <r>
    <x v="6"/>
    <x v="15"/>
    <x v="38"/>
    <x v="0"/>
  </r>
  <r>
    <x v="6"/>
    <x v="15"/>
    <x v="39"/>
    <x v="0"/>
  </r>
  <r>
    <x v="6"/>
    <x v="15"/>
    <x v="40"/>
    <x v="1"/>
  </r>
  <r>
    <x v="6"/>
    <x v="15"/>
    <x v="41"/>
    <x v="0"/>
  </r>
  <r>
    <x v="6"/>
    <x v="15"/>
    <x v="42"/>
    <x v="0"/>
  </r>
  <r>
    <x v="6"/>
    <x v="15"/>
    <x v="43"/>
    <x v="0"/>
  </r>
  <r>
    <x v="6"/>
    <x v="15"/>
    <x v="44"/>
    <x v="0"/>
  </r>
  <r>
    <x v="6"/>
    <x v="15"/>
    <x v="45"/>
    <x v="0"/>
  </r>
  <r>
    <x v="6"/>
    <x v="15"/>
    <x v="46"/>
    <x v="0"/>
  </r>
  <r>
    <x v="6"/>
    <x v="15"/>
    <x v="47"/>
    <x v="0"/>
  </r>
  <r>
    <x v="6"/>
    <x v="15"/>
    <x v="48"/>
    <x v="0"/>
  </r>
  <r>
    <x v="6"/>
    <x v="15"/>
    <x v="49"/>
    <x v="0"/>
  </r>
  <r>
    <x v="6"/>
    <x v="15"/>
    <x v="50"/>
    <x v="0"/>
  </r>
  <r>
    <x v="6"/>
    <x v="15"/>
    <x v="51"/>
    <x v="0"/>
  </r>
  <r>
    <x v="6"/>
    <x v="15"/>
    <x v="52"/>
    <x v="0"/>
  </r>
  <r>
    <x v="6"/>
    <x v="15"/>
    <x v="53"/>
    <x v="1"/>
  </r>
  <r>
    <x v="6"/>
    <x v="15"/>
    <x v="54"/>
    <x v="0"/>
  </r>
  <r>
    <x v="6"/>
    <x v="15"/>
    <x v="55"/>
    <x v="0"/>
  </r>
  <r>
    <x v="6"/>
    <x v="16"/>
    <x v="29"/>
    <x v="0"/>
  </r>
  <r>
    <x v="6"/>
    <x v="16"/>
    <x v="30"/>
    <x v="0"/>
  </r>
  <r>
    <x v="6"/>
    <x v="16"/>
    <x v="31"/>
    <x v="0"/>
  </r>
  <r>
    <x v="6"/>
    <x v="16"/>
    <x v="32"/>
    <x v="0"/>
  </r>
  <r>
    <x v="6"/>
    <x v="16"/>
    <x v="33"/>
    <x v="0"/>
  </r>
  <r>
    <x v="6"/>
    <x v="16"/>
    <x v="34"/>
    <x v="0"/>
  </r>
  <r>
    <x v="6"/>
    <x v="16"/>
    <x v="35"/>
    <x v="0"/>
  </r>
  <r>
    <x v="6"/>
    <x v="16"/>
    <x v="36"/>
    <x v="0"/>
  </r>
  <r>
    <x v="6"/>
    <x v="16"/>
    <x v="37"/>
    <x v="0"/>
  </r>
  <r>
    <x v="6"/>
    <x v="16"/>
    <x v="38"/>
    <x v="0"/>
  </r>
  <r>
    <x v="6"/>
    <x v="16"/>
    <x v="39"/>
    <x v="0"/>
  </r>
  <r>
    <x v="6"/>
    <x v="16"/>
    <x v="40"/>
    <x v="0"/>
  </r>
  <r>
    <x v="6"/>
    <x v="16"/>
    <x v="41"/>
    <x v="0"/>
  </r>
  <r>
    <x v="6"/>
    <x v="16"/>
    <x v="42"/>
    <x v="0"/>
  </r>
  <r>
    <x v="6"/>
    <x v="16"/>
    <x v="43"/>
    <x v="0"/>
  </r>
  <r>
    <x v="6"/>
    <x v="16"/>
    <x v="44"/>
    <x v="0"/>
  </r>
  <r>
    <x v="6"/>
    <x v="16"/>
    <x v="45"/>
    <x v="0"/>
  </r>
  <r>
    <x v="6"/>
    <x v="16"/>
    <x v="46"/>
    <x v="0"/>
  </r>
  <r>
    <x v="6"/>
    <x v="16"/>
    <x v="47"/>
    <x v="0"/>
  </r>
  <r>
    <x v="6"/>
    <x v="16"/>
    <x v="48"/>
    <x v="0"/>
  </r>
  <r>
    <x v="6"/>
    <x v="16"/>
    <x v="49"/>
    <x v="0"/>
  </r>
  <r>
    <x v="6"/>
    <x v="16"/>
    <x v="50"/>
    <x v="0"/>
  </r>
  <r>
    <x v="6"/>
    <x v="16"/>
    <x v="51"/>
    <x v="0"/>
  </r>
  <r>
    <x v="6"/>
    <x v="16"/>
    <x v="52"/>
    <x v="0"/>
  </r>
  <r>
    <x v="6"/>
    <x v="16"/>
    <x v="53"/>
    <x v="0"/>
  </r>
  <r>
    <x v="6"/>
    <x v="16"/>
    <x v="54"/>
    <x v="0"/>
  </r>
  <r>
    <x v="6"/>
    <x v="16"/>
    <x v="55"/>
    <x v="0"/>
  </r>
  <r>
    <x v="6"/>
    <x v="17"/>
    <x v="29"/>
    <x v="0"/>
  </r>
  <r>
    <x v="6"/>
    <x v="17"/>
    <x v="30"/>
    <x v="0"/>
  </r>
  <r>
    <x v="6"/>
    <x v="17"/>
    <x v="31"/>
    <x v="0"/>
  </r>
  <r>
    <x v="6"/>
    <x v="17"/>
    <x v="32"/>
    <x v="0"/>
  </r>
  <r>
    <x v="6"/>
    <x v="17"/>
    <x v="33"/>
    <x v="0"/>
  </r>
  <r>
    <x v="6"/>
    <x v="17"/>
    <x v="34"/>
    <x v="0"/>
  </r>
  <r>
    <x v="6"/>
    <x v="17"/>
    <x v="35"/>
    <x v="0"/>
  </r>
  <r>
    <x v="6"/>
    <x v="17"/>
    <x v="36"/>
    <x v="0"/>
  </r>
  <r>
    <x v="6"/>
    <x v="17"/>
    <x v="37"/>
    <x v="0"/>
  </r>
  <r>
    <x v="6"/>
    <x v="17"/>
    <x v="38"/>
    <x v="0"/>
  </r>
  <r>
    <x v="6"/>
    <x v="17"/>
    <x v="39"/>
    <x v="0"/>
  </r>
  <r>
    <x v="6"/>
    <x v="17"/>
    <x v="40"/>
    <x v="0"/>
  </r>
  <r>
    <x v="6"/>
    <x v="17"/>
    <x v="41"/>
    <x v="0"/>
  </r>
  <r>
    <x v="6"/>
    <x v="17"/>
    <x v="42"/>
    <x v="0"/>
  </r>
  <r>
    <x v="6"/>
    <x v="17"/>
    <x v="43"/>
    <x v="0"/>
  </r>
  <r>
    <x v="6"/>
    <x v="17"/>
    <x v="44"/>
    <x v="0"/>
  </r>
  <r>
    <x v="6"/>
    <x v="17"/>
    <x v="45"/>
    <x v="0"/>
  </r>
  <r>
    <x v="6"/>
    <x v="17"/>
    <x v="46"/>
    <x v="0"/>
  </r>
  <r>
    <x v="6"/>
    <x v="17"/>
    <x v="47"/>
    <x v="0"/>
  </r>
  <r>
    <x v="6"/>
    <x v="17"/>
    <x v="48"/>
    <x v="0"/>
  </r>
  <r>
    <x v="6"/>
    <x v="17"/>
    <x v="49"/>
    <x v="0"/>
  </r>
  <r>
    <x v="6"/>
    <x v="17"/>
    <x v="50"/>
    <x v="0"/>
  </r>
  <r>
    <x v="6"/>
    <x v="17"/>
    <x v="51"/>
    <x v="0"/>
  </r>
  <r>
    <x v="6"/>
    <x v="17"/>
    <x v="52"/>
    <x v="0"/>
  </r>
  <r>
    <x v="6"/>
    <x v="17"/>
    <x v="53"/>
    <x v="0"/>
  </r>
  <r>
    <x v="6"/>
    <x v="17"/>
    <x v="54"/>
    <x v="0"/>
  </r>
  <r>
    <x v="6"/>
    <x v="17"/>
    <x v="55"/>
    <x v="0"/>
  </r>
  <r>
    <x v="6"/>
    <x v="18"/>
    <x v="29"/>
    <x v="0"/>
  </r>
  <r>
    <x v="6"/>
    <x v="18"/>
    <x v="30"/>
    <x v="0"/>
  </r>
  <r>
    <x v="6"/>
    <x v="18"/>
    <x v="31"/>
    <x v="0"/>
  </r>
  <r>
    <x v="6"/>
    <x v="18"/>
    <x v="32"/>
    <x v="0"/>
  </r>
  <r>
    <x v="6"/>
    <x v="18"/>
    <x v="33"/>
    <x v="0"/>
  </r>
  <r>
    <x v="6"/>
    <x v="18"/>
    <x v="34"/>
    <x v="0"/>
  </r>
  <r>
    <x v="6"/>
    <x v="18"/>
    <x v="35"/>
    <x v="0"/>
  </r>
  <r>
    <x v="6"/>
    <x v="18"/>
    <x v="36"/>
    <x v="0"/>
  </r>
  <r>
    <x v="6"/>
    <x v="18"/>
    <x v="37"/>
    <x v="0"/>
  </r>
  <r>
    <x v="6"/>
    <x v="18"/>
    <x v="38"/>
    <x v="0"/>
  </r>
  <r>
    <x v="6"/>
    <x v="18"/>
    <x v="39"/>
    <x v="0"/>
  </r>
  <r>
    <x v="6"/>
    <x v="18"/>
    <x v="40"/>
    <x v="0"/>
  </r>
  <r>
    <x v="6"/>
    <x v="18"/>
    <x v="41"/>
    <x v="0"/>
  </r>
  <r>
    <x v="6"/>
    <x v="18"/>
    <x v="42"/>
    <x v="0"/>
  </r>
  <r>
    <x v="6"/>
    <x v="18"/>
    <x v="43"/>
    <x v="0"/>
  </r>
  <r>
    <x v="6"/>
    <x v="18"/>
    <x v="44"/>
    <x v="0"/>
  </r>
  <r>
    <x v="6"/>
    <x v="18"/>
    <x v="45"/>
    <x v="0"/>
  </r>
  <r>
    <x v="6"/>
    <x v="18"/>
    <x v="46"/>
    <x v="1"/>
  </r>
  <r>
    <x v="6"/>
    <x v="18"/>
    <x v="47"/>
    <x v="0"/>
  </r>
  <r>
    <x v="6"/>
    <x v="18"/>
    <x v="48"/>
    <x v="0"/>
  </r>
  <r>
    <x v="6"/>
    <x v="18"/>
    <x v="49"/>
    <x v="0"/>
  </r>
  <r>
    <x v="6"/>
    <x v="18"/>
    <x v="50"/>
    <x v="0"/>
  </r>
  <r>
    <x v="6"/>
    <x v="18"/>
    <x v="51"/>
    <x v="0"/>
  </r>
  <r>
    <x v="6"/>
    <x v="18"/>
    <x v="52"/>
    <x v="0"/>
  </r>
  <r>
    <x v="6"/>
    <x v="18"/>
    <x v="53"/>
    <x v="0"/>
  </r>
  <r>
    <x v="6"/>
    <x v="18"/>
    <x v="54"/>
    <x v="0"/>
  </r>
  <r>
    <x v="6"/>
    <x v="18"/>
    <x v="55"/>
    <x v="0"/>
  </r>
  <r>
    <x v="6"/>
    <x v="19"/>
    <x v="29"/>
    <x v="0"/>
  </r>
  <r>
    <x v="6"/>
    <x v="19"/>
    <x v="30"/>
    <x v="0"/>
  </r>
  <r>
    <x v="6"/>
    <x v="19"/>
    <x v="31"/>
    <x v="0"/>
  </r>
  <r>
    <x v="6"/>
    <x v="19"/>
    <x v="32"/>
    <x v="0"/>
  </r>
  <r>
    <x v="6"/>
    <x v="19"/>
    <x v="33"/>
    <x v="0"/>
  </r>
  <r>
    <x v="6"/>
    <x v="19"/>
    <x v="34"/>
    <x v="0"/>
  </r>
  <r>
    <x v="6"/>
    <x v="19"/>
    <x v="35"/>
    <x v="0"/>
  </r>
  <r>
    <x v="6"/>
    <x v="19"/>
    <x v="36"/>
    <x v="0"/>
  </r>
  <r>
    <x v="6"/>
    <x v="19"/>
    <x v="37"/>
    <x v="0"/>
  </r>
  <r>
    <x v="6"/>
    <x v="19"/>
    <x v="38"/>
    <x v="0"/>
  </r>
  <r>
    <x v="6"/>
    <x v="19"/>
    <x v="39"/>
    <x v="0"/>
  </r>
  <r>
    <x v="6"/>
    <x v="19"/>
    <x v="40"/>
    <x v="0"/>
  </r>
  <r>
    <x v="6"/>
    <x v="19"/>
    <x v="41"/>
    <x v="0"/>
  </r>
  <r>
    <x v="6"/>
    <x v="19"/>
    <x v="42"/>
    <x v="0"/>
  </r>
  <r>
    <x v="6"/>
    <x v="19"/>
    <x v="43"/>
    <x v="0"/>
  </r>
  <r>
    <x v="6"/>
    <x v="19"/>
    <x v="44"/>
    <x v="0"/>
  </r>
  <r>
    <x v="6"/>
    <x v="19"/>
    <x v="45"/>
    <x v="0"/>
  </r>
  <r>
    <x v="6"/>
    <x v="19"/>
    <x v="46"/>
    <x v="0"/>
  </r>
  <r>
    <x v="6"/>
    <x v="19"/>
    <x v="47"/>
    <x v="0"/>
  </r>
  <r>
    <x v="6"/>
    <x v="19"/>
    <x v="48"/>
    <x v="0"/>
  </r>
  <r>
    <x v="6"/>
    <x v="19"/>
    <x v="49"/>
    <x v="0"/>
  </r>
  <r>
    <x v="6"/>
    <x v="19"/>
    <x v="50"/>
    <x v="0"/>
  </r>
  <r>
    <x v="6"/>
    <x v="19"/>
    <x v="51"/>
    <x v="0"/>
  </r>
  <r>
    <x v="6"/>
    <x v="19"/>
    <x v="52"/>
    <x v="0"/>
  </r>
  <r>
    <x v="6"/>
    <x v="19"/>
    <x v="53"/>
    <x v="0"/>
  </r>
  <r>
    <x v="6"/>
    <x v="19"/>
    <x v="54"/>
    <x v="0"/>
  </r>
  <r>
    <x v="6"/>
    <x v="19"/>
    <x v="55"/>
    <x v="0"/>
  </r>
  <r>
    <x v="6"/>
    <x v="20"/>
    <x v="29"/>
    <x v="0"/>
  </r>
  <r>
    <x v="6"/>
    <x v="20"/>
    <x v="30"/>
    <x v="0"/>
  </r>
  <r>
    <x v="6"/>
    <x v="20"/>
    <x v="31"/>
    <x v="0"/>
  </r>
  <r>
    <x v="6"/>
    <x v="20"/>
    <x v="32"/>
    <x v="0"/>
  </r>
  <r>
    <x v="6"/>
    <x v="20"/>
    <x v="33"/>
    <x v="0"/>
  </r>
  <r>
    <x v="6"/>
    <x v="20"/>
    <x v="34"/>
    <x v="0"/>
  </r>
  <r>
    <x v="6"/>
    <x v="20"/>
    <x v="35"/>
    <x v="1"/>
  </r>
  <r>
    <x v="6"/>
    <x v="20"/>
    <x v="36"/>
    <x v="0"/>
  </r>
  <r>
    <x v="6"/>
    <x v="20"/>
    <x v="37"/>
    <x v="0"/>
  </r>
  <r>
    <x v="6"/>
    <x v="20"/>
    <x v="38"/>
    <x v="0"/>
  </r>
  <r>
    <x v="6"/>
    <x v="20"/>
    <x v="39"/>
    <x v="0"/>
  </r>
  <r>
    <x v="6"/>
    <x v="20"/>
    <x v="40"/>
    <x v="0"/>
  </r>
  <r>
    <x v="6"/>
    <x v="20"/>
    <x v="41"/>
    <x v="0"/>
  </r>
  <r>
    <x v="6"/>
    <x v="20"/>
    <x v="42"/>
    <x v="0"/>
  </r>
  <r>
    <x v="6"/>
    <x v="20"/>
    <x v="43"/>
    <x v="0"/>
  </r>
  <r>
    <x v="6"/>
    <x v="20"/>
    <x v="44"/>
    <x v="0"/>
  </r>
  <r>
    <x v="6"/>
    <x v="20"/>
    <x v="45"/>
    <x v="0"/>
  </r>
  <r>
    <x v="6"/>
    <x v="20"/>
    <x v="46"/>
    <x v="0"/>
  </r>
  <r>
    <x v="6"/>
    <x v="20"/>
    <x v="47"/>
    <x v="0"/>
  </r>
  <r>
    <x v="6"/>
    <x v="20"/>
    <x v="48"/>
    <x v="0"/>
  </r>
  <r>
    <x v="6"/>
    <x v="20"/>
    <x v="49"/>
    <x v="0"/>
  </r>
  <r>
    <x v="6"/>
    <x v="20"/>
    <x v="50"/>
    <x v="0"/>
  </r>
  <r>
    <x v="6"/>
    <x v="20"/>
    <x v="51"/>
    <x v="0"/>
  </r>
  <r>
    <x v="6"/>
    <x v="20"/>
    <x v="52"/>
    <x v="0"/>
  </r>
  <r>
    <x v="6"/>
    <x v="20"/>
    <x v="53"/>
    <x v="0"/>
  </r>
  <r>
    <x v="6"/>
    <x v="20"/>
    <x v="54"/>
    <x v="0"/>
  </r>
  <r>
    <x v="6"/>
    <x v="20"/>
    <x v="55"/>
    <x v="0"/>
  </r>
  <r>
    <x v="6"/>
    <x v="21"/>
    <x v="29"/>
    <x v="0"/>
  </r>
  <r>
    <x v="6"/>
    <x v="21"/>
    <x v="30"/>
    <x v="0"/>
  </r>
  <r>
    <x v="6"/>
    <x v="21"/>
    <x v="31"/>
    <x v="0"/>
  </r>
  <r>
    <x v="6"/>
    <x v="21"/>
    <x v="32"/>
    <x v="0"/>
  </r>
  <r>
    <x v="6"/>
    <x v="21"/>
    <x v="33"/>
    <x v="0"/>
  </r>
  <r>
    <x v="6"/>
    <x v="21"/>
    <x v="34"/>
    <x v="0"/>
  </r>
  <r>
    <x v="6"/>
    <x v="21"/>
    <x v="35"/>
    <x v="0"/>
  </r>
  <r>
    <x v="6"/>
    <x v="21"/>
    <x v="36"/>
    <x v="0"/>
  </r>
  <r>
    <x v="6"/>
    <x v="21"/>
    <x v="37"/>
    <x v="0"/>
  </r>
  <r>
    <x v="6"/>
    <x v="21"/>
    <x v="38"/>
    <x v="0"/>
  </r>
  <r>
    <x v="6"/>
    <x v="21"/>
    <x v="39"/>
    <x v="0"/>
  </r>
  <r>
    <x v="6"/>
    <x v="21"/>
    <x v="40"/>
    <x v="0"/>
  </r>
  <r>
    <x v="6"/>
    <x v="21"/>
    <x v="41"/>
    <x v="0"/>
  </r>
  <r>
    <x v="6"/>
    <x v="21"/>
    <x v="42"/>
    <x v="0"/>
  </r>
  <r>
    <x v="6"/>
    <x v="21"/>
    <x v="43"/>
    <x v="0"/>
  </r>
  <r>
    <x v="6"/>
    <x v="21"/>
    <x v="44"/>
    <x v="0"/>
  </r>
  <r>
    <x v="6"/>
    <x v="21"/>
    <x v="45"/>
    <x v="0"/>
  </r>
  <r>
    <x v="6"/>
    <x v="21"/>
    <x v="46"/>
    <x v="0"/>
  </r>
  <r>
    <x v="6"/>
    <x v="21"/>
    <x v="47"/>
    <x v="0"/>
  </r>
  <r>
    <x v="6"/>
    <x v="21"/>
    <x v="48"/>
    <x v="0"/>
  </r>
  <r>
    <x v="6"/>
    <x v="21"/>
    <x v="49"/>
    <x v="0"/>
  </r>
  <r>
    <x v="6"/>
    <x v="21"/>
    <x v="50"/>
    <x v="0"/>
  </r>
  <r>
    <x v="6"/>
    <x v="21"/>
    <x v="51"/>
    <x v="0"/>
  </r>
  <r>
    <x v="6"/>
    <x v="21"/>
    <x v="52"/>
    <x v="0"/>
  </r>
  <r>
    <x v="6"/>
    <x v="21"/>
    <x v="53"/>
    <x v="0"/>
  </r>
  <r>
    <x v="6"/>
    <x v="21"/>
    <x v="54"/>
    <x v="0"/>
  </r>
  <r>
    <x v="6"/>
    <x v="21"/>
    <x v="55"/>
    <x v="0"/>
  </r>
  <r>
    <x v="6"/>
    <x v="22"/>
    <x v="29"/>
    <x v="0"/>
  </r>
  <r>
    <x v="6"/>
    <x v="22"/>
    <x v="30"/>
    <x v="0"/>
  </r>
  <r>
    <x v="6"/>
    <x v="22"/>
    <x v="31"/>
    <x v="0"/>
  </r>
  <r>
    <x v="6"/>
    <x v="22"/>
    <x v="32"/>
    <x v="0"/>
  </r>
  <r>
    <x v="6"/>
    <x v="22"/>
    <x v="33"/>
    <x v="0"/>
  </r>
  <r>
    <x v="6"/>
    <x v="22"/>
    <x v="34"/>
    <x v="0"/>
  </r>
  <r>
    <x v="6"/>
    <x v="22"/>
    <x v="35"/>
    <x v="0"/>
  </r>
  <r>
    <x v="6"/>
    <x v="22"/>
    <x v="36"/>
    <x v="0"/>
  </r>
  <r>
    <x v="6"/>
    <x v="22"/>
    <x v="37"/>
    <x v="0"/>
  </r>
  <r>
    <x v="6"/>
    <x v="22"/>
    <x v="38"/>
    <x v="0"/>
  </r>
  <r>
    <x v="6"/>
    <x v="22"/>
    <x v="39"/>
    <x v="0"/>
  </r>
  <r>
    <x v="6"/>
    <x v="22"/>
    <x v="40"/>
    <x v="0"/>
  </r>
  <r>
    <x v="6"/>
    <x v="22"/>
    <x v="41"/>
    <x v="0"/>
  </r>
  <r>
    <x v="6"/>
    <x v="22"/>
    <x v="42"/>
    <x v="0"/>
  </r>
  <r>
    <x v="6"/>
    <x v="22"/>
    <x v="43"/>
    <x v="0"/>
  </r>
  <r>
    <x v="6"/>
    <x v="22"/>
    <x v="44"/>
    <x v="0"/>
  </r>
  <r>
    <x v="6"/>
    <x v="22"/>
    <x v="45"/>
    <x v="0"/>
  </r>
  <r>
    <x v="6"/>
    <x v="22"/>
    <x v="46"/>
    <x v="0"/>
  </r>
  <r>
    <x v="6"/>
    <x v="22"/>
    <x v="47"/>
    <x v="0"/>
  </r>
  <r>
    <x v="6"/>
    <x v="22"/>
    <x v="48"/>
    <x v="0"/>
  </r>
  <r>
    <x v="6"/>
    <x v="22"/>
    <x v="49"/>
    <x v="0"/>
  </r>
  <r>
    <x v="6"/>
    <x v="22"/>
    <x v="50"/>
    <x v="0"/>
  </r>
  <r>
    <x v="6"/>
    <x v="22"/>
    <x v="51"/>
    <x v="0"/>
  </r>
  <r>
    <x v="6"/>
    <x v="22"/>
    <x v="52"/>
    <x v="0"/>
  </r>
  <r>
    <x v="6"/>
    <x v="22"/>
    <x v="53"/>
    <x v="0"/>
  </r>
  <r>
    <x v="6"/>
    <x v="22"/>
    <x v="54"/>
    <x v="0"/>
  </r>
  <r>
    <x v="6"/>
    <x v="22"/>
    <x v="55"/>
    <x v="0"/>
  </r>
  <r>
    <x v="6"/>
    <x v="23"/>
    <x v="29"/>
    <x v="0"/>
  </r>
  <r>
    <x v="6"/>
    <x v="23"/>
    <x v="30"/>
    <x v="0"/>
  </r>
  <r>
    <x v="6"/>
    <x v="23"/>
    <x v="31"/>
    <x v="0"/>
  </r>
  <r>
    <x v="6"/>
    <x v="23"/>
    <x v="32"/>
    <x v="0"/>
  </r>
  <r>
    <x v="6"/>
    <x v="23"/>
    <x v="33"/>
    <x v="0"/>
  </r>
  <r>
    <x v="6"/>
    <x v="23"/>
    <x v="34"/>
    <x v="0"/>
  </r>
  <r>
    <x v="6"/>
    <x v="23"/>
    <x v="35"/>
    <x v="0"/>
  </r>
  <r>
    <x v="6"/>
    <x v="23"/>
    <x v="36"/>
    <x v="0"/>
  </r>
  <r>
    <x v="6"/>
    <x v="23"/>
    <x v="37"/>
    <x v="0"/>
  </r>
  <r>
    <x v="6"/>
    <x v="23"/>
    <x v="38"/>
    <x v="0"/>
  </r>
  <r>
    <x v="6"/>
    <x v="23"/>
    <x v="39"/>
    <x v="0"/>
  </r>
  <r>
    <x v="6"/>
    <x v="23"/>
    <x v="40"/>
    <x v="0"/>
  </r>
  <r>
    <x v="6"/>
    <x v="23"/>
    <x v="41"/>
    <x v="0"/>
  </r>
  <r>
    <x v="6"/>
    <x v="23"/>
    <x v="42"/>
    <x v="0"/>
  </r>
  <r>
    <x v="6"/>
    <x v="23"/>
    <x v="43"/>
    <x v="0"/>
  </r>
  <r>
    <x v="6"/>
    <x v="23"/>
    <x v="44"/>
    <x v="0"/>
  </r>
  <r>
    <x v="6"/>
    <x v="23"/>
    <x v="45"/>
    <x v="0"/>
  </r>
  <r>
    <x v="6"/>
    <x v="23"/>
    <x v="46"/>
    <x v="0"/>
  </r>
  <r>
    <x v="6"/>
    <x v="23"/>
    <x v="47"/>
    <x v="0"/>
  </r>
  <r>
    <x v="6"/>
    <x v="23"/>
    <x v="48"/>
    <x v="0"/>
  </r>
  <r>
    <x v="6"/>
    <x v="23"/>
    <x v="49"/>
    <x v="0"/>
  </r>
  <r>
    <x v="6"/>
    <x v="23"/>
    <x v="50"/>
    <x v="0"/>
  </r>
  <r>
    <x v="6"/>
    <x v="23"/>
    <x v="51"/>
    <x v="0"/>
  </r>
  <r>
    <x v="6"/>
    <x v="23"/>
    <x v="52"/>
    <x v="0"/>
  </r>
  <r>
    <x v="6"/>
    <x v="23"/>
    <x v="53"/>
    <x v="0"/>
  </r>
  <r>
    <x v="6"/>
    <x v="23"/>
    <x v="54"/>
    <x v="0"/>
  </r>
  <r>
    <x v="6"/>
    <x v="23"/>
    <x v="55"/>
    <x v="0"/>
  </r>
  <r>
    <x v="6"/>
    <x v="24"/>
    <x v="29"/>
    <x v="0"/>
  </r>
  <r>
    <x v="6"/>
    <x v="24"/>
    <x v="30"/>
    <x v="0"/>
  </r>
  <r>
    <x v="6"/>
    <x v="24"/>
    <x v="31"/>
    <x v="0"/>
  </r>
  <r>
    <x v="6"/>
    <x v="24"/>
    <x v="32"/>
    <x v="0"/>
  </r>
  <r>
    <x v="6"/>
    <x v="24"/>
    <x v="33"/>
    <x v="0"/>
  </r>
  <r>
    <x v="6"/>
    <x v="24"/>
    <x v="34"/>
    <x v="0"/>
  </r>
  <r>
    <x v="6"/>
    <x v="24"/>
    <x v="35"/>
    <x v="0"/>
  </r>
  <r>
    <x v="6"/>
    <x v="24"/>
    <x v="36"/>
    <x v="0"/>
  </r>
  <r>
    <x v="6"/>
    <x v="24"/>
    <x v="37"/>
    <x v="0"/>
  </r>
  <r>
    <x v="6"/>
    <x v="24"/>
    <x v="38"/>
    <x v="0"/>
  </r>
  <r>
    <x v="6"/>
    <x v="24"/>
    <x v="39"/>
    <x v="0"/>
  </r>
  <r>
    <x v="6"/>
    <x v="24"/>
    <x v="40"/>
    <x v="0"/>
  </r>
  <r>
    <x v="6"/>
    <x v="24"/>
    <x v="41"/>
    <x v="0"/>
  </r>
  <r>
    <x v="6"/>
    <x v="24"/>
    <x v="42"/>
    <x v="0"/>
  </r>
  <r>
    <x v="6"/>
    <x v="24"/>
    <x v="43"/>
    <x v="0"/>
  </r>
  <r>
    <x v="6"/>
    <x v="24"/>
    <x v="44"/>
    <x v="0"/>
  </r>
  <r>
    <x v="6"/>
    <x v="24"/>
    <x v="45"/>
    <x v="0"/>
  </r>
  <r>
    <x v="6"/>
    <x v="24"/>
    <x v="46"/>
    <x v="0"/>
  </r>
  <r>
    <x v="6"/>
    <x v="24"/>
    <x v="47"/>
    <x v="0"/>
  </r>
  <r>
    <x v="6"/>
    <x v="24"/>
    <x v="48"/>
    <x v="0"/>
  </r>
  <r>
    <x v="6"/>
    <x v="24"/>
    <x v="49"/>
    <x v="0"/>
  </r>
  <r>
    <x v="6"/>
    <x v="24"/>
    <x v="50"/>
    <x v="0"/>
  </r>
  <r>
    <x v="6"/>
    <x v="24"/>
    <x v="51"/>
    <x v="0"/>
  </r>
  <r>
    <x v="6"/>
    <x v="24"/>
    <x v="52"/>
    <x v="0"/>
  </r>
  <r>
    <x v="6"/>
    <x v="24"/>
    <x v="53"/>
    <x v="0"/>
  </r>
  <r>
    <x v="6"/>
    <x v="24"/>
    <x v="54"/>
    <x v="0"/>
  </r>
  <r>
    <x v="6"/>
    <x v="24"/>
    <x v="55"/>
    <x v="0"/>
  </r>
  <r>
    <x v="6"/>
    <x v="25"/>
    <x v="29"/>
    <x v="0"/>
  </r>
  <r>
    <x v="6"/>
    <x v="25"/>
    <x v="30"/>
    <x v="0"/>
  </r>
  <r>
    <x v="6"/>
    <x v="25"/>
    <x v="31"/>
    <x v="0"/>
  </r>
  <r>
    <x v="6"/>
    <x v="25"/>
    <x v="32"/>
    <x v="0"/>
  </r>
  <r>
    <x v="6"/>
    <x v="25"/>
    <x v="33"/>
    <x v="0"/>
  </r>
  <r>
    <x v="6"/>
    <x v="25"/>
    <x v="34"/>
    <x v="0"/>
  </r>
  <r>
    <x v="6"/>
    <x v="25"/>
    <x v="35"/>
    <x v="0"/>
  </r>
  <r>
    <x v="6"/>
    <x v="25"/>
    <x v="36"/>
    <x v="0"/>
  </r>
  <r>
    <x v="6"/>
    <x v="25"/>
    <x v="37"/>
    <x v="0"/>
  </r>
  <r>
    <x v="6"/>
    <x v="25"/>
    <x v="38"/>
    <x v="0"/>
  </r>
  <r>
    <x v="6"/>
    <x v="25"/>
    <x v="39"/>
    <x v="0"/>
  </r>
  <r>
    <x v="6"/>
    <x v="25"/>
    <x v="40"/>
    <x v="0"/>
  </r>
  <r>
    <x v="6"/>
    <x v="25"/>
    <x v="41"/>
    <x v="0"/>
  </r>
  <r>
    <x v="6"/>
    <x v="25"/>
    <x v="42"/>
    <x v="0"/>
  </r>
  <r>
    <x v="6"/>
    <x v="25"/>
    <x v="43"/>
    <x v="0"/>
  </r>
  <r>
    <x v="6"/>
    <x v="25"/>
    <x v="44"/>
    <x v="0"/>
  </r>
  <r>
    <x v="6"/>
    <x v="25"/>
    <x v="45"/>
    <x v="0"/>
  </r>
  <r>
    <x v="6"/>
    <x v="25"/>
    <x v="46"/>
    <x v="0"/>
  </r>
  <r>
    <x v="6"/>
    <x v="25"/>
    <x v="47"/>
    <x v="0"/>
  </r>
  <r>
    <x v="6"/>
    <x v="25"/>
    <x v="48"/>
    <x v="0"/>
  </r>
  <r>
    <x v="6"/>
    <x v="25"/>
    <x v="49"/>
    <x v="0"/>
  </r>
  <r>
    <x v="6"/>
    <x v="25"/>
    <x v="50"/>
    <x v="0"/>
  </r>
  <r>
    <x v="6"/>
    <x v="25"/>
    <x v="51"/>
    <x v="0"/>
  </r>
  <r>
    <x v="6"/>
    <x v="25"/>
    <x v="52"/>
    <x v="0"/>
  </r>
  <r>
    <x v="6"/>
    <x v="25"/>
    <x v="53"/>
    <x v="0"/>
  </r>
  <r>
    <x v="6"/>
    <x v="25"/>
    <x v="54"/>
    <x v="0"/>
  </r>
  <r>
    <x v="6"/>
    <x v="25"/>
    <x v="55"/>
    <x v="0"/>
  </r>
  <r>
    <x v="6"/>
    <x v="26"/>
    <x v="29"/>
    <x v="0"/>
  </r>
  <r>
    <x v="6"/>
    <x v="26"/>
    <x v="30"/>
    <x v="0"/>
  </r>
  <r>
    <x v="6"/>
    <x v="26"/>
    <x v="31"/>
    <x v="0"/>
  </r>
  <r>
    <x v="6"/>
    <x v="26"/>
    <x v="32"/>
    <x v="0"/>
  </r>
  <r>
    <x v="6"/>
    <x v="26"/>
    <x v="33"/>
    <x v="0"/>
  </r>
  <r>
    <x v="6"/>
    <x v="26"/>
    <x v="34"/>
    <x v="0"/>
  </r>
  <r>
    <x v="6"/>
    <x v="26"/>
    <x v="35"/>
    <x v="0"/>
  </r>
  <r>
    <x v="6"/>
    <x v="26"/>
    <x v="36"/>
    <x v="0"/>
  </r>
  <r>
    <x v="6"/>
    <x v="26"/>
    <x v="37"/>
    <x v="0"/>
  </r>
  <r>
    <x v="6"/>
    <x v="26"/>
    <x v="38"/>
    <x v="0"/>
  </r>
  <r>
    <x v="6"/>
    <x v="26"/>
    <x v="39"/>
    <x v="0"/>
  </r>
  <r>
    <x v="6"/>
    <x v="26"/>
    <x v="40"/>
    <x v="0"/>
  </r>
  <r>
    <x v="6"/>
    <x v="26"/>
    <x v="41"/>
    <x v="0"/>
  </r>
  <r>
    <x v="6"/>
    <x v="26"/>
    <x v="42"/>
    <x v="0"/>
  </r>
  <r>
    <x v="6"/>
    <x v="26"/>
    <x v="43"/>
    <x v="0"/>
  </r>
  <r>
    <x v="6"/>
    <x v="26"/>
    <x v="44"/>
    <x v="0"/>
  </r>
  <r>
    <x v="6"/>
    <x v="26"/>
    <x v="45"/>
    <x v="0"/>
  </r>
  <r>
    <x v="6"/>
    <x v="26"/>
    <x v="46"/>
    <x v="0"/>
  </r>
  <r>
    <x v="6"/>
    <x v="26"/>
    <x v="47"/>
    <x v="0"/>
  </r>
  <r>
    <x v="6"/>
    <x v="26"/>
    <x v="48"/>
    <x v="0"/>
  </r>
  <r>
    <x v="6"/>
    <x v="26"/>
    <x v="49"/>
    <x v="0"/>
  </r>
  <r>
    <x v="6"/>
    <x v="26"/>
    <x v="50"/>
    <x v="0"/>
  </r>
  <r>
    <x v="6"/>
    <x v="26"/>
    <x v="51"/>
    <x v="1"/>
  </r>
  <r>
    <x v="6"/>
    <x v="26"/>
    <x v="52"/>
    <x v="0"/>
  </r>
  <r>
    <x v="6"/>
    <x v="26"/>
    <x v="53"/>
    <x v="0"/>
  </r>
  <r>
    <x v="6"/>
    <x v="26"/>
    <x v="54"/>
    <x v="0"/>
  </r>
  <r>
    <x v="6"/>
    <x v="26"/>
    <x v="55"/>
    <x v="0"/>
  </r>
  <r>
    <x v="6"/>
    <x v="27"/>
    <x v="29"/>
    <x v="0"/>
  </r>
  <r>
    <x v="6"/>
    <x v="27"/>
    <x v="30"/>
    <x v="0"/>
  </r>
  <r>
    <x v="6"/>
    <x v="27"/>
    <x v="31"/>
    <x v="0"/>
  </r>
  <r>
    <x v="6"/>
    <x v="27"/>
    <x v="32"/>
    <x v="0"/>
  </r>
  <r>
    <x v="6"/>
    <x v="27"/>
    <x v="33"/>
    <x v="0"/>
  </r>
  <r>
    <x v="6"/>
    <x v="27"/>
    <x v="34"/>
    <x v="0"/>
  </r>
  <r>
    <x v="6"/>
    <x v="27"/>
    <x v="35"/>
    <x v="1"/>
  </r>
  <r>
    <x v="6"/>
    <x v="27"/>
    <x v="36"/>
    <x v="0"/>
  </r>
  <r>
    <x v="6"/>
    <x v="27"/>
    <x v="37"/>
    <x v="0"/>
  </r>
  <r>
    <x v="6"/>
    <x v="27"/>
    <x v="38"/>
    <x v="0"/>
  </r>
  <r>
    <x v="6"/>
    <x v="27"/>
    <x v="39"/>
    <x v="0"/>
  </r>
  <r>
    <x v="6"/>
    <x v="27"/>
    <x v="40"/>
    <x v="0"/>
  </r>
  <r>
    <x v="6"/>
    <x v="27"/>
    <x v="41"/>
    <x v="0"/>
  </r>
  <r>
    <x v="6"/>
    <x v="27"/>
    <x v="42"/>
    <x v="0"/>
  </r>
  <r>
    <x v="6"/>
    <x v="27"/>
    <x v="43"/>
    <x v="0"/>
  </r>
  <r>
    <x v="6"/>
    <x v="27"/>
    <x v="44"/>
    <x v="0"/>
  </r>
  <r>
    <x v="6"/>
    <x v="27"/>
    <x v="45"/>
    <x v="0"/>
  </r>
  <r>
    <x v="6"/>
    <x v="27"/>
    <x v="46"/>
    <x v="0"/>
  </r>
  <r>
    <x v="6"/>
    <x v="27"/>
    <x v="47"/>
    <x v="0"/>
  </r>
  <r>
    <x v="6"/>
    <x v="27"/>
    <x v="48"/>
    <x v="0"/>
  </r>
  <r>
    <x v="6"/>
    <x v="27"/>
    <x v="49"/>
    <x v="0"/>
  </r>
  <r>
    <x v="6"/>
    <x v="27"/>
    <x v="50"/>
    <x v="0"/>
  </r>
  <r>
    <x v="6"/>
    <x v="27"/>
    <x v="51"/>
    <x v="0"/>
  </r>
  <r>
    <x v="6"/>
    <x v="27"/>
    <x v="52"/>
    <x v="0"/>
  </r>
  <r>
    <x v="6"/>
    <x v="27"/>
    <x v="53"/>
    <x v="0"/>
  </r>
  <r>
    <x v="6"/>
    <x v="27"/>
    <x v="54"/>
    <x v="0"/>
  </r>
  <r>
    <x v="6"/>
    <x v="27"/>
    <x v="55"/>
    <x v="0"/>
  </r>
  <r>
    <x v="6"/>
    <x v="28"/>
    <x v="29"/>
    <x v="0"/>
  </r>
  <r>
    <x v="6"/>
    <x v="28"/>
    <x v="30"/>
    <x v="0"/>
  </r>
  <r>
    <x v="6"/>
    <x v="28"/>
    <x v="31"/>
    <x v="0"/>
  </r>
  <r>
    <x v="6"/>
    <x v="28"/>
    <x v="32"/>
    <x v="0"/>
  </r>
  <r>
    <x v="6"/>
    <x v="28"/>
    <x v="33"/>
    <x v="0"/>
  </r>
  <r>
    <x v="6"/>
    <x v="28"/>
    <x v="34"/>
    <x v="0"/>
  </r>
  <r>
    <x v="6"/>
    <x v="28"/>
    <x v="35"/>
    <x v="0"/>
  </r>
  <r>
    <x v="6"/>
    <x v="28"/>
    <x v="36"/>
    <x v="0"/>
  </r>
  <r>
    <x v="6"/>
    <x v="28"/>
    <x v="37"/>
    <x v="0"/>
  </r>
  <r>
    <x v="6"/>
    <x v="28"/>
    <x v="38"/>
    <x v="0"/>
  </r>
  <r>
    <x v="6"/>
    <x v="28"/>
    <x v="39"/>
    <x v="0"/>
  </r>
  <r>
    <x v="6"/>
    <x v="28"/>
    <x v="40"/>
    <x v="0"/>
  </r>
  <r>
    <x v="6"/>
    <x v="28"/>
    <x v="41"/>
    <x v="0"/>
  </r>
  <r>
    <x v="6"/>
    <x v="28"/>
    <x v="42"/>
    <x v="0"/>
  </r>
  <r>
    <x v="6"/>
    <x v="28"/>
    <x v="43"/>
    <x v="0"/>
  </r>
  <r>
    <x v="6"/>
    <x v="28"/>
    <x v="44"/>
    <x v="0"/>
  </r>
  <r>
    <x v="6"/>
    <x v="28"/>
    <x v="45"/>
    <x v="0"/>
  </r>
  <r>
    <x v="6"/>
    <x v="28"/>
    <x v="46"/>
    <x v="0"/>
  </r>
  <r>
    <x v="6"/>
    <x v="28"/>
    <x v="47"/>
    <x v="0"/>
  </r>
  <r>
    <x v="6"/>
    <x v="28"/>
    <x v="48"/>
    <x v="0"/>
  </r>
  <r>
    <x v="6"/>
    <x v="28"/>
    <x v="49"/>
    <x v="0"/>
  </r>
  <r>
    <x v="6"/>
    <x v="28"/>
    <x v="50"/>
    <x v="0"/>
  </r>
  <r>
    <x v="6"/>
    <x v="28"/>
    <x v="51"/>
    <x v="0"/>
  </r>
  <r>
    <x v="6"/>
    <x v="28"/>
    <x v="52"/>
    <x v="0"/>
  </r>
  <r>
    <x v="6"/>
    <x v="28"/>
    <x v="53"/>
    <x v="0"/>
  </r>
  <r>
    <x v="6"/>
    <x v="28"/>
    <x v="54"/>
    <x v="0"/>
  </r>
  <r>
    <x v="6"/>
    <x v="28"/>
    <x v="55"/>
    <x v="0"/>
  </r>
  <r>
    <x v="6"/>
    <x v="29"/>
    <x v="29"/>
    <x v="0"/>
  </r>
  <r>
    <x v="6"/>
    <x v="29"/>
    <x v="30"/>
    <x v="0"/>
  </r>
  <r>
    <x v="6"/>
    <x v="29"/>
    <x v="31"/>
    <x v="0"/>
  </r>
  <r>
    <x v="6"/>
    <x v="29"/>
    <x v="32"/>
    <x v="0"/>
  </r>
  <r>
    <x v="6"/>
    <x v="29"/>
    <x v="33"/>
    <x v="0"/>
  </r>
  <r>
    <x v="6"/>
    <x v="29"/>
    <x v="34"/>
    <x v="0"/>
  </r>
  <r>
    <x v="6"/>
    <x v="29"/>
    <x v="35"/>
    <x v="0"/>
  </r>
  <r>
    <x v="6"/>
    <x v="29"/>
    <x v="36"/>
    <x v="0"/>
  </r>
  <r>
    <x v="6"/>
    <x v="29"/>
    <x v="37"/>
    <x v="0"/>
  </r>
  <r>
    <x v="6"/>
    <x v="29"/>
    <x v="38"/>
    <x v="0"/>
  </r>
  <r>
    <x v="6"/>
    <x v="29"/>
    <x v="39"/>
    <x v="0"/>
  </r>
  <r>
    <x v="6"/>
    <x v="29"/>
    <x v="40"/>
    <x v="0"/>
  </r>
  <r>
    <x v="6"/>
    <x v="29"/>
    <x v="41"/>
    <x v="0"/>
  </r>
  <r>
    <x v="6"/>
    <x v="29"/>
    <x v="42"/>
    <x v="0"/>
  </r>
  <r>
    <x v="6"/>
    <x v="29"/>
    <x v="43"/>
    <x v="0"/>
  </r>
  <r>
    <x v="6"/>
    <x v="29"/>
    <x v="44"/>
    <x v="0"/>
  </r>
  <r>
    <x v="6"/>
    <x v="29"/>
    <x v="45"/>
    <x v="0"/>
  </r>
  <r>
    <x v="6"/>
    <x v="29"/>
    <x v="46"/>
    <x v="0"/>
  </r>
  <r>
    <x v="6"/>
    <x v="29"/>
    <x v="47"/>
    <x v="0"/>
  </r>
  <r>
    <x v="6"/>
    <x v="29"/>
    <x v="48"/>
    <x v="0"/>
  </r>
  <r>
    <x v="6"/>
    <x v="29"/>
    <x v="49"/>
    <x v="0"/>
  </r>
  <r>
    <x v="6"/>
    <x v="29"/>
    <x v="50"/>
    <x v="0"/>
  </r>
  <r>
    <x v="6"/>
    <x v="29"/>
    <x v="51"/>
    <x v="0"/>
  </r>
  <r>
    <x v="6"/>
    <x v="29"/>
    <x v="52"/>
    <x v="0"/>
  </r>
  <r>
    <x v="6"/>
    <x v="29"/>
    <x v="53"/>
    <x v="0"/>
  </r>
  <r>
    <x v="6"/>
    <x v="29"/>
    <x v="54"/>
    <x v="0"/>
  </r>
  <r>
    <x v="6"/>
    <x v="29"/>
    <x v="55"/>
    <x v="0"/>
  </r>
  <r>
    <x v="6"/>
    <x v="30"/>
    <x v="29"/>
    <x v="0"/>
  </r>
  <r>
    <x v="6"/>
    <x v="30"/>
    <x v="30"/>
    <x v="0"/>
  </r>
  <r>
    <x v="6"/>
    <x v="30"/>
    <x v="31"/>
    <x v="0"/>
  </r>
  <r>
    <x v="6"/>
    <x v="30"/>
    <x v="32"/>
    <x v="0"/>
  </r>
  <r>
    <x v="6"/>
    <x v="30"/>
    <x v="33"/>
    <x v="0"/>
  </r>
  <r>
    <x v="6"/>
    <x v="30"/>
    <x v="34"/>
    <x v="0"/>
  </r>
  <r>
    <x v="6"/>
    <x v="30"/>
    <x v="35"/>
    <x v="0"/>
  </r>
  <r>
    <x v="6"/>
    <x v="30"/>
    <x v="36"/>
    <x v="0"/>
  </r>
  <r>
    <x v="6"/>
    <x v="30"/>
    <x v="37"/>
    <x v="0"/>
  </r>
  <r>
    <x v="6"/>
    <x v="30"/>
    <x v="38"/>
    <x v="0"/>
  </r>
  <r>
    <x v="6"/>
    <x v="30"/>
    <x v="39"/>
    <x v="0"/>
  </r>
  <r>
    <x v="6"/>
    <x v="30"/>
    <x v="40"/>
    <x v="0"/>
  </r>
  <r>
    <x v="6"/>
    <x v="30"/>
    <x v="41"/>
    <x v="0"/>
  </r>
  <r>
    <x v="6"/>
    <x v="30"/>
    <x v="42"/>
    <x v="0"/>
  </r>
  <r>
    <x v="6"/>
    <x v="30"/>
    <x v="43"/>
    <x v="0"/>
  </r>
  <r>
    <x v="6"/>
    <x v="30"/>
    <x v="44"/>
    <x v="0"/>
  </r>
  <r>
    <x v="6"/>
    <x v="30"/>
    <x v="45"/>
    <x v="0"/>
  </r>
  <r>
    <x v="6"/>
    <x v="30"/>
    <x v="46"/>
    <x v="0"/>
  </r>
  <r>
    <x v="6"/>
    <x v="30"/>
    <x v="47"/>
    <x v="0"/>
  </r>
  <r>
    <x v="6"/>
    <x v="30"/>
    <x v="48"/>
    <x v="0"/>
  </r>
  <r>
    <x v="6"/>
    <x v="30"/>
    <x v="49"/>
    <x v="0"/>
  </r>
  <r>
    <x v="6"/>
    <x v="30"/>
    <x v="50"/>
    <x v="0"/>
  </r>
  <r>
    <x v="6"/>
    <x v="30"/>
    <x v="51"/>
    <x v="0"/>
  </r>
  <r>
    <x v="6"/>
    <x v="30"/>
    <x v="52"/>
    <x v="0"/>
  </r>
  <r>
    <x v="6"/>
    <x v="30"/>
    <x v="53"/>
    <x v="0"/>
  </r>
  <r>
    <x v="6"/>
    <x v="30"/>
    <x v="54"/>
    <x v="0"/>
  </r>
  <r>
    <x v="6"/>
    <x v="30"/>
    <x v="55"/>
    <x v="0"/>
  </r>
  <r>
    <x v="6"/>
    <x v="31"/>
    <x v="29"/>
    <x v="0"/>
  </r>
  <r>
    <x v="6"/>
    <x v="31"/>
    <x v="30"/>
    <x v="0"/>
  </r>
  <r>
    <x v="6"/>
    <x v="31"/>
    <x v="31"/>
    <x v="0"/>
  </r>
  <r>
    <x v="6"/>
    <x v="31"/>
    <x v="32"/>
    <x v="0"/>
  </r>
  <r>
    <x v="6"/>
    <x v="31"/>
    <x v="33"/>
    <x v="0"/>
  </r>
  <r>
    <x v="6"/>
    <x v="31"/>
    <x v="34"/>
    <x v="0"/>
  </r>
  <r>
    <x v="6"/>
    <x v="31"/>
    <x v="35"/>
    <x v="0"/>
  </r>
  <r>
    <x v="6"/>
    <x v="31"/>
    <x v="36"/>
    <x v="0"/>
  </r>
  <r>
    <x v="6"/>
    <x v="31"/>
    <x v="37"/>
    <x v="0"/>
  </r>
  <r>
    <x v="6"/>
    <x v="31"/>
    <x v="38"/>
    <x v="0"/>
  </r>
  <r>
    <x v="6"/>
    <x v="31"/>
    <x v="39"/>
    <x v="0"/>
  </r>
  <r>
    <x v="6"/>
    <x v="31"/>
    <x v="40"/>
    <x v="0"/>
  </r>
  <r>
    <x v="6"/>
    <x v="31"/>
    <x v="41"/>
    <x v="0"/>
  </r>
  <r>
    <x v="6"/>
    <x v="31"/>
    <x v="42"/>
    <x v="0"/>
  </r>
  <r>
    <x v="6"/>
    <x v="31"/>
    <x v="43"/>
    <x v="0"/>
  </r>
  <r>
    <x v="6"/>
    <x v="31"/>
    <x v="44"/>
    <x v="0"/>
  </r>
  <r>
    <x v="6"/>
    <x v="31"/>
    <x v="45"/>
    <x v="0"/>
  </r>
  <r>
    <x v="6"/>
    <x v="31"/>
    <x v="46"/>
    <x v="1"/>
  </r>
  <r>
    <x v="6"/>
    <x v="31"/>
    <x v="47"/>
    <x v="0"/>
  </r>
  <r>
    <x v="6"/>
    <x v="31"/>
    <x v="48"/>
    <x v="0"/>
  </r>
  <r>
    <x v="6"/>
    <x v="31"/>
    <x v="49"/>
    <x v="0"/>
  </r>
  <r>
    <x v="6"/>
    <x v="31"/>
    <x v="50"/>
    <x v="0"/>
  </r>
  <r>
    <x v="6"/>
    <x v="31"/>
    <x v="51"/>
    <x v="0"/>
  </r>
  <r>
    <x v="6"/>
    <x v="31"/>
    <x v="52"/>
    <x v="0"/>
  </r>
  <r>
    <x v="6"/>
    <x v="31"/>
    <x v="53"/>
    <x v="0"/>
  </r>
  <r>
    <x v="6"/>
    <x v="31"/>
    <x v="54"/>
    <x v="0"/>
  </r>
  <r>
    <x v="6"/>
    <x v="31"/>
    <x v="55"/>
    <x v="0"/>
  </r>
  <r>
    <x v="6"/>
    <x v="32"/>
    <x v="29"/>
    <x v="0"/>
  </r>
  <r>
    <x v="6"/>
    <x v="32"/>
    <x v="30"/>
    <x v="0"/>
  </r>
  <r>
    <x v="6"/>
    <x v="32"/>
    <x v="31"/>
    <x v="0"/>
  </r>
  <r>
    <x v="6"/>
    <x v="32"/>
    <x v="32"/>
    <x v="0"/>
  </r>
  <r>
    <x v="6"/>
    <x v="32"/>
    <x v="33"/>
    <x v="0"/>
  </r>
  <r>
    <x v="6"/>
    <x v="32"/>
    <x v="34"/>
    <x v="0"/>
  </r>
  <r>
    <x v="6"/>
    <x v="32"/>
    <x v="35"/>
    <x v="1"/>
  </r>
  <r>
    <x v="6"/>
    <x v="32"/>
    <x v="36"/>
    <x v="0"/>
  </r>
  <r>
    <x v="6"/>
    <x v="32"/>
    <x v="37"/>
    <x v="0"/>
  </r>
  <r>
    <x v="6"/>
    <x v="32"/>
    <x v="38"/>
    <x v="0"/>
  </r>
  <r>
    <x v="6"/>
    <x v="32"/>
    <x v="39"/>
    <x v="0"/>
  </r>
  <r>
    <x v="6"/>
    <x v="32"/>
    <x v="40"/>
    <x v="0"/>
  </r>
  <r>
    <x v="6"/>
    <x v="32"/>
    <x v="41"/>
    <x v="0"/>
  </r>
  <r>
    <x v="6"/>
    <x v="32"/>
    <x v="42"/>
    <x v="0"/>
  </r>
  <r>
    <x v="6"/>
    <x v="32"/>
    <x v="43"/>
    <x v="0"/>
  </r>
  <r>
    <x v="6"/>
    <x v="32"/>
    <x v="44"/>
    <x v="0"/>
  </r>
  <r>
    <x v="6"/>
    <x v="32"/>
    <x v="45"/>
    <x v="0"/>
  </r>
  <r>
    <x v="6"/>
    <x v="32"/>
    <x v="46"/>
    <x v="0"/>
  </r>
  <r>
    <x v="6"/>
    <x v="32"/>
    <x v="47"/>
    <x v="0"/>
  </r>
  <r>
    <x v="6"/>
    <x v="32"/>
    <x v="48"/>
    <x v="0"/>
  </r>
  <r>
    <x v="6"/>
    <x v="32"/>
    <x v="49"/>
    <x v="0"/>
  </r>
  <r>
    <x v="6"/>
    <x v="32"/>
    <x v="50"/>
    <x v="0"/>
  </r>
  <r>
    <x v="6"/>
    <x v="32"/>
    <x v="51"/>
    <x v="0"/>
  </r>
  <r>
    <x v="6"/>
    <x v="32"/>
    <x v="52"/>
    <x v="0"/>
  </r>
  <r>
    <x v="6"/>
    <x v="32"/>
    <x v="53"/>
    <x v="0"/>
  </r>
  <r>
    <x v="6"/>
    <x v="32"/>
    <x v="54"/>
    <x v="0"/>
  </r>
  <r>
    <x v="6"/>
    <x v="32"/>
    <x v="55"/>
    <x v="0"/>
  </r>
  <r>
    <x v="6"/>
    <x v="33"/>
    <x v="29"/>
    <x v="0"/>
  </r>
  <r>
    <x v="6"/>
    <x v="33"/>
    <x v="30"/>
    <x v="0"/>
  </r>
  <r>
    <x v="6"/>
    <x v="33"/>
    <x v="31"/>
    <x v="0"/>
  </r>
  <r>
    <x v="6"/>
    <x v="33"/>
    <x v="32"/>
    <x v="0"/>
  </r>
  <r>
    <x v="6"/>
    <x v="33"/>
    <x v="33"/>
    <x v="0"/>
  </r>
  <r>
    <x v="6"/>
    <x v="33"/>
    <x v="34"/>
    <x v="0"/>
  </r>
  <r>
    <x v="6"/>
    <x v="33"/>
    <x v="35"/>
    <x v="0"/>
  </r>
  <r>
    <x v="6"/>
    <x v="33"/>
    <x v="36"/>
    <x v="0"/>
  </r>
  <r>
    <x v="6"/>
    <x v="33"/>
    <x v="37"/>
    <x v="0"/>
  </r>
  <r>
    <x v="6"/>
    <x v="33"/>
    <x v="38"/>
    <x v="0"/>
  </r>
  <r>
    <x v="6"/>
    <x v="33"/>
    <x v="39"/>
    <x v="0"/>
  </r>
  <r>
    <x v="6"/>
    <x v="33"/>
    <x v="40"/>
    <x v="0"/>
  </r>
  <r>
    <x v="6"/>
    <x v="33"/>
    <x v="41"/>
    <x v="0"/>
  </r>
  <r>
    <x v="6"/>
    <x v="33"/>
    <x v="42"/>
    <x v="0"/>
  </r>
  <r>
    <x v="6"/>
    <x v="33"/>
    <x v="43"/>
    <x v="0"/>
  </r>
  <r>
    <x v="6"/>
    <x v="33"/>
    <x v="44"/>
    <x v="0"/>
  </r>
  <r>
    <x v="6"/>
    <x v="33"/>
    <x v="45"/>
    <x v="0"/>
  </r>
  <r>
    <x v="6"/>
    <x v="33"/>
    <x v="46"/>
    <x v="0"/>
  </r>
  <r>
    <x v="6"/>
    <x v="33"/>
    <x v="47"/>
    <x v="0"/>
  </r>
  <r>
    <x v="6"/>
    <x v="33"/>
    <x v="48"/>
    <x v="0"/>
  </r>
  <r>
    <x v="6"/>
    <x v="33"/>
    <x v="49"/>
    <x v="0"/>
  </r>
  <r>
    <x v="6"/>
    <x v="33"/>
    <x v="50"/>
    <x v="0"/>
  </r>
  <r>
    <x v="6"/>
    <x v="33"/>
    <x v="51"/>
    <x v="0"/>
  </r>
  <r>
    <x v="6"/>
    <x v="33"/>
    <x v="52"/>
    <x v="0"/>
  </r>
  <r>
    <x v="6"/>
    <x v="33"/>
    <x v="53"/>
    <x v="0"/>
  </r>
  <r>
    <x v="6"/>
    <x v="33"/>
    <x v="54"/>
    <x v="0"/>
  </r>
  <r>
    <x v="6"/>
    <x v="33"/>
    <x v="55"/>
    <x v="0"/>
  </r>
  <r>
    <x v="6"/>
    <x v="34"/>
    <x v="29"/>
    <x v="0"/>
  </r>
  <r>
    <x v="6"/>
    <x v="34"/>
    <x v="30"/>
    <x v="0"/>
  </r>
  <r>
    <x v="6"/>
    <x v="34"/>
    <x v="31"/>
    <x v="0"/>
  </r>
  <r>
    <x v="6"/>
    <x v="34"/>
    <x v="32"/>
    <x v="0"/>
  </r>
  <r>
    <x v="6"/>
    <x v="34"/>
    <x v="33"/>
    <x v="0"/>
  </r>
  <r>
    <x v="6"/>
    <x v="34"/>
    <x v="34"/>
    <x v="0"/>
  </r>
  <r>
    <x v="6"/>
    <x v="34"/>
    <x v="35"/>
    <x v="0"/>
  </r>
  <r>
    <x v="6"/>
    <x v="34"/>
    <x v="36"/>
    <x v="0"/>
  </r>
  <r>
    <x v="6"/>
    <x v="34"/>
    <x v="37"/>
    <x v="0"/>
  </r>
  <r>
    <x v="6"/>
    <x v="34"/>
    <x v="38"/>
    <x v="0"/>
  </r>
  <r>
    <x v="6"/>
    <x v="34"/>
    <x v="39"/>
    <x v="0"/>
  </r>
  <r>
    <x v="6"/>
    <x v="34"/>
    <x v="40"/>
    <x v="0"/>
  </r>
  <r>
    <x v="6"/>
    <x v="34"/>
    <x v="41"/>
    <x v="0"/>
  </r>
  <r>
    <x v="6"/>
    <x v="34"/>
    <x v="42"/>
    <x v="0"/>
  </r>
  <r>
    <x v="6"/>
    <x v="34"/>
    <x v="43"/>
    <x v="0"/>
  </r>
  <r>
    <x v="6"/>
    <x v="34"/>
    <x v="44"/>
    <x v="0"/>
  </r>
  <r>
    <x v="6"/>
    <x v="34"/>
    <x v="45"/>
    <x v="0"/>
  </r>
  <r>
    <x v="6"/>
    <x v="34"/>
    <x v="46"/>
    <x v="0"/>
  </r>
  <r>
    <x v="6"/>
    <x v="34"/>
    <x v="47"/>
    <x v="0"/>
  </r>
  <r>
    <x v="6"/>
    <x v="34"/>
    <x v="48"/>
    <x v="0"/>
  </r>
  <r>
    <x v="6"/>
    <x v="34"/>
    <x v="49"/>
    <x v="0"/>
  </r>
  <r>
    <x v="6"/>
    <x v="34"/>
    <x v="50"/>
    <x v="0"/>
  </r>
  <r>
    <x v="6"/>
    <x v="34"/>
    <x v="51"/>
    <x v="0"/>
  </r>
  <r>
    <x v="6"/>
    <x v="34"/>
    <x v="52"/>
    <x v="0"/>
  </r>
  <r>
    <x v="6"/>
    <x v="34"/>
    <x v="53"/>
    <x v="1"/>
  </r>
  <r>
    <x v="6"/>
    <x v="34"/>
    <x v="54"/>
    <x v="0"/>
  </r>
  <r>
    <x v="6"/>
    <x v="34"/>
    <x v="55"/>
    <x v="0"/>
  </r>
  <r>
    <x v="6"/>
    <x v="35"/>
    <x v="29"/>
    <x v="0"/>
  </r>
  <r>
    <x v="6"/>
    <x v="35"/>
    <x v="30"/>
    <x v="0"/>
  </r>
  <r>
    <x v="6"/>
    <x v="35"/>
    <x v="31"/>
    <x v="0"/>
  </r>
  <r>
    <x v="6"/>
    <x v="35"/>
    <x v="32"/>
    <x v="0"/>
  </r>
  <r>
    <x v="6"/>
    <x v="35"/>
    <x v="33"/>
    <x v="0"/>
  </r>
  <r>
    <x v="6"/>
    <x v="35"/>
    <x v="34"/>
    <x v="0"/>
  </r>
  <r>
    <x v="6"/>
    <x v="35"/>
    <x v="35"/>
    <x v="0"/>
  </r>
  <r>
    <x v="6"/>
    <x v="35"/>
    <x v="36"/>
    <x v="0"/>
  </r>
  <r>
    <x v="6"/>
    <x v="35"/>
    <x v="37"/>
    <x v="0"/>
  </r>
  <r>
    <x v="6"/>
    <x v="35"/>
    <x v="38"/>
    <x v="0"/>
  </r>
  <r>
    <x v="6"/>
    <x v="35"/>
    <x v="39"/>
    <x v="0"/>
  </r>
  <r>
    <x v="6"/>
    <x v="35"/>
    <x v="40"/>
    <x v="0"/>
  </r>
  <r>
    <x v="6"/>
    <x v="35"/>
    <x v="41"/>
    <x v="0"/>
  </r>
  <r>
    <x v="6"/>
    <x v="35"/>
    <x v="42"/>
    <x v="0"/>
  </r>
  <r>
    <x v="6"/>
    <x v="35"/>
    <x v="43"/>
    <x v="0"/>
  </r>
  <r>
    <x v="6"/>
    <x v="35"/>
    <x v="44"/>
    <x v="0"/>
  </r>
  <r>
    <x v="6"/>
    <x v="35"/>
    <x v="45"/>
    <x v="0"/>
  </r>
  <r>
    <x v="6"/>
    <x v="35"/>
    <x v="46"/>
    <x v="1"/>
  </r>
  <r>
    <x v="6"/>
    <x v="35"/>
    <x v="47"/>
    <x v="0"/>
  </r>
  <r>
    <x v="6"/>
    <x v="35"/>
    <x v="48"/>
    <x v="0"/>
  </r>
  <r>
    <x v="6"/>
    <x v="35"/>
    <x v="49"/>
    <x v="0"/>
  </r>
  <r>
    <x v="6"/>
    <x v="35"/>
    <x v="50"/>
    <x v="0"/>
  </r>
  <r>
    <x v="6"/>
    <x v="35"/>
    <x v="51"/>
    <x v="0"/>
  </r>
  <r>
    <x v="6"/>
    <x v="35"/>
    <x v="52"/>
    <x v="0"/>
  </r>
  <r>
    <x v="6"/>
    <x v="35"/>
    <x v="53"/>
    <x v="0"/>
  </r>
  <r>
    <x v="6"/>
    <x v="35"/>
    <x v="54"/>
    <x v="0"/>
  </r>
  <r>
    <x v="6"/>
    <x v="35"/>
    <x v="55"/>
    <x v="0"/>
  </r>
  <r>
    <x v="6"/>
    <x v="36"/>
    <x v="29"/>
    <x v="0"/>
  </r>
  <r>
    <x v="6"/>
    <x v="36"/>
    <x v="30"/>
    <x v="0"/>
  </r>
  <r>
    <x v="6"/>
    <x v="36"/>
    <x v="31"/>
    <x v="0"/>
  </r>
  <r>
    <x v="6"/>
    <x v="36"/>
    <x v="32"/>
    <x v="0"/>
  </r>
  <r>
    <x v="6"/>
    <x v="36"/>
    <x v="33"/>
    <x v="0"/>
  </r>
  <r>
    <x v="6"/>
    <x v="36"/>
    <x v="34"/>
    <x v="0"/>
  </r>
  <r>
    <x v="6"/>
    <x v="36"/>
    <x v="35"/>
    <x v="1"/>
  </r>
  <r>
    <x v="6"/>
    <x v="36"/>
    <x v="36"/>
    <x v="0"/>
  </r>
  <r>
    <x v="6"/>
    <x v="36"/>
    <x v="37"/>
    <x v="0"/>
  </r>
  <r>
    <x v="6"/>
    <x v="36"/>
    <x v="38"/>
    <x v="0"/>
  </r>
  <r>
    <x v="6"/>
    <x v="36"/>
    <x v="39"/>
    <x v="0"/>
  </r>
  <r>
    <x v="6"/>
    <x v="36"/>
    <x v="40"/>
    <x v="0"/>
  </r>
  <r>
    <x v="6"/>
    <x v="36"/>
    <x v="41"/>
    <x v="0"/>
  </r>
  <r>
    <x v="6"/>
    <x v="36"/>
    <x v="42"/>
    <x v="0"/>
  </r>
  <r>
    <x v="6"/>
    <x v="36"/>
    <x v="43"/>
    <x v="0"/>
  </r>
  <r>
    <x v="6"/>
    <x v="36"/>
    <x v="44"/>
    <x v="0"/>
  </r>
  <r>
    <x v="6"/>
    <x v="36"/>
    <x v="45"/>
    <x v="0"/>
  </r>
  <r>
    <x v="6"/>
    <x v="36"/>
    <x v="46"/>
    <x v="0"/>
  </r>
  <r>
    <x v="6"/>
    <x v="36"/>
    <x v="47"/>
    <x v="0"/>
  </r>
  <r>
    <x v="6"/>
    <x v="36"/>
    <x v="48"/>
    <x v="0"/>
  </r>
  <r>
    <x v="6"/>
    <x v="36"/>
    <x v="49"/>
    <x v="0"/>
  </r>
  <r>
    <x v="6"/>
    <x v="36"/>
    <x v="50"/>
    <x v="0"/>
  </r>
  <r>
    <x v="6"/>
    <x v="36"/>
    <x v="51"/>
    <x v="0"/>
  </r>
  <r>
    <x v="6"/>
    <x v="36"/>
    <x v="52"/>
    <x v="0"/>
  </r>
  <r>
    <x v="6"/>
    <x v="36"/>
    <x v="53"/>
    <x v="0"/>
  </r>
  <r>
    <x v="6"/>
    <x v="36"/>
    <x v="54"/>
    <x v="0"/>
  </r>
  <r>
    <x v="6"/>
    <x v="36"/>
    <x v="55"/>
    <x v="0"/>
  </r>
  <r>
    <x v="6"/>
    <x v="37"/>
    <x v="29"/>
    <x v="0"/>
  </r>
  <r>
    <x v="6"/>
    <x v="37"/>
    <x v="30"/>
    <x v="0"/>
  </r>
  <r>
    <x v="6"/>
    <x v="37"/>
    <x v="31"/>
    <x v="0"/>
  </r>
  <r>
    <x v="6"/>
    <x v="37"/>
    <x v="32"/>
    <x v="0"/>
  </r>
  <r>
    <x v="6"/>
    <x v="37"/>
    <x v="33"/>
    <x v="0"/>
  </r>
  <r>
    <x v="6"/>
    <x v="37"/>
    <x v="34"/>
    <x v="0"/>
  </r>
  <r>
    <x v="6"/>
    <x v="37"/>
    <x v="35"/>
    <x v="0"/>
  </r>
  <r>
    <x v="6"/>
    <x v="37"/>
    <x v="36"/>
    <x v="0"/>
  </r>
  <r>
    <x v="6"/>
    <x v="37"/>
    <x v="37"/>
    <x v="0"/>
  </r>
  <r>
    <x v="6"/>
    <x v="37"/>
    <x v="38"/>
    <x v="0"/>
  </r>
  <r>
    <x v="6"/>
    <x v="37"/>
    <x v="39"/>
    <x v="0"/>
  </r>
  <r>
    <x v="6"/>
    <x v="37"/>
    <x v="40"/>
    <x v="0"/>
  </r>
  <r>
    <x v="6"/>
    <x v="37"/>
    <x v="41"/>
    <x v="0"/>
  </r>
  <r>
    <x v="6"/>
    <x v="37"/>
    <x v="42"/>
    <x v="0"/>
  </r>
  <r>
    <x v="6"/>
    <x v="37"/>
    <x v="43"/>
    <x v="0"/>
  </r>
  <r>
    <x v="6"/>
    <x v="37"/>
    <x v="44"/>
    <x v="0"/>
  </r>
  <r>
    <x v="6"/>
    <x v="37"/>
    <x v="45"/>
    <x v="0"/>
  </r>
  <r>
    <x v="6"/>
    <x v="37"/>
    <x v="46"/>
    <x v="0"/>
  </r>
  <r>
    <x v="6"/>
    <x v="37"/>
    <x v="47"/>
    <x v="0"/>
  </r>
  <r>
    <x v="6"/>
    <x v="37"/>
    <x v="48"/>
    <x v="0"/>
  </r>
  <r>
    <x v="6"/>
    <x v="37"/>
    <x v="49"/>
    <x v="0"/>
  </r>
  <r>
    <x v="6"/>
    <x v="37"/>
    <x v="50"/>
    <x v="0"/>
  </r>
  <r>
    <x v="6"/>
    <x v="37"/>
    <x v="51"/>
    <x v="0"/>
  </r>
  <r>
    <x v="6"/>
    <x v="37"/>
    <x v="52"/>
    <x v="0"/>
  </r>
  <r>
    <x v="6"/>
    <x v="37"/>
    <x v="53"/>
    <x v="0"/>
  </r>
  <r>
    <x v="6"/>
    <x v="37"/>
    <x v="54"/>
    <x v="0"/>
  </r>
  <r>
    <x v="6"/>
    <x v="37"/>
    <x v="55"/>
    <x v="0"/>
  </r>
  <r>
    <x v="6"/>
    <x v="38"/>
    <x v="29"/>
    <x v="0"/>
  </r>
  <r>
    <x v="6"/>
    <x v="38"/>
    <x v="30"/>
    <x v="0"/>
  </r>
  <r>
    <x v="6"/>
    <x v="38"/>
    <x v="31"/>
    <x v="0"/>
  </r>
  <r>
    <x v="6"/>
    <x v="38"/>
    <x v="32"/>
    <x v="0"/>
  </r>
  <r>
    <x v="6"/>
    <x v="38"/>
    <x v="33"/>
    <x v="0"/>
  </r>
  <r>
    <x v="6"/>
    <x v="38"/>
    <x v="34"/>
    <x v="0"/>
  </r>
  <r>
    <x v="6"/>
    <x v="38"/>
    <x v="35"/>
    <x v="0"/>
  </r>
  <r>
    <x v="6"/>
    <x v="38"/>
    <x v="36"/>
    <x v="0"/>
  </r>
  <r>
    <x v="6"/>
    <x v="38"/>
    <x v="37"/>
    <x v="0"/>
  </r>
  <r>
    <x v="6"/>
    <x v="38"/>
    <x v="38"/>
    <x v="0"/>
  </r>
  <r>
    <x v="6"/>
    <x v="38"/>
    <x v="39"/>
    <x v="0"/>
  </r>
  <r>
    <x v="6"/>
    <x v="38"/>
    <x v="40"/>
    <x v="0"/>
  </r>
  <r>
    <x v="6"/>
    <x v="38"/>
    <x v="41"/>
    <x v="0"/>
  </r>
  <r>
    <x v="6"/>
    <x v="38"/>
    <x v="42"/>
    <x v="0"/>
  </r>
  <r>
    <x v="6"/>
    <x v="38"/>
    <x v="43"/>
    <x v="0"/>
  </r>
  <r>
    <x v="6"/>
    <x v="38"/>
    <x v="44"/>
    <x v="0"/>
  </r>
  <r>
    <x v="6"/>
    <x v="38"/>
    <x v="45"/>
    <x v="0"/>
  </r>
  <r>
    <x v="6"/>
    <x v="38"/>
    <x v="46"/>
    <x v="0"/>
  </r>
  <r>
    <x v="6"/>
    <x v="38"/>
    <x v="47"/>
    <x v="0"/>
  </r>
  <r>
    <x v="6"/>
    <x v="38"/>
    <x v="48"/>
    <x v="0"/>
  </r>
  <r>
    <x v="6"/>
    <x v="38"/>
    <x v="49"/>
    <x v="0"/>
  </r>
  <r>
    <x v="6"/>
    <x v="38"/>
    <x v="50"/>
    <x v="0"/>
  </r>
  <r>
    <x v="6"/>
    <x v="38"/>
    <x v="51"/>
    <x v="0"/>
  </r>
  <r>
    <x v="6"/>
    <x v="38"/>
    <x v="52"/>
    <x v="0"/>
  </r>
  <r>
    <x v="6"/>
    <x v="38"/>
    <x v="53"/>
    <x v="0"/>
  </r>
  <r>
    <x v="6"/>
    <x v="38"/>
    <x v="54"/>
    <x v="0"/>
  </r>
  <r>
    <x v="6"/>
    <x v="38"/>
    <x v="55"/>
    <x v="0"/>
  </r>
  <r>
    <x v="6"/>
    <x v="1"/>
    <x v="29"/>
    <x v="0"/>
  </r>
  <r>
    <x v="6"/>
    <x v="1"/>
    <x v="30"/>
    <x v="0"/>
  </r>
  <r>
    <x v="7"/>
    <x v="0"/>
    <x v="56"/>
    <x v="0"/>
  </r>
  <r>
    <x v="7"/>
    <x v="0"/>
    <x v="57"/>
    <x v="0"/>
  </r>
  <r>
    <x v="7"/>
    <x v="0"/>
    <x v="58"/>
    <x v="0"/>
  </r>
  <r>
    <x v="7"/>
    <x v="0"/>
    <x v="59"/>
    <x v="0"/>
  </r>
  <r>
    <x v="7"/>
    <x v="0"/>
    <x v="60"/>
    <x v="0"/>
  </r>
  <r>
    <x v="7"/>
    <x v="0"/>
    <x v="61"/>
    <x v="0"/>
  </r>
  <r>
    <x v="7"/>
    <x v="1"/>
    <x v="56"/>
    <x v="0"/>
  </r>
  <r>
    <x v="7"/>
    <x v="1"/>
    <x v="57"/>
    <x v="0"/>
  </r>
  <r>
    <x v="7"/>
    <x v="1"/>
    <x v="58"/>
    <x v="0"/>
  </r>
  <r>
    <x v="7"/>
    <x v="1"/>
    <x v="59"/>
    <x v="0"/>
  </r>
  <r>
    <x v="7"/>
    <x v="1"/>
    <x v="60"/>
    <x v="0"/>
  </r>
  <r>
    <x v="7"/>
    <x v="1"/>
    <x v="61"/>
    <x v="0"/>
  </r>
  <r>
    <x v="8"/>
    <x v="0"/>
    <x v="6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3C0F79-3E9A-4C05-B4AA-DA6997BA1AC5}" name="PivotTable1"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G8:H11" firstHeaderRow="1" firstDataRow="1" firstDataCol="1" rowPageCount="2" colPageCount="1"/>
  <pivotFields count="6">
    <pivotField axis="axisPage" multipleItemSelectionAllowed="1" showAll="0">
      <items count="10">
        <item x="6"/>
        <item x="5"/>
        <item x="2"/>
        <item x="7"/>
        <item x="1"/>
        <item x="0"/>
        <item x="3"/>
        <item x="8"/>
        <item x="4"/>
        <item t="default"/>
      </items>
    </pivotField>
    <pivotField showAll="0">
      <items count="40">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1"/>
        <item t="default"/>
      </items>
    </pivotField>
    <pivotField axis="axisPage" numFmtId="14" multipleItemSelectionAllowed="1" showAll="0">
      <items count="64">
        <item x="29"/>
        <item x="30"/>
        <item x="31"/>
        <item x="32"/>
        <item x="33"/>
        <item x="34"/>
        <item x="35"/>
        <item x="36"/>
        <item x="37"/>
        <item x="38"/>
        <item x="39"/>
        <item x="40"/>
        <item x="41"/>
        <item x="42"/>
        <item x="43"/>
        <item x="44"/>
        <item x="45"/>
        <item x="46"/>
        <item x="47"/>
        <item x="48"/>
        <item x="49"/>
        <item x="50"/>
        <item x="51"/>
        <item x="52"/>
        <item x="53"/>
        <item x="54"/>
        <item x="55"/>
        <item x="23"/>
        <item x="24"/>
        <item x="25"/>
        <item x="26"/>
        <item x="27"/>
        <item x="28"/>
        <item x="10"/>
        <item x="11"/>
        <item x="56"/>
        <item x="57"/>
        <item x="58"/>
        <item x="59"/>
        <item x="60"/>
        <item x="61"/>
        <item x="6"/>
        <item x="7"/>
        <item x="8"/>
        <item x="9"/>
        <item x="12"/>
        <item x="13"/>
        <item x="14"/>
        <item x="15"/>
        <item x="16"/>
        <item x="17"/>
        <item x="0"/>
        <item x="5"/>
        <item x="1"/>
        <item x="2"/>
        <item x="3"/>
        <item x="4"/>
        <item x="18"/>
        <item x="19"/>
        <item x="20"/>
        <item x="21"/>
        <item x="62"/>
        <item x="22"/>
        <item t="default"/>
      </items>
    </pivotField>
    <pivotField axis="axisRow" dataField="1" showAll="0">
      <items count="3">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3">
    <i>
      <x/>
    </i>
    <i>
      <x v="1"/>
    </i>
    <i t="grand">
      <x/>
    </i>
  </rowItems>
  <colItems count="1">
    <i/>
  </colItems>
  <pageFields count="2">
    <pageField fld="0" hier="-1"/>
    <pageField fld="2" hier="-1"/>
  </pageFields>
  <dataFields count="1">
    <dataField name="Count of Status" fld="3" subtotal="count" baseField="0" baseItem="0"/>
  </dataFields>
  <formats count="10">
    <format dxfId="14">
      <pivotArea type="all" dataOnly="0" outline="0" fieldPosition="0"/>
    </format>
    <format dxfId="13">
      <pivotArea outline="0" collapsedLevelsAreSubtotals="1" fieldPosition="0"/>
    </format>
    <format dxfId="12">
      <pivotArea field="1" type="button" dataOnly="0" labelOnly="1" outline="0"/>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format>
    <format dxfId="6">
      <pivotArea dataOnly="0" labelOnly="1" grandRow="1" outline="0" fieldPosition="0"/>
    </format>
    <format dxfId="5">
      <pivotArea dataOnly="0" labelOnly="1" outline="0" axis="axisValues" fieldPosition="0"/>
    </format>
  </formats>
  <chartFormats count="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7" format="0" series="1">
      <pivotArea type="data" outline="0" fieldPosition="0">
        <references count="2">
          <reference field="4294967294" count="1" selected="0">
            <x v="0"/>
          </reference>
          <reference field="3"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3" count="1" selected="0">
            <x v="0"/>
          </reference>
        </references>
      </pivotArea>
    </chartFormat>
    <chartFormat chart="17"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99DBDD-2F5B-4599-923B-02B6520AEC55}" name="PivotTable2"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5:D46" firstHeaderRow="1" firstDataRow="2" firstDataCol="1" rowPageCount="2" colPageCount="1"/>
  <pivotFields count="6">
    <pivotField axis="axisPage" multipleItemSelectionAllowed="1" showAll="0">
      <items count="10">
        <item x="6"/>
        <item x="5"/>
        <item x="2"/>
        <item x="7"/>
        <item x="1"/>
        <item x="0"/>
        <item x="3"/>
        <item x="8"/>
        <item x="4"/>
        <item t="default"/>
      </items>
    </pivotField>
    <pivotField axis="axisRow" showAll="0">
      <items count="40">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1"/>
        <item t="default"/>
      </items>
    </pivotField>
    <pivotField axis="axisPage" numFmtId="14" multipleItemSelectionAllowed="1" showAll="0">
      <items count="64">
        <item x="29"/>
        <item x="30"/>
        <item x="31"/>
        <item x="32"/>
        <item x="33"/>
        <item x="34"/>
        <item x="35"/>
        <item x="36"/>
        <item x="37"/>
        <item x="38"/>
        <item x="39"/>
        <item x="40"/>
        <item x="41"/>
        <item x="42"/>
        <item x="43"/>
        <item x="44"/>
        <item x="45"/>
        <item x="46"/>
        <item x="47"/>
        <item x="48"/>
        <item x="49"/>
        <item x="50"/>
        <item x="51"/>
        <item x="52"/>
        <item x="53"/>
        <item x="54"/>
        <item x="55"/>
        <item x="23"/>
        <item x="24"/>
        <item x="25"/>
        <item x="26"/>
        <item x="27"/>
        <item x="28"/>
        <item x="10"/>
        <item x="11"/>
        <item x="56"/>
        <item x="57"/>
        <item x="58"/>
        <item x="59"/>
        <item x="60"/>
        <item x="61"/>
        <item x="6"/>
        <item x="7"/>
        <item x="8"/>
        <item x="9"/>
        <item x="12"/>
        <item x="13"/>
        <item x="14"/>
        <item x="15"/>
        <item x="16"/>
        <item x="17"/>
        <item x="0"/>
        <item x="5"/>
        <item x="1"/>
        <item x="2"/>
        <item x="3"/>
        <item x="4"/>
        <item x="18"/>
        <item x="19"/>
        <item x="20"/>
        <item x="21"/>
        <item x="62"/>
        <item x="22"/>
        <item t="default"/>
      </items>
    </pivotField>
    <pivotField axis="axisCol" dataField="1" showAll="0">
      <items count="3">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3"/>
  </colFields>
  <colItems count="3">
    <i>
      <x/>
    </i>
    <i>
      <x v="1"/>
    </i>
    <i t="grand">
      <x/>
    </i>
  </colItems>
  <pageFields count="2">
    <pageField fld="0" hier="-1"/>
    <pageField fld="2" hier="-1"/>
  </pageFields>
  <dataFields count="1">
    <dataField name="Count of Status" fld="3" subtotal="count" baseField="0" baseItem="0"/>
  </dataFields>
  <formats count="12">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0"/>
        </references>
      </pivotArea>
    </format>
    <format dxfId="22">
      <pivotArea dataOnly="0" labelOnly="1" grandRow="1" outline="0"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0"/>
        </references>
      </pivotArea>
    </format>
    <format dxfId="16">
      <pivotArea dataOnly="0" labelOnly="1" grandRow="1" outline="0" fieldPosition="0"/>
    </format>
    <format dxfId="15">
      <pivotArea dataOnly="0" labelOnly="1" outline="0" axis="axisValues" fieldPosition="0"/>
    </format>
  </formats>
  <chartFormats count="3">
    <chartFormat chart="14" format="4" series="1">
      <pivotArea type="data" outline="0" fieldPosition="0">
        <references count="2">
          <reference field="4294967294" count="1" selected="0">
            <x v="0"/>
          </reference>
          <reference field="3" count="1" selected="0">
            <x v="0"/>
          </reference>
        </references>
      </pivotArea>
    </chartFormat>
    <chartFormat chart="14" format="5" series="1">
      <pivotArea type="data" outline="0" fieldPosition="0">
        <references count="2">
          <reference field="4294967294" count="1" selected="0">
            <x v="0"/>
          </reference>
          <reference field="3" count="1" selected="0">
            <x v="1"/>
          </reference>
        </references>
      </pivotArea>
    </chartFormat>
    <chartFormat chart="1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E7E3D5D2-64D5-4ACC-8061-77D581865C2A}" sourceName="Date">
  <pivotTables>
    <pivotTable tabId="5" name="PivotTable2"/>
    <pivotTable tabId="5" name="PivotTable1"/>
  </pivotTables>
  <data>
    <tabular pivotCacheId="838456180">
      <items count="63">
        <i x="29" s="1"/>
        <i x="30" s="1"/>
        <i x="31" s="1"/>
        <i x="32" s="1"/>
        <i x="33" s="1"/>
        <i x="34" s="1"/>
        <i x="35" s="1"/>
        <i x="36" s="1"/>
        <i x="37" s="1"/>
        <i x="38" s="1"/>
        <i x="39" s="1"/>
        <i x="40" s="1"/>
        <i x="41" s="1"/>
        <i x="42" s="1"/>
        <i x="43" s="1"/>
        <i x="44" s="1"/>
        <i x="45" s="1"/>
        <i x="46" s="1"/>
        <i x="47" s="1"/>
        <i x="48" s="1"/>
        <i x="49" s="1"/>
        <i x="50" s="1"/>
        <i x="51" s="1"/>
        <i x="52" s="1"/>
        <i x="53" s="1"/>
        <i x="54" s="1"/>
        <i x="55" s="1"/>
        <i x="23" s="1"/>
        <i x="24" s="1"/>
        <i x="25" s="1"/>
        <i x="26" s="1"/>
        <i x="27" s="1"/>
        <i x="28" s="1"/>
        <i x="56" s="1"/>
        <i x="57" s="1"/>
        <i x="58" s="1"/>
        <i x="59" s="1"/>
        <i x="60" s="1"/>
        <i x="61" s="1"/>
        <i x="6" s="1"/>
        <i x="7" s="1"/>
        <i x="8" s="1"/>
        <i x="9" s="1"/>
        <i x="10" s="1"/>
        <i x="11" s="1"/>
        <i x="12" s="1"/>
        <i x="13" s="1"/>
        <i x="14" s="1"/>
        <i x="15" s="1"/>
        <i x="16" s="1"/>
        <i x="17" s="1"/>
        <i x="0" s="1"/>
        <i x="5" s="1"/>
        <i x="1" s="1"/>
        <i x="2" s="1"/>
        <i x="3" s="1"/>
        <i x="4" s="1"/>
        <i x="18" s="1"/>
        <i x="19" s="1"/>
        <i x="20" s="1"/>
        <i x="21" s="1"/>
        <i x="62" s="1"/>
        <i x="2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NO." xr10:uid="{389289F2-4FE1-47DE-9D1C-73E1FC362FC1}" sourceName="EmployeeNO.">
  <pivotTables>
    <pivotTable tabId="5" name="PivotTable2"/>
    <pivotTable tabId="5" name="PivotTable1"/>
  </pivotTables>
  <data>
    <tabular pivotCacheId="838456180">
      <items count="39">
        <i x="0"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4B470071-499F-494F-9DDC-2FD8CF55A744}" cache="Slicer_Date" caption="Date" startItem="31" style="SlicerStyleOther2" rowHeight="241300"/>
  <slicer name="EmployeeNO. 1" xr10:uid="{08057DA3-C5E6-496E-B770-8256ABC47E64}" cache="Slicer_EmployeeNO." caption="EmployeeNO."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4CB5A5-25BC-469C-8FE6-E64BA3D17996}" name="Table1" displayName="Table1" ref="A1:D1082">
  <autoFilter ref="A1:D1082" xr:uid="{0E4CB5A5-25BC-469C-8FE6-E64BA3D17996}"/>
  <tableColumns count="4">
    <tableColumn id="1" xr3:uid="{30C1BC54-5F8F-4808-B516-D7E3A87E1DA0}" name="Month"/>
    <tableColumn id="2" xr3:uid="{7E40A4B6-4514-4196-9A6A-BBE4CCE61EAC}" name="EmployeeNO."/>
    <tableColumn id="3" xr3:uid="{6768A590-3343-4B7F-AAB6-294A086F6974}" name="Date" dataDxfId="4" totalsRowDxfId="3"/>
    <tableColumn id="4" xr3:uid="{DA8A9799-50B7-4DCB-9137-3F7A6124DC5F}" name="Status" totalsRowFunction="custom">
      <totalsRowFormula>COUNTIF(#REF!,"P")</totalsRowFormula>
    </tableColumn>
  </tableColumns>
  <tableStyleInfo name="TableStyleMedium1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3FE1-12A7-419C-B202-5A51C43F508C}">
  <sheetPr codeName="Sheet1"/>
  <dimension ref="B7:AR2012"/>
  <sheetViews>
    <sheetView showGridLines="0" topLeftCell="A5" zoomScale="61" zoomScaleNormal="46" workbookViewId="0">
      <selection activeCell="B7" sqref="B7"/>
    </sheetView>
  </sheetViews>
  <sheetFormatPr defaultRowHeight="15" x14ac:dyDescent="0.25"/>
  <cols>
    <col min="2" max="2" width="12.7109375" customWidth="1"/>
    <col min="3" max="3" width="8.28515625" bestFit="1" customWidth="1"/>
    <col min="4" max="4" width="20.7109375" customWidth="1"/>
    <col min="7" max="8" width="7.5703125" bestFit="1" customWidth="1"/>
    <col min="9" max="9" width="4.42578125" bestFit="1" customWidth="1"/>
    <col min="10" max="10" width="6.5703125" bestFit="1" customWidth="1"/>
    <col min="11" max="12" width="4.42578125" bestFit="1" customWidth="1"/>
    <col min="13" max="14" width="7.5703125" bestFit="1" customWidth="1"/>
    <col min="15" max="16" width="4.42578125" bestFit="1" customWidth="1"/>
    <col min="17" max="17" width="6.5703125" bestFit="1" customWidth="1"/>
    <col min="18" max="19" width="4.42578125" bestFit="1" customWidth="1"/>
    <col min="20" max="20" width="7.5703125" bestFit="1" customWidth="1"/>
    <col min="21" max="23" width="4.42578125" bestFit="1" customWidth="1"/>
    <col min="24" max="24" width="6.5703125" bestFit="1" customWidth="1"/>
    <col min="25" max="26" width="4.42578125" bestFit="1" customWidth="1"/>
    <col min="27" max="28" width="7.5703125" bestFit="1" customWidth="1"/>
    <col min="29" max="30" width="4.42578125" bestFit="1" customWidth="1"/>
    <col min="31" max="31" width="6.5703125" bestFit="1" customWidth="1"/>
    <col min="32" max="34" width="4.42578125" bestFit="1" customWidth="1"/>
    <col min="35" max="35" width="7.5703125" bestFit="1" customWidth="1"/>
    <col min="36" max="37" width="4.42578125" bestFit="1" customWidth="1"/>
    <col min="38" max="38" width="3.42578125" bestFit="1" customWidth="1"/>
    <col min="39" max="39" width="5.5703125" bestFit="1" customWidth="1"/>
    <col min="40" max="40" width="3.5703125" bestFit="1" customWidth="1"/>
  </cols>
  <sheetData>
    <row r="7" spans="2:44" ht="21" x14ac:dyDescent="0.35">
      <c r="B7" s="9" t="s">
        <v>0</v>
      </c>
      <c r="C7" s="2">
        <v>2026</v>
      </c>
    </row>
    <row r="9" spans="2:44" x14ac:dyDescent="0.25">
      <c r="AM9" s="22"/>
      <c r="AN9" s="22"/>
      <c r="AO9" s="22"/>
    </row>
    <row r="10" spans="2:44" x14ac:dyDescent="0.25">
      <c r="AM10" s="22"/>
      <c r="AN10" s="22"/>
      <c r="AO10" s="22"/>
    </row>
    <row r="11" spans="2:44" x14ac:dyDescent="0.25">
      <c r="G11" s="6">
        <f>IF(COLUMNS($G:G)&gt;DAY(EOMONTH(DATE($C$7,MONTH(DATEVALUE("1 "&amp;$B$7)),1),0)),"",DATE($C$7,MONTH(DATEVALUE("1 "&amp;$B$7)),COLUMNS($G:G)))</f>
        <v>46023</v>
      </c>
      <c r="H11" s="6">
        <f>IF(COLUMNS($G:H)&gt;DAY(EOMONTH(DATE($C$7,MONTH(DATEVALUE("1 "&amp;$B$7)),1),0)),"",DATE($C$7,MONTH(DATEVALUE("1 "&amp;$B$7)),COLUMNS($G:H)))</f>
        <v>46024</v>
      </c>
      <c r="I11" s="6">
        <f>IF(COLUMNS($G:I)&gt;DAY(EOMONTH(DATE($C$7,MONTH(DATEVALUE("1 "&amp;$B$7)),1),0)),"",DATE($C$7,MONTH(DATEVALUE("1 "&amp;$B$7)),COLUMNS($G:I)))</f>
        <v>46025</v>
      </c>
      <c r="J11" s="6">
        <f>IF(COLUMNS($G:J)&gt;DAY(EOMONTH(DATE($C$7,MONTH(DATEVALUE("1 "&amp;$B$7)),1),0)),"",DATE($C$7,MONTH(DATEVALUE("1 "&amp;$B$7)),COLUMNS($G:J)))</f>
        <v>46026</v>
      </c>
      <c r="K11" s="6">
        <f>IF(COLUMNS($G:K)&gt;DAY(EOMONTH(DATE($C$7,MONTH(DATEVALUE("1 "&amp;$B$7)),1),0)),"",DATE($C$7,MONTH(DATEVALUE("1 "&amp;$B$7)),COLUMNS($G:K)))</f>
        <v>46027</v>
      </c>
      <c r="L11" s="6">
        <f>IF(COLUMNS($G:L)&gt;DAY(EOMONTH(DATE($C$7,MONTH(DATEVALUE("1 "&amp;$B$7)),1),0)),"",DATE($C$7,MONTH(DATEVALUE("1 "&amp;$B$7)),COLUMNS($G:L)))</f>
        <v>46028</v>
      </c>
      <c r="M11" s="6">
        <f>IF(COLUMNS($G:M)&gt;DAY(EOMONTH(DATE($C$7,MONTH(DATEVALUE("1 "&amp;$B$7)),1),0)),"",DATE($C$7,MONTH(DATEVALUE("1 "&amp;$B$7)),COLUMNS($G:M)))</f>
        <v>46029</v>
      </c>
      <c r="N11" s="6">
        <f>IF(COLUMNS($G:N)&gt;DAY(EOMONTH(DATE($C$7,MONTH(DATEVALUE("1 "&amp;$B$7)),1),0)),"",DATE($C$7,MONTH(DATEVALUE("1 "&amp;$B$7)),COLUMNS($G:N)))</f>
        <v>46030</v>
      </c>
      <c r="O11" s="6">
        <f>IF(COLUMNS($G:O)&gt;DAY(EOMONTH(DATE($C$7,MONTH(DATEVALUE("1 "&amp;$B$7)),1),0)),"",DATE($C$7,MONTH(DATEVALUE("1 "&amp;$B$7)),COLUMNS($G:O)))</f>
        <v>46031</v>
      </c>
      <c r="P11" s="6">
        <f>IF(COLUMNS($G:P)&gt;DAY(EOMONTH(DATE($C$7,MONTH(DATEVALUE("1 "&amp;$B$7)),1),0)),"",DATE($C$7,MONTH(DATEVALUE("1 "&amp;$B$7)),COLUMNS($G:P)))</f>
        <v>46032</v>
      </c>
      <c r="Q11" s="6">
        <f>IF(COLUMNS($G:Q)&gt;DAY(EOMONTH(DATE($C$7,MONTH(DATEVALUE("1 "&amp;$B$7)),1),0)),"",DATE($C$7,MONTH(DATEVALUE("1 "&amp;$B$7)),COLUMNS($G:Q)))</f>
        <v>46033</v>
      </c>
      <c r="R11" s="6">
        <f>IF(COLUMNS($G:R)&gt;DAY(EOMONTH(DATE($C$7,MONTH(DATEVALUE("1 "&amp;$B$7)),1),0)),"",DATE($C$7,MONTH(DATEVALUE("1 "&amp;$B$7)),COLUMNS($G:R)))</f>
        <v>46034</v>
      </c>
      <c r="S11" s="6">
        <f>IF(COLUMNS($G:S)&gt;DAY(EOMONTH(DATE($C$7,MONTH(DATEVALUE("1 "&amp;$B$7)),1),0)),"",DATE($C$7,MONTH(DATEVALUE("1 "&amp;$B$7)),COLUMNS($G:S)))</f>
        <v>46035</v>
      </c>
      <c r="T11" s="6">
        <f>IF(COLUMNS($G:T)&gt;DAY(EOMONTH(DATE($C$7,MONTH(DATEVALUE("1 "&amp;$B$7)),1),0)),"",DATE($C$7,MONTH(DATEVALUE("1 "&amp;$B$7)),COLUMNS($G:T)))</f>
        <v>46036</v>
      </c>
      <c r="U11" s="6">
        <f>IF(COLUMNS($G:U)&gt;DAY(EOMONTH(DATE($C$7,MONTH(DATEVALUE("1 "&amp;$B$7)),1),0)),"",DATE($C$7,MONTH(DATEVALUE("1 "&amp;$B$7)),COLUMNS($G:U)))</f>
        <v>46037</v>
      </c>
      <c r="V11" s="6">
        <f>IF(COLUMNS($G:V)&gt;DAY(EOMONTH(DATE($C$7,MONTH(DATEVALUE("1 "&amp;$B$7)),1),0)),"",DATE($C$7,MONTH(DATEVALUE("1 "&amp;$B$7)),COLUMNS($G:V)))</f>
        <v>46038</v>
      </c>
      <c r="W11" s="6">
        <f>IF(COLUMNS($G:W)&gt;DAY(EOMONTH(DATE($C$7,MONTH(DATEVALUE("1 "&amp;$B$7)),1),0)),"",DATE($C$7,MONTH(DATEVALUE("1 "&amp;$B$7)),COLUMNS($G:W)))</f>
        <v>46039</v>
      </c>
      <c r="X11" s="6">
        <f>IF(COLUMNS($G:X)&gt;DAY(EOMONTH(DATE($C$7,MONTH(DATEVALUE("1 "&amp;$B$7)),1),0)),"",DATE($C$7,MONTH(DATEVALUE("1 "&amp;$B$7)),COLUMNS($G:X)))</f>
        <v>46040</v>
      </c>
      <c r="Y11" s="6">
        <f>IF(COLUMNS($G:Y)&gt;DAY(EOMONTH(DATE($C$7,MONTH(DATEVALUE("1 "&amp;$B$7)),1),0)),"",DATE($C$7,MONTH(DATEVALUE("1 "&amp;$B$7)),COLUMNS($G:Y)))</f>
        <v>46041</v>
      </c>
      <c r="Z11" s="6">
        <f>IF(COLUMNS($G:Z)&gt;DAY(EOMONTH(DATE($C$7,MONTH(DATEVALUE("1 "&amp;$B$7)),1),0)),"",DATE($C$7,MONTH(DATEVALUE("1 "&amp;$B$7)),COLUMNS($G:Z)))</f>
        <v>46042</v>
      </c>
      <c r="AA11" s="6">
        <f>IF(COLUMNS($G:AA)&gt;DAY(EOMONTH(DATE($C$7,MONTH(DATEVALUE("1 "&amp;$B$7)),1),0)),"",DATE($C$7,MONTH(DATEVALUE("1 "&amp;$B$7)),COLUMNS($G:AA)))</f>
        <v>46043</v>
      </c>
      <c r="AB11" s="6">
        <f>IF(COLUMNS($G:AB)&gt;DAY(EOMONTH(DATE($C$7,MONTH(DATEVALUE("1 "&amp;$B$7)),1),0)),"",DATE($C$7,MONTH(DATEVALUE("1 "&amp;$B$7)),COLUMNS($G:AB)))</f>
        <v>46044</v>
      </c>
      <c r="AC11" s="6">
        <f>IF(COLUMNS($G:AC)&gt;DAY(EOMONTH(DATE($C$7,MONTH(DATEVALUE("1 "&amp;$B$7)),1),0)),"",DATE($C$7,MONTH(DATEVALUE("1 "&amp;$B$7)),COLUMNS($G:AC)))</f>
        <v>46045</v>
      </c>
      <c r="AD11" s="6">
        <f>IF(COLUMNS($G:AD)&gt;DAY(EOMONTH(DATE($C$7,MONTH(DATEVALUE("1 "&amp;$B$7)),1),0)),"",DATE($C$7,MONTH(DATEVALUE("1 "&amp;$B$7)),COLUMNS($G:AD)))</f>
        <v>46046</v>
      </c>
      <c r="AE11" s="6">
        <f>IF(COLUMNS($G:AE)&gt;DAY(EOMONTH(DATE($C$7,MONTH(DATEVALUE("1 "&amp;$B$7)),1),0)),"",DATE($C$7,MONTH(DATEVALUE("1 "&amp;$B$7)),COLUMNS($G:AE)))</f>
        <v>46047</v>
      </c>
      <c r="AF11" s="6">
        <f>IF(COLUMNS($G:AF)&gt;DAY(EOMONTH(DATE($C$7,MONTH(DATEVALUE("1 "&amp;$B$7)),1),0)),"",DATE($C$7,MONTH(DATEVALUE("1 "&amp;$B$7)),COLUMNS($G:AF)))</f>
        <v>46048</v>
      </c>
      <c r="AG11" s="6">
        <f>IF(COLUMNS($G:AG)&gt;DAY(EOMONTH(DATE($C$7,MONTH(DATEVALUE("1 "&amp;$B$7)),1),0)),"",DATE($C$7,MONTH(DATEVALUE("1 "&amp;$B$7)),COLUMNS($G:AG)))</f>
        <v>46049</v>
      </c>
      <c r="AH11" s="6">
        <f>IF(COLUMNS($G:AH)&gt;DAY(EOMONTH(DATE($C$7,MONTH(DATEVALUE("1 "&amp;$B$7)),1),0)),"",DATE($C$7,MONTH(DATEVALUE("1 "&amp;$B$7)),COLUMNS($G:AH)))</f>
        <v>46050</v>
      </c>
      <c r="AI11" s="6">
        <f>IF(COLUMNS($G:AI)&gt;DAY(EOMONTH(DATE($C$7,MONTH(DATEVALUE("1 "&amp;$B$7)),1),0)),"",DATE($C$7,MONTH(DATEVALUE("1 "&amp;$B$7)),COLUMNS($G:AI)))</f>
        <v>46051</v>
      </c>
      <c r="AJ11" s="6">
        <f>IF(COLUMNS($G:AJ)&gt;DAY(EOMONTH(DATE($C$7,MONTH(DATEVALUE("1 "&amp;$B$7)),1),0)),"",DATE($C$7,MONTH(DATEVALUE("1 "&amp;$B$7)),COLUMNS($G:AJ)))</f>
        <v>46052</v>
      </c>
      <c r="AK11" s="6">
        <f>IF(COLUMNS($G:AK)&gt;DAY(EOMONTH(DATE($C$7,MONTH(DATEVALUE("1 "&amp;$B$7)),1),0)),"",DATE($C$7,MONTH(DATEVALUE("1 "&amp;$B$7)),COLUMNS($G:AK)))</f>
        <v>46053</v>
      </c>
      <c r="AM11" s="22"/>
      <c r="AN11" s="22"/>
      <c r="AO11" s="22"/>
    </row>
    <row r="12" spans="2:44" x14ac:dyDescent="0.25">
      <c r="G12" s="3" t="str">
        <f>IF(G11="","",TEXT(G11,"ddd"))</f>
        <v>Thu</v>
      </c>
      <c r="H12" s="3" t="str">
        <f t="shared" ref="H12:AK12" si="0">IF(H11="","",TEXT(H11,"ddd"))</f>
        <v>Fri</v>
      </c>
      <c r="I12" s="3" t="str">
        <f t="shared" si="0"/>
        <v>Sat</v>
      </c>
      <c r="J12" s="3" t="str">
        <f t="shared" si="0"/>
        <v>Sun</v>
      </c>
      <c r="K12" s="3" t="str">
        <f t="shared" si="0"/>
        <v>Mon</v>
      </c>
      <c r="L12" s="3" t="str">
        <f t="shared" si="0"/>
        <v>Tue</v>
      </c>
      <c r="M12" s="3" t="str">
        <f t="shared" si="0"/>
        <v>Wed</v>
      </c>
      <c r="N12" s="3" t="str">
        <f t="shared" si="0"/>
        <v>Thu</v>
      </c>
      <c r="O12" s="3" t="str">
        <f t="shared" si="0"/>
        <v>Fri</v>
      </c>
      <c r="P12" s="3" t="str">
        <f t="shared" si="0"/>
        <v>Sat</v>
      </c>
      <c r="Q12" s="3" t="str">
        <f t="shared" si="0"/>
        <v>Sun</v>
      </c>
      <c r="R12" s="3" t="str">
        <f t="shared" si="0"/>
        <v>Mon</v>
      </c>
      <c r="S12" s="3" t="str">
        <f t="shared" si="0"/>
        <v>Tue</v>
      </c>
      <c r="T12" s="3" t="str">
        <f t="shared" si="0"/>
        <v>Wed</v>
      </c>
      <c r="U12" s="3" t="str">
        <f t="shared" si="0"/>
        <v>Thu</v>
      </c>
      <c r="V12" s="3" t="str">
        <f t="shared" si="0"/>
        <v>Fri</v>
      </c>
      <c r="W12" s="3" t="str">
        <f t="shared" si="0"/>
        <v>Sat</v>
      </c>
      <c r="X12" s="3" t="str">
        <f t="shared" si="0"/>
        <v>Sun</v>
      </c>
      <c r="Y12" s="3" t="str">
        <f t="shared" si="0"/>
        <v>Mon</v>
      </c>
      <c r="Z12" s="3" t="str">
        <f t="shared" si="0"/>
        <v>Tue</v>
      </c>
      <c r="AA12" s="3" t="str">
        <f t="shared" si="0"/>
        <v>Wed</v>
      </c>
      <c r="AB12" s="3" t="str">
        <f t="shared" si="0"/>
        <v>Thu</v>
      </c>
      <c r="AC12" s="3" t="str">
        <f t="shared" si="0"/>
        <v>Fri</v>
      </c>
      <c r="AD12" s="3" t="str">
        <f t="shared" si="0"/>
        <v>Sat</v>
      </c>
      <c r="AE12" s="3" t="str">
        <f t="shared" si="0"/>
        <v>Sun</v>
      </c>
      <c r="AF12" s="3" t="str">
        <f t="shared" si="0"/>
        <v>Mon</v>
      </c>
      <c r="AG12" s="3" t="str">
        <f t="shared" si="0"/>
        <v>Tue</v>
      </c>
      <c r="AH12" s="3" t="str">
        <f t="shared" si="0"/>
        <v>Wed</v>
      </c>
      <c r="AI12" s="3" t="str">
        <f t="shared" si="0"/>
        <v>Thu</v>
      </c>
      <c r="AJ12" s="3" t="str">
        <f t="shared" si="0"/>
        <v>Fri</v>
      </c>
      <c r="AK12" s="3" t="str">
        <f t="shared" si="0"/>
        <v>Sat</v>
      </c>
      <c r="AM12" s="23"/>
      <c r="AN12" s="23"/>
      <c r="AO12" s="23"/>
    </row>
    <row r="13" spans="2:44" ht="31.5" x14ac:dyDescent="0.5">
      <c r="B13" s="1">
        <v>1001</v>
      </c>
      <c r="C13" s="15" t="s">
        <v>12</v>
      </c>
      <c r="D13" s="16"/>
      <c r="E13" s="15"/>
      <c r="F13" s="17"/>
      <c r="G13" s="8" t="s">
        <v>50</v>
      </c>
      <c r="H13" s="8" t="s">
        <v>50</v>
      </c>
      <c r="I13" s="8" t="s">
        <v>50</v>
      </c>
      <c r="J13" s="8"/>
      <c r="K13" s="8" t="s">
        <v>50</v>
      </c>
      <c r="L13" s="8" t="s">
        <v>50</v>
      </c>
      <c r="M13" s="8" t="s">
        <v>51</v>
      </c>
      <c r="N13" s="8" t="s">
        <v>50</v>
      </c>
      <c r="O13" s="8" t="s">
        <v>50</v>
      </c>
      <c r="P13" s="8" t="s">
        <v>50</v>
      </c>
      <c r="Q13" s="8"/>
      <c r="R13" s="8" t="s">
        <v>50</v>
      </c>
      <c r="S13" s="8" t="s">
        <v>50</v>
      </c>
      <c r="T13" s="8" t="s">
        <v>50</v>
      </c>
      <c r="U13" s="8" t="s">
        <v>50</v>
      </c>
      <c r="V13" s="8" t="s">
        <v>50</v>
      </c>
      <c r="W13" s="8" t="s">
        <v>50</v>
      </c>
      <c r="X13" s="8"/>
      <c r="Y13" s="8" t="s">
        <v>50</v>
      </c>
      <c r="Z13" s="8" t="s">
        <v>50</v>
      </c>
      <c r="AA13" s="8" t="s">
        <v>50</v>
      </c>
      <c r="AB13" s="8" t="s">
        <v>50</v>
      </c>
      <c r="AC13" s="8" t="s">
        <v>50</v>
      </c>
      <c r="AD13" s="8" t="s">
        <v>50</v>
      </c>
      <c r="AE13" s="8"/>
      <c r="AF13" s="8" t="s">
        <v>50</v>
      </c>
      <c r="AG13" s="8" t="s">
        <v>50</v>
      </c>
      <c r="AH13" s="8" t="s">
        <v>50</v>
      </c>
      <c r="AI13" s="8" t="s">
        <v>50</v>
      </c>
      <c r="AJ13" s="8" t="s">
        <v>50</v>
      </c>
      <c r="AK13" s="8" t="s">
        <v>50</v>
      </c>
      <c r="AL13" s="4" t="s">
        <v>49</v>
      </c>
      <c r="AM13" s="5">
        <f>COUNTIF($G13:$AK13,"P")</f>
        <v>26</v>
      </c>
      <c r="AN13" s="5">
        <f>COUNTIF($G13:$AK13,"AB")</f>
        <v>1</v>
      </c>
      <c r="AO13" s="18">
        <f>SUMPRODUCT(--($G$11:$AK$11&lt;&gt;""),--($G$12:$AK$12&lt;&gt;"Sun"))</f>
        <v>27</v>
      </c>
      <c r="AP13" s="19"/>
      <c r="AQ13" s="20">
        <f>IF(AO13=0,"",AM13/AO13)</f>
        <v>0.96296296296296291</v>
      </c>
      <c r="AR13" s="21"/>
    </row>
    <row r="14" spans="2:44" ht="31.5" x14ac:dyDescent="0.5">
      <c r="B14" s="1">
        <v>1002</v>
      </c>
      <c r="C14" s="15" t="s">
        <v>13</v>
      </c>
      <c r="D14" s="16"/>
      <c r="E14" s="15"/>
      <c r="F14" s="17"/>
      <c r="G14" s="8" t="s">
        <v>50</v>
      </c>
      <c r="H14" s="8" t="s">
        <v>50</v>
      </c>
      <c r="I14" s="8" t="s">
        <v>50</v>
      </c>
      <c r="J14" s="8"/>
      <c r="K14" s="8" t="s">
        <v>50</v>
      </c>
      <c r="L14" s="8" t="s">
        <v>50</v>
      </c>
      <c r="M14" s="8" t="s">
        <v>50</v>
      </c>
      <c r="N14" s="8" t="s">
        <v>50</v>
      </c>
      <c r="O14" s="8" t="s">
        <v>50</v>
      </c>
      <c r="P14" s="8" t="s">
        <v>50</v>
      </c>
      <c r="Q14" s="8"/>
      <c r="R14" s="8" t="s">
        <v>50</v>
      </c>
      <c r="S14" s="8" t="s">
        <v>50</v>
      </c>
      <c r="T14" s="8" t="s">
        <v>50</v>
      </c>
      <c r="U14" s="8" t="s">
        <v>50</v>
      </c>
      <c r="V14" s="8" t="s">
        <v>50</v>
      </c>
      <c r="W14" s="8" t="s">
        <v>50</v>
      </c>
      <c r="X14" s="8"/>
      <c r="Y14" s="8" t="s">
        <v>50</v>
      </c>
      <c r="Z14" s="8" t="s">
        <v>50</v>
      </c>
      <c r="AA14" s="8" t="s">
        <v>50</v>
      </c>
      <c r="AB14" s="8" t="s">
        <v>50</v>
      </c>
      <c r="AC14" s="8" t="s">
        <v>50</v>
      </c>
      <c r="AD14" s="8" t="s">
        <v>50</v>
      </c>
      <c r="AE14" s="8"/>
      <c r="AF14" s="8" t="s">
        <v>50</v>
      </c>
      <c r="AG14" s="8" t="s">
        <v>50</v>
      </c>
      <c r="AH14" s="8" t="s">
        <v>50</v>
      </c>
      <c r="AI14" s="8" t="s">
        <v>50</v>
      </c>
      <c r="AJ14" s="8" t="s">
        <v>50</v>
      </c>
      <c r="AK14" s="8" t="s">
        <v>50</v>
      </c>
      <c r="AL14" s="4" t="s">
        <v>49</v>
      </c>
      <c r="AM14" s="5">
        <f t="shared" ref="AM14:AM50" si="1">COUNTIF($G14:$AK14,"P")</f>
        <v>27</v>
      </c>
      <c r="AN14" s="5">
        <f t="shared" ref="AN14:AN50" si="2">COUNTIF($G14:$AK14,"AB")</f>
        <v>0</v>
      </c>
      <c r="AO14" s="18">
        <f t="shared" ref="AO14:AO50" si="3">SUMPRODUCT(--($G$11:$AK$11&lt;&gt;""),--($G$12:$AK$12&lt;&gt;"Sun"))</f>
        <v>27</v>
      </c>
      <c r="AP14" s="19"/>
      <c r="AQ14" s="20">
        <f t="shared" ref="AQ14:AQ50" si="4">IF(AO14=0,"",AM14/AO14)</f>
        <v>1</v>
      </c>
      <c r="AR14" s="21"/>
    </row>
    <row r="15" spans="2:44" ht="31.5" x14ac:dyDescent="0.5">
      <c r="B15" s="1">
        <v>1003</v>
      </c>
      <c r="C15" s="15" t="s">
        <v>14</v>
      </c>
      <c r="D15" s="16"/>
      <c r="E15" s="15"/>
      <c r="F15" s="17"/>
      <c r="G15" s="8" t="s">
        <v>50</v>
      </c>
      <c r="H15" s="8" t="s">
        <v>50</v>
      </c>
      <c r="I15" s="8" t="s">
        <v>50</v>
      </c>
      <c r="J15" s="8"/>
      <c r="K15" s="8" t="s">
        <v>50</v>
      </c>
      <c r="L15" s="8" t="s">
        <v>50</v>
      </c>
      <c r="M15" s="8" t="s">
        <v>50</v>
      </c>
      <c r="N15" s="8" t="s">
        <v>50</v>
      </c>
      <c r="O15" s="8" t="s">
        <v>50</v>
      </c>
      <c r="P15" s="8" t="s">
        <v>50</v>
      </c>
      <c r="Q15" s="8"/>
      <c r="R15" s="8" t="s">
        <v>50</v>
      </c>
      <c r="S15" s="8" t="s">
        <v>50</v>
      </c>
      <c r="T15" s="8" t="s">
        <v>50</v>
      </c>
      <c r="U15" s="8" t="s">
        <v>50</v>
      </c>
      <c r="V15" s="8" t="s">
        <v>50</v>
      </c>
      <c r="W15" s="8" t="s">
        <v>50</v>
      </c>
      <c r="X15" s="8"/>
      <c r="Y15" s="8" t="s">
        <v>50</v>
      </c>
      <c r="Z15" s="8" t="s">
        <v>50</v>
      </c>
      <c r="AA15" s="8" t="s">
        <v>50</v>
      </c>
      <c r="AB15" s="8" t="s">
        <v>50</v>
      </c>
      <c r="AC15" s="8" t="s">
        <v>50</v>
      </c>
      <c r="AD15" s="8" t="s">
        <v>50</v>
      </c>
      <c r="AE15" s="8"/>
      <c r="AF15" s="8" t="s">
        <v>50</v>
      </c>
      <c r="AG15" s="8" t="s">
        <v>50</v>
      </c>
      <c r="AH15" s="8" t="s">
        <v>50</v>
      </c>
      <c r="AI15" s="8" t="s">
        <v>50</v>
      </c>
      <c r="AJ15" s="8" t="s">
        <v>50</v>
      </c>
      <c r="AK15" s="8" t="s">
        <v>50</v>
      </c>
      <c r="AL15" s="4" t="s">
        <v>49</v>
      </c>
      <c r="AM15" s="5">
        <f t="shared" si="1"/>
        <v>27</v>
      </c>
      <c r="AN15" s="5">
        <f t="shared" si="2"/>
        <v>0</v>
      </c>
      <c r="AO15" s="18">
        <f t="shared" si="3"/>
        <v>27</v>
      </c>
      <c r="AP15" s="19"/>
      <c r="AQ15" s="20">
        <f t="shared" si="4"/>
        <v>1</v>
      </c>
      <c r="AR15" s="21"/>
    </row>
    <row r="16" spans="2:44" ht="31.5" x14ac:dyDescent="0.5">
      <c r="B16" s="1">
        <v>1004</v>
      </c>
      <c r="C16" s="15" t="s">
        <v>15</v>
      </c>
      <c r="D16" s="16"/>
      <c r="E16" s="15"/>
      <c r="F16" s="17"/>
      <c r="G16" s="8" t="s">
        <v>50</v>
      </c>
      <c r="H16" s="8" t="s">
        <v>50</v>
      </c>
      <c r="I16" s="8" t="s">
        <v>50</v>
      </c>
      <c r="J16" s="8"/>
      <c r="K16" s="8" t="s">
        <v>50</v>
      </c>
      <c r="L16" s="8" t="s">
        <v>50</v>
      </c>
      <c r="M16" s="8" t="s">
        <v>50</v>
      </c>
      <c r="N16" s="8" t="s">
        <v>50</v>
      </c>
      <c r="O16" s="8" t="s">
        <v>50</v>
      </c>
      <c r="P16" s="8" t="s">
        <v>50</v>
      </c>
      <c r="Q16" s="8"/>
      <c r="R16" s="8" t="s">
        <v>50</v>
      </c>
      <c r="S16" s="8" t="s">
        <v>50</v>
      </c>
      <c r="T16" s="8" t="s">
        <v>50</v>
      </c>
      <c r="U16" s="8" t="s">
        <v>50</v>
      </c>
      <c r="V16" s="8" t="s">
        <v>50</v>
      </c>
      <c r="W16" s="8" t="s">
        <v>50</v>
      </c>
      <c r="X16" s="8"/>
      <c r="Y16" s="8" t="s">
        <v>50</v>
      </c>
      <c r="Z16" s="8" t="s">
        <v>50</v>
      </c>
      <c r="AA16" s="8" t="s">
        <v>50</v>
      </c>
      <c r="AB16" s="8" t="s">
        <v>51</v>
      </c>
      <c r="AC16" s="8" t="s">
        <v>50</v>
      </c>
      <c r="AD16" s="8" t="s">
        <v>50</v>
      </c>
      <c r="AE16" s="8"/>
      <c r="AF16" s="8" t="s">
        <v>50</v>
      </c>
      <c r="AG16" s="8" t="s">
        <v>50</v>
      </c>
      <c r="AH16" s="8" t="s">
        <v>50</v>
      </c>
      <c r="AI16" s="8" t="s">
        <v>50</v>
      </c>
      <c r="AJ16" s="8" t="s">
        <v>50</v>
      </c>
      <c r="AK16" s="8" t="s">
        <v>50</v>
      </c>
      <c r="AL16" s="4" t="s">
        <v>49</v>
      </c>
      <c r="AM16" s="5">
        <f t="shared" si="1"/>
        <v>26</v>
      </c>
      <c r="AN16" s="5">
        <f t="shared" si="2"/>
        <v>1</v>
      </c>
      <c r="AO16" s="18">
        <f t="shared" si="3"/>
        <v>27</v>
      </c>
      <c r="AP16" s="19"/>
      <c r="AQ16" s="20">
        <f t="shared" si="4"/>
        <v>0.96296296296296291</v>
      </c>
      <c r="AR16" s="21"/>
    </row>
    <row r="17" spans="2:44" ht="31.5" x14ac:dyDescent="0.5">
      <c r="B17" s="1">
        <v>1005</v>
      </c>
      <c r="C17" s="15" t="s">
        <v>16</v>
      </c>
      <c r="D17" s="16"/>
      <c r="E17" s="15"/>
      <c r="F17" s="17"/>
      <c r="G17" s="8" t="s">
        <v>50</v>
      </c>
      <c r="H17" s="8" t="s">
        <v>50</v>
      </c>
      <c r="I17" s="8" t="s">
        <v>50</v>
      </c>
      <c r="J17" s="8"/>
      <c r="K17" s="8" t="s">
        <v>50</v>
      </c>
      <c r="L17" s="8" t="s">
        <v>50</v>
      </c>
      <c r="M17" s="8" t="s">
        <v>50</v>
      </c>
      <c r="N17" s="8" t="s">
        <v>51</v>
      </c>
      <c r="O17" s="8" t="s">
        <v>50</v>
      </c>
      <c r="P17" s="8" t="s">
        <v>50</v>
      </c>
      <c r="Q17" s="8"/>
      <c r="R17" s="8" t="s">
        <v>50</v>
      </c>
      <c r="S17" s="8" t="s">
        <v>50</v>
      </c>
      <c r="T17" s="8" t="s">
        <v>50</v>
      </c>
      <c r="U17" s="8" t="s">
        <v>50</v>
      </c>
      <c r="V17" s="8" t="s">
        <v>50</v>
      </c>
      <c r="W17" s="8" t="s">
        <v>50</v>
      </c>
      <c r="X17" s="8"/>
      <c r="Y17" s="8" t="s">
        <v>50</v>
      </c>
      <c r="Z17" s="8" t="s">
        <v>50</v>
      </c>
      <c r="AA17" s="8" t="s">
        <v>50</v>
      </c>
      <c r="AB17" s="8" t="s">
        <v>51</v>
      </c>
      <c r="AC17" s="8" t="s">
        <v>50</v>
      </c>
      <c r="AD17" s="8" t="s">
        <v>50</v>
      </c>
      <c r="AE17" s="8"/>
      <c r="AF17" s="8" t="s">
        <v>50</v>
      </c>
      <c r="AG17" s="8" t="s">
        <v>50</v>
      </c>
      <c r="AH17" s="8" t="s">
        <v>50</v>
      </c>
      <c r="AI17" s="8" t="s">
        <v>50</v>
      </c>
      <c r="AJ17" s="8" t="s">
        <v>50</v>
      </c>
      <c r="AK17" s="8" t="s">
        <v>50</v>
      </c>
      <c r="AL17" s="4" t="s">
        <v>49</v>
      </c>
      <c r="AM17" s="5">
        <f t="shared" si="1"/>
        <v>25</v>
      </c>
      <c r="AN17" s="5">
        <f t="shared" si="2"/>
        <v>2</v>
      </c>
      <c r="AO17" s="18">
        <f t="shared" si="3"/>
        <v>27</v>
      </c>
      <c r="AP17" s="19"/>
      <c r="AQ17" s="20">
        <f t="shared" si="4"/>
        <v>0.92592592592592593</v>
      </c>
      <c r="AR17" s="21"/>
    </row>
    <row r="18" spans="2:44" ht="31.5" x14ac:dyDescent="0.5">
      <c r="B18" s="1">
        <v>1006</v>
      </c>
      <c r="C18" s="15" t="s">
        <v>17</v>
      </c>
      <c r="D18" s="16"/>
      <c r="E18" s="15"/>
      <c r="F18" s="17"/>
      <c r="G18" s="8" t="s">
        <v>50</v>
      </c>
      <c r="H18" s="8" t="s">
        <v>50</v>
      </c>
      <c r="I18" s="8" t="s">
        <v>50</v>
      </c>
      <c r="J18" s="8"/>
      <c r="K18" s="8" t="s">
        <v>50</v>
      </c>
      <c r="L18" s="8" t="s">
        <v>50</v>
      </c>
      <c r="M18" s="8" t="s">
        <v>50</v>
      </c>
      <c r="N18" s="8" t="s">
        <v>50</v>
      </c>
      <c r="O18" s="8" t="s">
        <v>50</v>
      </c>
      <c r="P18" s="8" t="s">
        <v>50</v>
      </c>
      <c r="Q18" s="8"/>
      <c r="R18" s="8" t="s">
        <v>50</v>
      </c>
      <c r="S18" s="8" t="s">
        <v>50</v>
      </c>
      <c r="T18" s="8" t="s">
        <v>50</v>
      </c>
      <c r="U18" s="8" t="s">
        <v>50</v>
      </c>
      <c r="V18" s="8" t="s">
        <v>50</v>
      </c>
      <c r="W18" s="8" t="s">
        <v>50</v>
      </c>
      <c r="X18" s="8"/>
      <c r="Y18" s="8" t="s">
        <v>50</v>
      </c>
      <c r="Z18" s="8" t="s">
        <v>50</v>
      </c>
      <c r="AA18" s="8" t="s">
        <v>50</v>
      </c>
      <c r="AB18" s="8" t="s">
        <v>50</v>
      </c>
      <c r="AC18" s="8" t="s">
        <v>50</v>
      </c>
      <c r="AD18" s="8" t="s">
        <v>50</v>
      </c>
      <c r="AE18" s="8"/>
      <c r="AF18" s="8" t="s">
        <v>50</v>
      </c>
      <c r="AG18" s="8" t="s">
        <v>50</v>
      </c>
      <c r="AH18" s="8" t="s">
        <v>50</v>
      </c>
      <c r="AI18" s="8" t="s">
        <v>50</v>
      </c>
      <c r="AJ18" s="8" t="s">
        <v>50</v>
      </c>
      <c r="AK18" s="8" t="s">
        <v>50</v>
      </c>
      <c r="AL18" s="4" t="s">
        <v>49</v>
      </c>
      <c r="AM18" s="5">
        <f t="shared" si="1"/>
        <v>27</v>
      </c>
      <c r="AN18" s="5">
        <f t="shared" si="2"/>
        <v>0</v>
      </c>
      <c r="AO18" s="18">
        <f t="shared" si="3"/>
        <v>27</v>
      </c>
      <c r="AP18" s="19"/>
      <c r="AQ18" s="20">
        <f t="shared" si="4"/>
        <v>1</v>
      </c>
      <c r="AR18" s="21"/>
    </row>
    <row r="19" spans="2:44" ht="31.5" x14ac:dyDescent="0.5">
      <c r="B19" s="1">
        <v>1007</v>
      </c>
      <c r="C19" s="15" t="s">
        <v>18</v>
      </c>
      <c r="D19" s="16"/>
      <c r="E19" s="15"/>
      <c r="F19" s="17"/>
      <c r="G19" s="8" t="s">
        <v>50</v>
      </c>
      <c r="H19" s="8" t="s">
        <v>50</v>
      </c>
      <c r="I19" s="8" t="s">
        <v>50</v>
      </c>
      <c r="J19" s="8"/>
      <c r="K19" s="8" t="s">
        <v>50</v>
      </c>
      <c r="L19" s="8" t="s">
        <v>50</v>
      </c>
      <c r="M19" s="8" t="s">
        <v>50</v>
      </c>
      <c r="N19" s="8" t="s">
        <v>50</v>
      </c>
      <c r="O19" s="8" t="s">
        <v>50</v>
      </c>
      <c r="P19" s="8" t="s">
        <v>50</v>
      </c>
      <c r="Q19" s="8"/>
      <c r="R19" s="8" t="s">
        <v>50</v>
      </c>
      <c r="S19" s="8" t="s">
        <v>50</v>
      </c>
      <c r="T19" s="8" t="s">
        <v>50</v>
      </c>
      <c r="U19" s="8" t="s">
        <v>50</v>
      </c>
      <c r="V19" s="8" t="s">
        <v>50</v>
      </c>
      <c r="W19" s="8" t="s">
        <v>50</v>
      </c>
      <c r="X19" s="8"/>
      <c r="Y19" s="8" t="s">
        <v>50</v>
      </c>
      <c r="Z19" s="8" t="s">
        <v>50</v>
      </c>
      <c r="AA19" s="8" t="s">
        <v>50</v>
      </c>
      <c r="AB19" s="8" t="s">
        <v>51</v>
      </c>
      <c r="AC19" s="8" t="s">
        <v>50</v>
      </c>
      <c r="AD19" s="8" t="s">
        <v>50</v>
      </c>
      <c r="AE19" s="8"/>
      <c r="AF19" s="8" t="s">
        <v>50</v>
      </c>
      <c r="AG19" s="8" t="s">
        <v>50</v>
      </c>
      <c r="AH19" s="8" t="s">
        <v>51</v>
      </c>
      <c r="AI19" s="8" t="s">
        <v>50</v>
      </c>
      <c r="AJ19" s="8" t="s">
        <v>50</v>
      </c>
      <c r="AK19" s="8" t="s">
        <v>50</v>
      </c>
      <c r="AL19" s="4" t="s">
        <v>49</v>
      </c>
      <c r="AM19" s="5">
        <f t="shared" si="1"/>
        <v>25</v>
      </c>
      <c r="AN19" s="5">
        <f t="shared" si="2"/>
        <v>2</v>
      </c>
      <c r="AO19" s="18">
        <f t="shared" si="3"/>
        <v>27</v>
      </c>
      <c r="AP19" s="19"/>
      <c r="AQ19" s="20">
        <f t="shared" si="4"/>
        <v>0.92592592592592593</v>
      </c>
      <c r="AR19" s="21"/>
    </row>
    <row r="20" spans="2:44" ht="31.5" x14ac:dyDescent="0.5">
      <c r="B20" s="1">
        <v>1008</v>
      </c>
      <c r="C20" s="15" t="s">
        <v>19</v>
      </c>
      <c r="D20" s="16"/>
      <c r="E20" s="15"/>
      <c r="F20" s="17"/>
      <c r="G20" s="8" t="s">
        <v>50</v>
      </c>
      <c r="H20" s="8" t="s">
        <v>50</v>
      </c>
      <c r="I20" s="8" t="s">
        <v>50</v>
      </c>
      <c r="J20" s="8"/>
      <c r="K20" s="8" t="s">
        <v>50</v>
      </c>
      <c r="L20" s="8" t="s">
        <v>50</v>
      </c>
      <c r="M20" s="8" t="s">
        <v>50</v>
      </c>
      <c r="N20" s="8" t="s">
        <v>50</v>
      </c>
      <c r="O20" s="8" t="s">
        <v>50</v>
      </c>
      <c r="P20" s="8" t="s">
        <v>50</v>
      </c>
      <c r="Q20" s="8"/>
      <c r="R20" s="8" t="s">
        <v>50</v>
      </c>
      <c r="S20" s="8" t="s">
        <v>50</v>
      </c>
      <c r="T20" s="8" t="s">
        <v>50</v>
      </c>
      <c r="U20" s="8" t="s">
        <v>50</v>
      </c>
      <c r="V20" s="8" t="s">
        <v>50</v>
      </c>
      <c r="W20" s="8" t="s">
        <v>50</v>
      </c>
      <c r="X20" s="8"/>
      <c r="Y20" s="8" t="s">
        <v>50</v>
      </c>
      <c r="Z20" s="8" t="s">
        <v>50</v>
      </c>
      <c r="AA20" s="8" t="s">
        <v>50</v>
      </c>
      <c r="AB20" s="8" t="s">
        <v>50</v>
      </c>
      <c r="AC20" s="8" t="s">
        <v>50</v>
      </c>
      <c r="AD20" s="8" t="s">
        <v>50</v>
      </c>
      <c r="AE20" s="8"/>
      <c r="AF20" s="8" t="s">
        <v>50</v>
      </c>
      <c r="AG20" s="8" t="s">
        <v>50</v>
      </c>
      <c r="AH20" s="8" t="s">
        <v>50</v>
      </c>
      <c r="AI20" s="8" t="s">
        <v>50</v>
      </c>
      <c r="AJ20" s="8" t="s">
        <v>50</v>
      </c>
      <c r="AK20" s="8" t="s">
        <v>50</v>
      </c>
      <c r="AL20" s="4" t="s">
        <v>49</v>
      </c>
      <c r="AM20" s="5">
        <f t="shared" si="1"/>
        <v>27</v>
      </c>
      <c r="AN20" s="5">
        <f t="shared" si="2"/>
        <v>0</v>
      </c>
      <c r="AO20" s="18">
        <f t="shared" si="3"/>
        <v>27</v>
      </c>
      <c r="AP20" s="19"/>
      <c r="AQ20" s="20">
        <f t="shared" si="4"/>
        <v>1</v>
      </c>
      <c r="AR20" s="21"/>
    </row>
    <row r="21" spans="2:44" ht="31.5" x14ac:dyDescent="0.5">
      <c r="B21" s="1">
        <v>1009</v>
      </c>
      <c r="C21" s="15" t="s">
        <v>20</v>
      </c>
      <c r="D21" s="16"/>
      <c r="E21" s="15"/>
      <c r="F21" s="17"/>
      <c r="G21" s="8" t="s">
        <v>51</v>
      </c>
      <c r="H21" s="8" t="s">
        <v>50</v>
      </c>
      <c r="I21" s="8" t="s">
        <v>50</v>
      </c>
      <c r="J21" s="8"/>
      <c r="K21" s="8" t="s">
        <v>50</v>
      </c>
      <c r="L21" s="8" t="s">
        <v>50</v>
      </c>
      <c r="M21" s="8" t="s">
        <v>50</v>
      </c>
      <c r="N21" s="8" t="s">
        <v>50</v>
      </c>
      <c r="O21" s="8" t="s">
        <v>50</v>
      </c>
      <c r="P21" s="8" t="s">
        <v>50</v>
      </c>
      <c r="Q21" s="8"/>
      <c r="R21" s="8" t="s">
        <v>50</v>
      </c>
      <c r="S21" s="8" t="s">
        <v>50</v>
      </c>
      <c r="T21" s="8" t="s">
        <v>50</v>
      </c>
      <c r="U21" s="8" t="s">
        <v>50</v>
      </c>
      <c r="V21" s="8" t="s">
        <v>50</v>
      </c>
      <c r="W21" s="8" t="s">
        <v>50</v>
      </c>
      <c r="X21" s="8"/>
      <c r="Y21" s="8" t="s">
        <v>50</v>
      </c>
      <c r="Z21" s="8" t="s">
        <v>50</v>
      </c>
      <c r="AA21" s="8" t="s">
        <v>50</v>
      </c>
      <c r="AB21" s="8" t="s">
        <v>50</v>
      </c>
      <c r="AC21" s="8" t="s">
        <v>50</v>
      </c>
      <c r="AD21" s="8" t="s">
        <v>50</v>
      </c>
      <c r="AE21" s="8"/>
      <c r="AF21" s="8" t="s">
        <v>50</v>
      </c>
      <c r="AG21" s="8" t="s">
        <v>50</v>
      </c>
      <c r="AH21" s="8" t="s">
        <v>50</v>
      </c>
      <c r="AI21" s="8" t="s">
        <v>50</v>
      </c>
      <c r="AJ21" s="8" t="s">
        <v>50</v>
      </c>
      <c r="AK21" s="8" t="s">
        <v>50</v>
      </c>
      <c r="AL21" s="4" t="s">
        <v>49</v>
      </c>
      <c r="AM21" s="5">
        <f t="shared" si="1"/>
        <v>26</v>
      </c>
      <c r="AN21" s="5">
        <f t="shared" si="2"/>
        <v>1</v>
      </c>
      <c r="AO21" s="18">
        <f t="shared" si="3"/>
        <v>27</v>
      </c>
      <c r="AP21" s="19"/>
      <c r="AQ21" s="20">
        <f t="shared" si="4"/>
        <v>0.96296296296296291</v>
      </c>
      <c r="AR21" s="21"/>
    </row>
    <row r="22" spans="2:44" ht="31.5" x14ac:dyDescent="0.5">
      <c r="B22" s="1">
        <v>1010</v>
      </c>
      <c r="C22" s="15" t="s">
        <v>21</v>
      </c>
      <c r="D22" s="16"/>
      <c r="E22" s="15"/>
      <c r="F22" s="17"/>
      <c r="G22" s="8" t="s">
        <v>50</v>
      </c>
      <c r="H22" s="8" t="s">
        <v>50</v>
      </c>
      <c r="I22" s="8" t="s">
        <v>50</v>
      </c>
      <c r="J22" s="8"/>
      <c r="K22" s="8" t="s">
        <v>50</v>
      </c>
      <c r="L22" s="8" t="s">
        <v>50</v>
      </c>
      <c r="M22" s="8" t="s">
        <v>50</v>
      </c>
      <c r="N22" s="8" t="s">
        <v>50</v>
      </c>
      <c r="O22" s="8" t="s">
        <v>50</v>
      </c>
      <c r="P22" s="8" t="s">
        <v>50</v>
      </c>
      <c r="Q22" s="8"/>
      <c r="R22" s="8" t="s">
        <v>50</v>
      </c>
      <c r="S22" s="8" t="s">
        <v>50</v>
      </c>
      <c r="T22" s="8" t="s">
        <v>50</v>
      </c>
      <c r="U22" s="8" t="s">
        <v>50</v>
      </c>
      <c r="V22" s="8" t="s">
        <v>50</v>
      </c>
      <c r="W22" s="8" t="s">
        <v>50</v>
      </c>
      <c r="X22" s="8"/>
      <c r="Y22" s="8" t="s">
        <v>50</v>
      </c>
      <c r="Z22" s="8" t="s">
        <v>50</v>
      </c>
      <c r="AA22" s="8" t="s">
        <v>50</v>
      </c>
      <c r="AB22" s="8" t="s">
        <v>50</v>
      </c>
      <c r="AC22" s="8" t="s">
        <v>50</v>
      </c>
      <c r="AD22" s="8" t="s">
        <v>50</v>
      </c>
      <c r="AE22" s="8"/>
      <c r="AF22" s="8" t="s">
        <v>50</v>
      </c>
      <c r="AG22" s="8" t="s">
        <v>50</v>
      </c>
      <c r="AH22" s="8" t="s">
        <v>50</v>
      </c>
      <c r="AI22" s="8" t="s">
        <v>50</v>
      </c>
      <c r="AJ22" s="8" t="s">
        <v>50</v>
      </c>
      <c r="AK22" s="8" t="s">
        <v>50</v>
      </c>
      <c r="AL22" s="4" t="s">
        <v>49</v>
      </c>
      <c r="AM22" s="5">
        <f t="shared" si="1"/>
        <v>27</v>
      </c>
      <c r="AN22" s="5">
        <f t="shared" si="2"/>
        <v>0</v>
      </c>
      <c r="AO22" s="18">
        <f t="shared" si="3"/>
        <v>27</v>
      </c>
      <c r="AP22" s="19"/>
      <c r="AQ22" s="20">
        <f t="shared" si="4"/>
        <v>1</v>
      </c>
      <c r="AR22" s="21"/>
    </row>
    <row r="23" spans="2:44" ht="31.5" x14ac:dyDescent="0.5">
      <c r="B23" s="1">
        <v>1011</v>
      </c>
      <c r="C23" s="15" t="s">
        <v>22</v>
      </c>
      <c r="D23" s="16"/>
      <c r="E23" s="15"/>
      <c r="F23" s="17"/>
      <c r="G23" s="8" t="s">
        <v>50</v>
      </c>
      <c r="H23" s="8" t="s">
        <v>50</v>
      </c>
      <c r="I23" s="8" t="s">
        <v>50</v>
      </c>
      <c r="J23" s="8"/>
      <c r="K23" s="8" t="s">
        <v>50</v>
      </c>
      <c r="L23" s="8" t="s">
        <v>50</v>
      </c>
      <c r="M23" s="8" t="s">
        <v>50</v>
      </c>
      <c r="N23" s="8" t="s">
        <v>50</v>
      </c>
      <c r="O23" s="8" t="s">
        <v>50</v>
      </c>
      <c r="P23" s="8" t="s">
        <v>50</v>
      </c>
      <c r="Q23" s="8"/>
      <c r="R23" s="8" t="s">
        <v>50</v>
      </c>
      <c r="S23" s="8" t="s">
        <v>50</v>
      </c>
      <c r="T23" s="8" t="s">
        <v>50</v>
      </c>
      <c r="U23" s="8" t="s">
        <v>50</v>
      </c>
      <c r="V23" s="8" t="s">
        <v>50</v>
      </c>
      <c r="W23" s="8" t="s">
        <v>50</v>
      </c>
      <c r="X23" s="8"/>
      <c r="Y23" s="8" t="s">
        <v>50</v>
      </c>
      <c r="Z23" s="8" t="s">
        <v>50</v>
      </c>
      <c r="AA23" s="8" t="s">
        <v>51</v>
      </c>
      <c r="AB23" s="8" t="s">
        <v>50</v>
      </c>
      <c r="AC23" s="8" t="s">
        <v>50</v>
      </c>
      <c r="AD23" s="8" t="s">
        <v>50</v>
      </c>
      <c r="AE23" s="8"/>
      <c r="AF23" s="8" t="s">
        <v>50</v>
      </c>
      <c r="AG23" s="8" t="s">
        <v>50</v>
      </c>
      <c r="AH23" s="8" t="s">
        <v>50</v>
      </c>
      <c r="AI23" s="8" t="s">
        <v>50</v>
      </c>
      <c r="AJ23" s="8" t="s">
        <v>50</v>
      </c>
      <c r="AK23" s="8" t="s">
        <v>50</v>
      </c>
      <c r="AL23" s="4" t="s">
        <v>49</v>
      </c>
      <c r="AM23" s="5">
        <f t="shared" si="1"/>
        <v>26</v>
      </c>
      <c r="AN23" s="5">
        <f t="shared" si="2"/>
        <v>1</v>
      </c>
      <c r="AO23" s="18">
        <f t="shared" si="3"/>
        <v>27</v>
      </c>
      <c r="AP23" s="19"/>
      <c r="AQ23" s="20">
        <f t="shared" si="4"/>
        <v>0.96296296296296291</v>
      </c>
      <c r="AR23" s="21"/>
    </row>
    <row r="24" spans="2:44" ht="31.5" x14ac:dyDescent="0.5">
      <c r="B24" s="1">
        <v>1012</v>
      </c>
      <c r="C24" s="15" t="s">
        <v>23</v>
      </c>
      <c r="D24" s="16"/>
      <c r="E24" s="15"/>
      <c r="F24" s="17"/>
      <c r="G24" s="8" t="s">
        <v>50</v>
      </c>
      <c r="H24" s="8" t="s">
        <v>50</v>
      </c>
      <c r="I24" s="8" t="s">
        <v>50</v>
      </c>
      <c r="J24" s="8"/>
      <c r="K24" s="8" t="s">
        <v>50</v>
      </c>
      <c r="L24" s="8" t="s">
        <v>50</v>
      </c>
      <c r="M24" s="8" t="s">
        <v>50</v>
      </c>
      <c r="N24" s="8" t="s">
        <v>50</v>
      </c>
      <c r="O24" s="8" t="s">
        <v>50</v>
      </c>
      <c r="P24" s="8" t="s">
        <v>50</v>
      </c>
      <c r="Q24" s="8"/>
      <c r="R24" s="8" t="s">
        <v>50</v>
      </c>
      <c r="S24" s="8" t="s">
        <v>50</v>
      </c>
      <c r="T24" s="8" t="s">
        <v>50</v>
      </c>
      <c r="U24" s="8" t="s">
        <v>50</v>
      </c>
      <c r="V24" s="8" t="s">
        <v>50</v>
      </c>
      <c r="W24" s="8" t="s">
        <v>50</v>
      </c>
      <c r="X24" s="8"/>
      <c r="Y24" s="8" t="s">
        <v>50</v>
      </c>
      <c r="Z24" s="8" t="s">
        <v>50</v>
      </c>
      <c r="AA24" s="8" t="s">
        <v>50</v>
      </c>
      <c r="AB24" s="8" t="s">
        <v>50</v>
      </c>
      <c r="AC24" s="8" t="s">
        <v>50</v>
      </c>
      <c r="AD24" s="8" t="s">
        <v>50</v>
      </c>
      <c r="AE24" s="8"/>
      <c r="AF24" s="8" t="s">
        <v>50</v>
      </c>
      <c r="AG24" s="8" t="s">
        <v>50</v>
      </c>
      <c r="AH24" s="8" t="s">
        <v>50</v>
      </c>
      <c r="AI24" s="8" t="s">
        <v>50</v>
      </c>
      <c r="AJ24" s="8" t="s">
        <v>50</v>
      </c>
      <c r="AK24" s="8" t="s">
        <v>50</v>
      </c>
      <c r="AL24" s="4" t="s">
        <v>49</v>
      </c>
      <c r="AM24" s="5">
        <f t="shared" si="1"/>
        <v>27</v>
      </c>
      <c r="AN24" s="5">
        <f t="shared" si="2"/>
        <v>0</v>
      </c>
      <c r="AO24" s="18">
        <f t="shared" si="3"/>
        <v>27</v>
      </c>
      <c r="AP24" s="19"/>
      <c r="AQ24" s="20">
        <f t="shared" si="4"/>
        <v>1</v>
      </c>
      <c r="AR24" s="21"/>
    </row>
    <row r="25" spans="2:44" ht="31.5" x14ac:dyDescent="0.5">
      <c r="B25" s="1">
        <v>1013</v>
      </c>
      <c r="C25" s="15" t="s">
        <v>24</v>
      </c>
      <c r="D25" s="16"/>
      <c r="E25" s="15"/>
      <c r="F25" s="17"/>
      <c r="G25" s="8" t="s">
        <v>50</v>
      </c>
      <c r="H25" s="8" t="s">
        <v>50</v>
      </c>
      <c r="I25" s="8" t="s">
        <v>50</v>
      </c>
      <c r="J25" s="8"/>
      <c r="K25" s="8" t="s">
        <v>50</v>
      </c>
      <c r="L25" s="8" t="s">
        <v>50</v>
      </c>
      <c r="M25" s="8" t="s">
        <v>50</v>
      </c>
      <c r="N25" s="8" t="s">
        <v>50</v>
      </c>
      <c r="O25" s="8" t="s">
        <v>50</v>
      </c>
      <c r="P25" s="8" t="s">
        <v>50</v>
      </c>
      <c r="Q25" s="8"/>
      <c r="R25" s="8" t="s">
        <v>50</v>
      </c>
      <c r="S25" s="8" t="s">
        <v>50</v>
      </c>
      <c r="T25" s="8" t="s">
        <v>50</v>
      </c>
      <c r="U25" s="8" t="s">
        <v>50</v>
      </c>
      <c r="V25" s="8" t="s">
        <v>50</v>
      </c>
      <c r="W25" s="8" t="s">
        <v>50</v>
      </c>
      <c r="X25" s="8"/>
      <c r="Y25" s="8" t="s">
        <v>50</v>
      </c>
      <c r="Z25" s="8" t="s">
        <v>50</v>
      </c>
      <c r="AA25" s="8" t="s">
        <v>50</v>
      </c>
      <c r="AB25" s="8" t="s">
        <v>50</v>
      </c>
      <c r="AC25" s="8" t="s">
        <v>50</v>
      </c>
      <c r="AD25" s="8" t="s">
        <v>50</v>
      </c>
      <c r="AE25" s="8"/>
      <c r="AF25" s="8" t="s">
        <v>50</v>
      </c>
      <c r="AG25" s="8" t="s">
        <v>50</v>
      </c>
      <c r="AH25" s="8" t="s">
        <v>50</v>
      </c>
      <c r="AI25" s="8" t="s">
        <v>50</v>
      </c>
      <c r="AJ25" s="8" t="s">
        <v>50</v>
      </c>
      <c r="AK25" s="8" t="s">
        <v>50</v>
      </c>
      <c r="AL25" s="4" t="s">
        <v>49</v>
      </c>
      <c r="AM25" s="5">
        <f t="shared" si="1"/>
        <v>27</v>
      </c>
      <c r="AN25" s="5">
        <f t="shared" si="2"/>
        <v>0</v>
      </c>
      <c r="AO25" s="18">
        <f t="shared" si="3"/>
        <v>27</v>
      </c>
      <c r="AP25" s="19"/>
      <c r="AQ25" s="20">
        <f t="shared" si="4"/>
        <v>1</v>
      </c>
      <c r="AR25" s="21"/>
    </row>
    <row r="26" spans="2:44" ht="31.5" x14ac:dyDescent="0.5">
      <c r="B26" s="1">
        <v>1014</v>
      </c>
      <c r="C26" s="15" t="s">
        <v>25</v>
      </c>
      <c r="D26" s="16"/>
      <c r="E26" s="15"/>
      <c r="F26" s="17"/>
      <c r="G26" s="8" t="s">
        <v>50</v>
      </c>
      <c r="H26" s="8" t="s">
        <v>50</v>
      </c>
      <c r="I26" s="8" t="s">
        <v>50</v>
      </c>
      <c r="J26" s="8"/>
      <c r="K26" s="8" t="s">
        <v>50</v>
      </c>
      <c r="L26" s="8" t="s">
        <v>50</v>
      </c>
      <c r="M26" s="8" t="s">
        <v>51</v>
      </c>
      <c r="N26" s="8" t="s">
        <v>50</v>
      </c>
      <c r="O26" s="8" t="s">
        <v>50</v>
      </c>
      <c r="P26" s="8" t="s">
        <v>50</v>
      </c>
      <c r="Q26" s="8"/>
      <c r="R26" s="8" t="s">
        <v>50</v>
      </c>
      <c r="S26" s="8" t="s">
        <v>50</v>
      </c>
      <c r="T26" s="8" t="s">
        <v>50</v>
      </c>
      <c r="U26" s="8" t="s">
        <v>50</v>
      </c>
      <c r="V26" s="8" t="s">
        <v>50</v>
      </c>
      <c r="W26" s="8" t="s">
        <v>50</v>
      </c>
      <c r="X26" s="8"/>
      <c r="Y26" s="8" t="s">
        <v>50</v>
      </c>
      <c r="Z26" s="8" t="s">
        <v>50</v>
      </c>
      <c r="AA26" s="8" t="s">
        <v>50</v>
      </c>
      <c r="AB26" s="8" t="s">
        <v>50</v>
      </c>
      <c r="AC26" s="8" t="s">
        <v>50</v>
      </c>
      <c r="AD26" s="8" t="s">
        <v>50</v>
      </c>
      <c r="AE26" s="8"/>
      <c r="AF26" s="8" t="s">
        <v>50</v>
      </c>
      <c r="AG26" s="8" t="s">
        <v>50</v>
      </c>
      <c r="AH26" s="8" t="s">
        <v>50</v>
      </c>
      <c r="AI26" s="8" t="s">
        <v>50</v>
      </c>
      <c r="AJ26" s="8" t="s">
        <v>50</v>
      </c>
      <c r="AK26" s="8" t="s">
        <v>50</v>
      </c>
      <c r="AL26" s="4" t="s">
        <v>49</v>
      </c>
      <c r="AM26" s="5">
        <f t="shared" si="1"/>
        <v>26</v>
      </c>
      <c r="AN26" s="5">
        <f t="shared" si="2"/>
        <v>1</v>
      </c>
      <c r="AO26" s="18">
        <f t="shared" si="3"/>
        <v>27</v>
      </c>
      <c r="AP26" s="19"/>
      <c r="AQ26" s="20">
        <f t="shared" si="4"/>
        <v>0.96296296296296291</v>
      </c>
      <c r="AR26" s="21"/>
    </row>
    <row r="27" spans="2:44" ht="31.5" x14ac:dyDescent="0.5">
      <c r="B27" s="1">
        <v>1015</v>
      </c>
      <c r="C27" s="15" t="s">
        <v>26</v>
      </c>
      <c r="D27" s="16"/>
      <c r="E27" s="15"/>
      <c r="F27" s="17"/>
      <c r="G27" s="8" t="s">
        <v>50</v>
      </c>
      <c r="H27" s="8" t="s">
        <v>50</v>
      </c>
      <c r="I27" s="8" t="s">
        <v>50</v>
      </c>
      <c r="J27" s="8"/>
      <c r="K27" s="8" t="s">
        <v>50</v>
      </c>
      <c r="L27" s="8" t="s">
        <v>50</v>
      </c>
      <c r="M27" s="8" t="s">
        <v>50</v>
      </c>
      <c r="N27" s="8" t="s">
        <v>50</v>
      </c>
      <c r="O27" s="8" t="s">
        <v>50</v>
      </c>
      <c r="P27" s="8" t="s">
        <v>50</v>
      </c>
      <c r="Q27" s="8"/>
      <c r="R27" s="8" t="s">
        <v>50</v>
      </c>
      <c r="S27" s="8" t="s">
        <v>50</v>
      </c>
      <c r="T27" s="8" t="s">
        <v>51</v>
      </c>
      <c r="U27" s="8" t="s">
        <v>50</v>
      </c>
      <c r="V27" s="8" t="s">
        <v>50</v>
      </c>
      <c r="W27" s="8" t="s">
        <v>50</v>
      </c>
      <c r="X27" s="8"/>
      <c r="Y27" s="8" t="s">
        <v>50</v>
      </c>
      <c r="Z27" s="8" t="s">
        <v>50</v>
      </c>
      <c r="AA27" s="8" t="s">
        <v>50</v>
      </c>
      <c r="AB27" s="8" t="s">
        <v>50</v>
      </c>
      <c r="AC27" s="8" t="s">
        <v>50</v>
      </c>
      <c r="AD27" s="8" t="s">
        <v>50</v>
      </c>
      <c r="AE27" s="8"/>
      <c r="AF27" s="8" t="s">
        <v>50</v>
      </c>
      <c r="AG27" s="8" t="s">
        <v>50</v>
      </c>
      <c r="AH27" s="8" t="s">
        <v>50</v>
      </c>
      <c r="AI27" s="8" t="s">
        <v>51</v>
      </c>
      <c r="AJ27" s="8" t="s">
        <v>50</v>
      </c>
      <c r="AK27" s="8" t="s">
        <v>50</v>
      </c>
      <c r="AL27" s="4" t="s">
        <v>49</v>
      </c>
      <c r="AM27" s="5">
        <f t="shared" si="1"/>
        <v>25</v>
      </c>
      <c r="AN27" s="5">
        <f t="shared" si="2"/>
        <v>2</v>
      </c>
      <c r="AO27" s="18">
        <f t="shared" si="3"/>
        <v>27</v>
      </c>
      <c r="AP27" s="19"/>
      <c r="AQ27" s="20">
        <f t="shared" si="4"/>
        <v>0.92592592592592593</v>
      </c>
      <c r="AR27" s="21"/>
    </row>
    <row r="28" spans="2:44" ht="31.5" x14ac:dyDescent="0.5">
      <c r="B28" s="1">
        <v>1016</v>
      </c>
      <c r="C28" s="15" t="s">
        <v>27</v>
      </c>
      <c r="D28" s="16"/>
      <c r="E28" s="15"/>
      <c r="F28" s="17"/>
      <c r="G28" s="8" t="s">
        <v>50</v>
      </c>
      <c r="H28" s="8" t="s">
        <v>50</v>
      </c>
      <c r="I28" s="8" t="s">
        <v>50</v>
      </c>
      <c r="J28" s="8"/>
      <c r="K28" s="8" t="s">
        <v>50</v>
      </c>
      <c r="L28" s="8" t="s">
        <v>50</v>
      </c>
      <c r="M28" s="8" t="s">
        <v>50</v>
      </c>
      <c r="N28" s="8" t="s">
        <v>50</v>
      </c>
      <c r="O28" s="8" t="s">
        <v>50</v>
      </c>
      <c r="P28" s="8" t="s">
        <v>50</v>
      </c>
      <c r="Q28" s="8"/>
      <c r="R28" s="8" t="s">
        <v>50</v>
      </c>
      <c r="S28" s="8" t="s">
        <v>50</v>
      </c>
      <c r="T28" s="8" t="s">
        <v>50</v>
      </c>
      <c r="U28" s="8" t="s">
        <v>50</v>
      </c>
      <c r="V28" s="8" t="s">
        <v>50</v>
      </c>
      <c r="W28" s="8" t="s">
        <v>50</v>
      </c>
      <c r="X28" s="8"/>
      <c r="Y28" s="8" t="s">
        <v>50</v>
      </c>
      <c r="Z28" s="8" t="s">
        <v>50</v>
      </c>
      <c r="AA28" s="8" t="s">
        <v>50</v>
      </c>
      <c r="AB28" s="8" t="s">
        <v>50</v>
      </c>
      <c r="AC28" s="8" t="s">
        <v>50</v>
      </c>
      <c r="AD28" s="8" t="s">
        <v>50</v>
      </c>
      <c r="AE28" s="8"/>
      <c r="AF28" s="8" t="s">
        <v>50</v>
      </c>
      <c r="AG28" s="8" t="s">
        <v>50</v>
      </c>
      <c r="AH28" s="8" t="s">
        <v>50</v>
      </c>
      <c r="AI28" s="8" t="s">
        <v>50</v>
      </c>
      <c r="AJ28" s="8" t="s">
        <v>50</v>
      </c>
      <c r="AK28" s="8" t="s">
        <v>50</v>
      </c>
      <c r="AL28" s="4" t="s">
        <v>49</v>
      </c>
      <c r="AM28" s="5">
        <f t="shared" si="1"/>
        <v>27</v>
      </c>
      <c r="AN28" s="5">
        <f t="shared" si="2"/>
        <v>0</v>
      </c>
      <c r="AO28" s="18">
        <f t="shared" si="3"/>
        <v>27</v>
      </c>
      <c r="AP28" s="19"/>
      <c r="AQ28" s="20">
        <f t="shared" si="4"/>
        <v>1</v>
      </c>
      <c r="AR28" s="21"/>
    </row>
    <row r="29" spans="2:44" ht="31.5" x14ac:dyDescent="0.5">
      <c r="B29" s="1">
        <v>1017</v>
      </c>
      <c r="C29" s="15" t="s">
        <v>28</v>
      </c>
      <c r="D29" s="16"/>
      <c r="E29" s="15"/>
      <c r="F29" s="17"/>
      <c r="G29" s="8" t="s">
        <v>50</v>
      </c>
      <c r="H29" s="8" t="s">
        <v>50</v>
      </c>
      <c r="I29" s="8" t="s">
        <v>50</v>
      </c>
      <c r="J29" s="8"/>
      <c r="K29" s="8" t="s">
        <v>50</v>
      </c>
      <c r="L29" s="8" t="s">
        <v>50</v>
      </c>
      <c r="M29" s="8" t="s">
        <v>50</v>
      </c>
      <c r="N29" s="8" t="s">
        <v>50</v>
      </c>
      <c r="O29" s="8" t="s">
        <v>50</v>
      </c>
      <c r="P29" s="8" t="s">
        <v>50</v>
      </c>
      <c r="Q29" s="8"/>
      <c r="R29" s="8" t="s">
        <v>50</v>
      </c>
      <c r="S29" s="8" t="s">
        <v>50</v>
      </c>
      <c r="T29" s="8" t="s">
        <v>50</v>
      </c>
      <c r="U29" s="8" t="s">
        <v>50</v>
      </c>
      <c r="V29" s="8" t="s">
        <v>50</v>
      </c>
      <c r="W29" s="8" t="s">
        <v>50</v>
      </c>
      <c r="X29" s="8"/>
      <c r="Y29" s="8" t="s">
        <v>50</v>
      </c>
      <c r="Z29" s="8" t="s">
        <v>50</v>
      </c>
      <c r="AA29" s="8" t="s">
        <v>50</v>
      </c>
      <c r="AB29" s="8" t="s">
        <v>50</v>
      </c>
      <c r="AC29" s="8" t="s">
        <v>50</v>
      </c>
      <c r="AD29" s="8" t="s">
        <v>50</v>
      </c>
      <c r="AE29" s="8"/>
      <c r="AF29" s="8" t="s">
        <v>50</v>
      </c>
      <c r="AG29" s="8" t="s">
        <v>50</v>
      </c>
      <c r="AH29" s="8" t="s">
        <v>50</v>
      </c>
      <c r="AI29" s="8" t="s">
        <v>50</v>
      </c>
      <c r="AJ29" s="8" t="s">
        <v>50</v>
      </c>
      <c r="AK29" s="8" t="s">
        <v>50</v>
      </c>
      <c r="AL29" s="4" t="s">
        <v>49</v>
      </c>
      <c r="AM29" s="5">
        <f t="shared" si="1"/>
        <v>27</v>
      </c>
      <c r="AN29" s="5">
        <f t="shared" si="2"/>
        <v>0</v>
      </c>
      <c r="AO29" s="18">
        <f t="shared" si="3"/>
        <v>27</v>
      </c>
      <c r="AP29" s="19"/>
      <c r="AQ29" s="20">
        <f t="shared" si="4"/>
        <v>1</v>
      </c>
      <c r="AR29" s="21"/>
    </row>
    <row r="30" spans="2:44" ht="31.5" x14ac:dyDescent="0.5">
      <c r="B30" s="1">
        <v>1018</v>
      </c>
      <c r="C30" s="15" t="s">
        <v>29</v>
      </c>
      <c r="D30" s="16"/>
      <c r="E30" s="15"/>
      <c r="F30" s="17"/>
      <c r="G30" s="8" t="s">
        <v>50</v>
      </c>
      <c r="H30" s="8" t="s">
        <v>50</v>
      </c>
      <c r="I30" s="8" t="s">
        <v>50</v>
      </c>
      <c r="J30" s="8"/>
      <c r="K30" s="8" t="s">
        <v>50</v>
      </c>
      <c r="L30" s="8" t="s">
        <v>50</v>
      </c>
      <c r="M30" s="8" t="s">
        <v>50</v>
      </c>
      <c r="N30" s="8" t="s">
        <v>50</v>
      </c>
      <c r="O30" s="8" t="s">
        <v>50</v>
      </c>
      <c r="P30" s="8" t="s">
        <v>50</v>
      </c>
      <c r="Q30" s="8"/>
      <c r="R30" s="8" t="s">
        <v>50</v>
      </c>
      <c r="S30" s="8" t="s">
        <v>50</v>
      </c>
      <c r="T30" s="8" t="s">
        <v>50</v>
      </c>
      <c r="U30" s="8" t="s">
        <v>50</v>
      </c>
      <c r="V30" s="8" t="s">
        <v>50</v>
      </c>
      <c r="W30" s="8" t="s">
        <v>50</v>
      </c>
      <c r="X30" s="8"/>
      <c r="Y30" s="8" t="s">
        <v>50</v>
      </c>
      <c r="Z30" s="8" t="s">
        <v>50</v>
      </c>
      <c r="AA30" s="8" t="s">
        <v>51</v>
      </c>
      <c r="AB30" s="8" t="s">
        <v>50</v>
      </c>
      <c r="AC30" s="8" t="s">
        <v>50</v>
      </c>
      <c r="AD30" s="8" t="s">
        <v>50</v>
      </c>
      <c r="AE30" s="8"/>
      <c r="AF30" s="8" t="s">
        <v>50</v>
      </c>
      <c r="AG30" s="8" t="s">
        <v>50</v>
      </c>
      <c r="AH30" s="8" t="s">
        <v>50</v>
      </c>
      <c r="AI30" s="8" t="s">
        <v>50</v>
      </c>
      <c r="AJ30" s="8" t="s">
        <v>50</v>
      </c>
      <c r="AK30" s="8" t="s">
        <v>50</v>
      </c>
      <c r="AL30" s="4" t="s">
        <v>49</v>
      </c>
      <c r="AM30" s="5">
        <f t="shared" si="1"/>
        <v>26</v>
      </c>
      <c r="AN30" s="5">
        <f t="shared" si="2"/>
        <v>1</v>
      </c>
      <c r="AO30" s="18">
        <f t="shared" si="3"/>
        <v>27</v>
      </c>
      <c r="AP30" s="19"/>
      <c r="AQ30" s="20">
        <f t="shared" si="4"/>
        <v>0.96296296296296291</v>
      </c>
      <c r="AR30" s="21"/>
    </row>
    <row r="31" spans="2:44" ht="31.5" x14ac:dyDescent="0.5">
      <c r="B31" s="1">
        <v>1019</v>
      </c>
      <c r="C31" s="15" t="s">
        <v>30</v>
      </c>
      <c r="D31" s="16"/>
      <c r="E31" s="15"/>
      <c r="F31" s="17"/>
      <c r="G31" s="8" t="s">
        <v>50</v>
      </c>
      <c r="H31" s="8" t="s">
        <v>50</v>
      </c>
      <c r="I31" s="8" t="s">
        <v>50</v>
      </c>
      <c r="J31" s="8"/>
      <c r="K31" s="8" t="s">
        <v>50</v>
      </c>
      <c r="L31" s="8" t="s">
        <v>50</v>
      </c>
      <c r="M31" s="8" t="s">
        <v>50</v>
      </c>
      <c r="N31" s="8" t="s">
        <v>50</v>
      </c>
      <c r="O31" s="8" t="s">
        <v>50</v>
      </c>
      <c r="P31" s="8" t="s">
        <v>50</v>
      </c>
      <c r="Q31" s="8"/>
      <c r="R31" s="8" t="s">
        <v>50</v>
      </c>
      <c r="S31" s="8" t="s">
        <v>50</v>
      </c>
      <c r="T31" s="8" t="s">
        <v>50</v>
      </c>
      <c r="U31" s="8" t="s">
        <v>50</v>
      </c>
      <c r="V31" s="8" t="s">
        <v>50</v>
      </c>
      <c r="W31" s="8" t="s">
        <v>50</v>
      </c>
      <c r="X31" s="8"/>
      <c r="Y31" s="8" t="s">
        <v>50</v>
      </c>
      <c r="Z31" s="8" t="s">
        <v>50</v>
      </c>
      <c r="AA31" s="8" t="s">
        <v>50</v>
      </c>
      <c r="AB31" s="8" t="s">
        <v>50</v>
      </c>
      <c r="AC31" s="8" t="s">
        <v>50</v>
      </c>
      <c r="AD31" s="8" t="s">
        <v>50</v>
      </c>
      <c r="AE31" s="8"/>
      <c r="AF31" s="8" t="s">
        <v>50</v>
      </c>
      <c r="AG31" s="8" t="s">
        <v>50</v>
      </c>
      <c r="AH31" s="8" t="s">
        <v>50</v>
      </c>
      <c r="AI31" s="8" t="s">
        <v>50</v>
      </c>
      <c r="AJ31" s="8" t="s">
        <v>50</v>
      </c>
      <c r="AK31" s="8" t="s">
        <v>50</v>
      </c>
      <c r="AL31" s="4" t="s">
        <v>49</v>
      </c>
      <c r="AM31" s="5">
        <f t="shared" si="1"/>
        <v>27</v>
      </c>
      <c r="AN31" s="5">
        <f t="shared" si="2"/>
        <v>0</v>
      </c>
      <c r="AO31" s="18">
        <f t="shared" si="3"/>
        <v>27</v>
      </c>
      <c r="AP31" s="19"/>
      <c r="AQ31" s="20">
        <f t="shared" si="4"/>
        <v>1</v>
      </c>
      <c r="AR31" s="21"/>
    </row>
    <row r="32" spans="2:44" ht="31.5" x14ac:dyDescent="0.5">
      <c r="B32" s="1">
        <v>1020</v>
      </c>
      <c r="C32" s="15" t="s">
        <v>31</v>
      </c>
      <c r="D32" s="16"/>
      <c r="E32" s="15"/>
      <c r="F32" s="17"/>
      <c r="G32" s="8" t="s">
        <v>50</v>
      </c>
      <c r="H32" s="8" t="s">
        <v>50</v>
      </c>
      <c r="I32" s="8" t="s">
        <v>50</v>
      </c>
      <c r="J32" s="8"/>
      <c r="K32" s="8" t="s">
        <v>50</v>
      </c>
      <c r="L32" s="8" t="s">
        <v>50</v>
      </c>
      <c r="M32" s="8" t="s">
        <v>50</v>
      </c>
      <c r="N32" s="8" t="s">
        <v>51</v>
      </c>
      <c r="O32" s="8" t="s">
        <v>50</v>
      </c>
      <c r="P32" s="8" t="s">
        <v>50</v>
      </c>
      <c r="Q32" s="8"/>
      <c r="R32" s="8" t="s">
        <v>50</v>
      </c>
      <c r="S32" s="8" t="s">
        <v>50</v>
      </c>
      <c r="T32" s="8" t="s">
        <v>50</v>
      </c>
      <c r="U32" s="8" t="s">
        <v>50</v>
      </c>
      <c r="V32" s="8" t="s">
        <v>50</v>
      </c>
      <c r="W32" s="8" t="s">
        <v>50</v>
      </c>
      <c r="X32" s="8"/>
      <c r="Y32" s="8" t="s">
        <v>50</v>
      </c>
      <c r="Z32" s="8" t="s">
        <v>50</v>
      </c>
      <c r="AA32" s="8" t="s">
        <v>50</v>
      </c>
      <c r="AB32" s="8" t="s">
        <v>50</v>
      </c>
      <c r="AC32" s="8" t="s">
        <v>50</v>
      </c>
      <c r="AD32" s="8" t="s">
        <v>50</v>
      </c>
      <c r="AE32" s="8"/>
      <c r="AF32" s="8" t="s">
        <v>50</v>
      </c>
      <c r="AG32" s="8" t="s">
        <v>50</v>
      </c>
      <c r="AH32" s="8" t="s">
        <v>50</v>
      </c>
      <c r="AI32" s="8" t="s">
        <v>50</v>
      </c>
      <c r="AJ32" s="8" t="s">
        <v>50</v>
      </c>
      <c r="AK32" s="8" t="s">
        <v>50</v>
      </c>
      <c r="AL32" s="4" t="s">
        <v>49</v>
      </c>
      <c r="AM32" s="5">
        <f t="shared" si="1"/>
        <v>26</v>
      </c>
      <c r="AN32" s="5">
        <f t="shared" si="2"/>
        <v>1</v>
      </c>
      <c r="AO32" s="18">
        <f t="shared" si="3"/>
        <v>27</v>
      </c>
      <c r="AP32" s="19"/>
      <c r="AQ32" s="20">
        <f t="shared" si="4"/>
        <v>0.96296296296296291</v>
      </c>
      <c r="AR32" s="21"/>
    </row>
    <row r="33" spans="2:44" ht="31.5" x14ac:dyDescent="0.5">
      <c r="B33" s="1">
        <v>1021</v>
      </c>
      <c r="C33" s="15" t="s">
        <v>32</v>
      </c>
      <c r="D33" s="16"/>
      <c r="E33" s="15"/>
      <c r="F33" s="17"/>
      <c r="G33" s="8" t="s">
        <v>50</v>
      </c>
      <c r="H33" s="8" t="s">
        <v>50</v>
      </c>
      <c r="I33" s="8" t="s">
        <v>50</v>
      </c>
      <c r="J33" s="8"/>
      <c r="K33" s="8" t="s">
        <v>50</v>
      </c>
      <c r="L33" s="8" t="s">
        <v>50</v>
      </c>
      <c r="M33" s="8" t="s">
        <v>50</v>
      </c>
      <c r="N33" s="8" t="s">
        <v>50</v>
      </c>
      <c r="O33" s="8" t="s">
        <v>50</v>
      </c>
      <c r="P33" s="8" t="s">
        <v>50</v>
      </c>
      <c r="Q33" s="8"/>
      <c r="R33" s="8" t="s">
        <v>50</v>
      </c>
      <c r="S33" s="8" t="s">
        <v>50</v>
      </c>
      <c r="T33" s="8" t="s">
        <v>50</v>
      </c>
      <c r="U33" s="8" t="s">
        <v>50</v>
      </c>
      <c r="V33" s="8" t="s">
        <v>50</v>
      </c>
      <c r="W33" s="8" t="s">
        <v>50</v>
      </c>
      <c r="X33" s="8"/>
      <c r="Y33" s="8" t="s">
        <v>50</v>
      </c>
      <c r="Z33" s="8" t="s">
        <v>50</v>
      </c>
      <c r="AA33" s="8" t="s">
        <v>50</v>
      </c>
      <c r="AB33" s="8" t="s">
        <v>50</v>
      </c>
      <c r="AC33" s="8" t="s">
        <v>50</v>
      </c>
      <c r="AD33" s="8" t="s">
        <v>50</v>
      </c>
      <c r="AE33" s="8"/>
      <c r="AF33" s="8" t="s">
        <v>50</v>
      </c>
      <c r="AG33" s="8" t="s">
        <v>50</v>
      </c>
      <c r="AH33" s="8" t="s">
        <v>50</v>
      </c>
      <c r="AI33" s="8" t="s">
        <v>50</v>
      </c>
      <c r="AJ33" s="8" t="s">
        <v>50</v>
      </c>
      <c r="AK33" s="8" t="s">
        <v>50</v>
      </c>
      <c r="AL33" s="4" t="s">
        <v>49</v>
      </c>
      <c r="AM33" s="5">
        <f t="shared" si="1"/>
        <v>27</v>
      </c>
      <c r="AN33" s="5">
        <f t="shared" si="2"/>
        <v>0</v>
      </c>
      <c r="AO33" s="18">
        <f t="shared" si="3"/>
        <v>27</v>
      </c>
      <c r="AP33" s="19"/>
      <c r="AQ33" s="20">
        <f t="shared" si="4"/>
        <v>1</v>
      </c>
      <c r="AR33" s="21"/>
    </row>
    <row r="34" spans="2:44" ht="31.5" x14ac:dyDescent="0.5">
      <c r="B34" s="1">
        <v>1022</v>
      </c>
      <c r="C34" s="15" t="s">
        <v>33</v>
      </c>
      <c r="D34" s="16"/>
      <c r="E34" s="15"/>
      <c r="F34" s="17"/>
      <c r="G34" s="8" t="s">
        <v>50</v>
      </c>
      <c r="H34" s="8" t="s">
        <v>50</v>
      </c>
      <c r="I34" s="8" t="s">
        <v>50</v>
      </c>
      <c r="J34" s="8"/>
      <c r="K34" s="8" t="s">
        <v>50</v>
      </c>
      <c r="L34" s="8" t="s">
        <v>50</v>
      </c>
      <c r="M34" s="8" t="s">
        <v>50</v>
      </c>
      <c r="N34" s="8" t="s">
        <v>50</v>
      </c>
      <c r="O34" s="8" t="s">
        <v>50</v>
      </c>
      <c r="P34" s="8" t="s">
        <v>50</v>
      </c>
      <c r="Q34" s="8"/>
      <c r="R34" s="8" t="s">
        <v>50</v>
      </c>
      <c r="S34" s="8" t="s">
        <v>50</v>
      </c>
      <c r="T34" s="8" t="s">
        <v>50</v>
      </c>
      <c r="U34" s="8" t="s">
        <v>50</v>
      </c>
      <c r="V34" s="8" t="s">
        <v>50</v>
      </c>
      <c r="W34" s="8" t="s">
        <v>50</v>
      </c>
      <c r="X34" s="8"/>
      <c r="Y34" s="8" t="s">
        <v>50</v>
      </c>
      <c r="Z34" s="8" t="s">
        <v>50</v>
      </c>
      <c r="AA34" s="8" t="s">
        <v>50</v>
      </c>
      <c r="AB34" s="8" t="s">
        <v>50</v>
      </c>
      <c r="AC34" s="8" t="s">
        <v>50</v>
      </c>
      <c r="AD34" s="8" t="s">
        <v>50</v>
      </c>
      <c r="AE34" s="8"/>
      <c r="AF34" s="8" t="s">
        <v>50</v>
      </c>
      <c r="AG34" s="8" t="s">
        <v>50</v>
      </c>
      <c r="AH34" s="8" t="s">
        <v>50</v>
      </c>
      <c r="AI34" s="8" t="s">
        <v>50</v>
      </c>
      <c r="AJ34" s="8" t="s">
        <v>50</v>
      </c>
      <c r="AK34" s="8" t="s">
        <v>50</v>
      </c>
      <c r="AL34" s="4" t="s">
        <v>49</v>
      </c>
      <c r="AM34" s="5">
        <f t="shared" si="1"/>
        <v>27</v>
      </c>
      <c r="AN34" s="5">
        <f t="shared" si="2"/>
        <v>0</v>
      </c>
      <c r="AO34" s="18">
        <f t="shared" si="3"/>
        <v>27</v>
      </c>
      <c r="AP34" s="19"/>
      <c r="AQ34" s="20">
        <f t="shared" si="4"/>
        <v>1</v>
      </c>
      <c r="AR34" s="21"/>
    </row>
    <row r="35" spans="2:44" ht="31.5" x14ac:dyDescent="0.5">
      <c r="B35" s="1">
        <v>1023</v>
      </c>
      <c r="C35" s="15" t="s">
        <v>34</v>
      </c>
      <c r="D35" s="16"/>
      <c r="E35" s="15"/>
      <c r="F35" s="17"/>
      <c r="G35" s="8" t="s">
        <v>50</v>
      </c>
      <c r="H35" s="8" t="s">
        <v>50</v>
      </c>
      <c r="I35" s="8" t="s">
        <v>50</v>
      </c>
      <c r="J35" s="8"/>
      <c r="K35" s="8" t="s">
        <v>50</v>
      </c>
      <c r="L35" s="8" t="s">
        <v>50</v>
      </c>
      <c r="M35" s="8" t="s">
        <v>50</v>
      </c>
      <c r="N35" s="8" t="s">
        <v>50</v>
      </c>
      <c r="O35" s="8" t="s">
        <v>50</v>
      </c>
      <c r="P35" s="8" t="s">
        <v>50</v>
      </c>
      <c r="Q35" s="8"/>
      <c r="R35" s="8" t="s">
        <v>50</v>
      </c>
      <c r="S35" s="8" t="s">
        <v>50</v>
      </c>
      <c r="T35" s="8" t="s">
        <v>50</v>
      </c>
      <c r="U35" s="8" t="s">
        <v>50</v>
      </c>
      <c r="V35" s="8" t="s">
        <v>50</v>
      </c>
      <c r="W35" s="8" t="s">
        <v>50</v>
      </c>
      <c r="X35" s="8"/>
      <c r="Y35" s="8" t="s">
        <v>50</v>
      </c>
      <c r="Z35" s="8" t="s">
        <v>50</v>
      </c>
      <c r="AA35" s="8" t="s">
        <v>50</v>
      </c>
      <c r="AB35" s="8" t="s">
        <v>50</v>
      </c>
      <c r="AC35" s="8" t="s">
        <v>50</v>
      </c>
      <c r="AD35" s="8" t="s">
        <v>50</v>
      </c>
      <c r="AE35" s="8"/>
      <c r="AF35" s="8" t="s">
        <v>50</v>
      </c>
      <c r="AG35" s="8" t="s">
        <v>50</v>
      </c>
      <c r="AH35" s="8" t="s">
        <v>50</v>
      </c>
      <c r="AI35" s="8" t="s">
        <v>50</v>
      </c>
      <c r="AJ35" s="8" t="s">
        <v>50</v>
      </c>
      <c r="AK35" s="8" t="s">
        <v>50</v>
      </c>
      <c r="AL35" s="4" t="s">
        <v>49</v>
      </c>
      <c r="AM35" s="5">
        <f t="shared" si="1"/>
        <v>27</v>
      </c>
      <c r="AN35" s="5">
        <f t="shared" si="2"/>
        <v>0</v>
      </c>
      <c r="AO35" s="18">
        <f t="shared" si="3"/>
        <v>27</v>
      </c>
      <c r="AP35" s="19"/>
      <c r="AQ35" s="20">
        <f t="shared" si="4"/>
        <v>1</v>
      </c>
      <c r="AR35" s="21"/>
    </row>
    <row r="36" spans="2:44" ht="31.5" x14ac:dyDescent="0.5">
      <c r="B36" s="1">
        <v>1024</v>
      </c>
      <c r="C36" s="15" t="s">
        <v>33</v>
      </c>
      <c r="D36" s="16"/>
      <c r="E36" s="15"/>
      <c r="F36" s="17"/>
      <c r="G36" s="8" t="s">
        <v>50</v>
      </c>
      <c r="H36" s="8" t="s">
        <v>50</v>
      </c>
      <c r="I36" s="8" t="s">
        <v>50</v>
      </c>
      <c r="J36" s="8"/>
      <c r="K36" s="8" t="s">
        <v>50</v>
      </c>
      <c r="L36" s="8" t="s">
        <v>50</v>
      </c>
      <c r="M36" s="8" t="s">
        <v>50</v>
      </c>
      <c r="N36" s="8" t="s">
        <v>50</v>
      </c>
      <c r="O36" s="8" t="s">
        <v>50</v>
      </c>
      <c r="P36" s="8" t="s">
        <v>50</v>
      </c>
      <c r="Q36" s="8"/>
      <c r="R36" s="8" t="s">
        <v>50</v>
      </c>
      <c r="S36" s="8" t="s">
        <v>50</v>
      </c>
      <c r="T36" s="8" t="s">
        <v>50</v>
      </c>
      <c r="U36" s="8" t="s">
        <v>50</v>
      </c>
      <c r="V36" s="8" t="s">
        <v>50</v>
      </c>
      <c r="W36" s="8" t="s">
        <v>50</v>
      </c>
      <c r="X36" s="8"/>
      <c r="Y36" s="8" t="s">
        <v>50</v>
      </c>
      <c r="Z36" s="8" t="s">
        <v>50</v>
      </c>
      <c r="AA36" s="8" t="s">
        <v>50</v>
      </c>
      <c r="AB36" s="8" t="s">
        <v>50</v>
      </c>
      <c r="AC36" s="8" t="s">
        <v>50</v>
      </c>
      <c r="AD36" s="8" t="s">
        <v>50</v>
      </c>
      <c r="AE36" s="8"/>
      <c r="AF36" s="8" t="s">
        <v>50</v>
      </c>
      <c r="AG36" s="8" t="s">
        <v>50</v>
      </c>
      <c r="AH36" s="8" t="s">
        <v>50</v>
      </c>
      <c r="AI36" s="8" t="s">
        <v>50</v>
      </c>
      <c r="AJ36" s="8" t="s">
        <v>50</v>
      </c>
      <c r="AK36" s="8" t="s">
        <v>50</v>
      </c>
      <c r="AL36" s="4" t="s">
        <v>49</v>
      </c>
      <c r="AM36" s="5">
        <f t="shared" si="1"/>
        <v>27</v>
      </c>
      <c r="AN36" s="5">
        <f t="shared" si="2"/>
        <v>0</v>
      </c>
      <c r="AO36" s="18">
        <f t="shared" si="3"/>
        <v>27</v>
      </c>
      <c r="AP36" s="19"/>
      <c r="AQ36" s="20">
        <f t="shared" si="4"/>
        <v>1</v>
      </c>
      <c r="AR36" s="21"/>
    </row>
    <row r="37" spans="2:44" ht="31.5" x14ac:dyDescent="0.5">
      <c r="B37" s="1">
        <v>1025</v>
      </c>
      <c r="C37" s="15" t="s">
        <v>35</v>
      </c>
      <c r="D37" s="16"/>
      <c r="E37" s="15"/>
      <c r="F37" s="17"/>
      <c r="G37" s="8" t="s">
        <v>50</v>
      </c>
      <c r="H37" s="8" t="s">
        <v>50</v>
      </c>
      <c r="I37" s="8" t="s">
        <v>50</v>
      </c>
      <c r="J37" s="8"/>
      <c r="K37" s="8" t="s">
        <v>50</v>
      </c>
      <c r="L37" s="8" t="s">
        <v>50</v>
      </c>
      <c r="M37" s="8" t="s">
        <v>50</v>
      </c>
      <c r="N37" s="8" t="s">
        <v>50</v>
      </c>
      <c r="O37" s="8" t="s">
        <v>50</v>
      </c>
      <c r="P37" s="8" t="s">
        <v>50</v>
      </c>
      <c r="Q37" s="8"/>
      <c r="R37" s="8" t="s">
        <v>50</v>
      </c>
      <c r="S37" s="8" t="s">
        <v>50</v>
      </c>
      <c r="T37" s="8" t="s">
        <v>50</v>
      </c>
      <c r="U37" s="8" t="s">
        <v>50</v>
      </c>
      <c r="V37" s="8" t="s">
        <v>50</v>
      </c>
      <c r="W37" s="8" t="s">
        <v>50</v>
      </c>
      <c r="X37" s="8"/>
      <c r="Y37" s="8" t="s">
        <v>50</v>
      </c>
      <c r="Z37" s="8" t="s">
        <v>50</v>
      </c>
      <c r="AA37" s="8" t="s">
        <v>50</v>
      </c>
      <c r="AB37" s="8" t="s">
        <v>50</v>
      </c>
      <c r="AC37" s="8" t="s">
        <v>50</v>
      </c>
      <c r="AD37" s="8" t="s">
        <v>50</v>
      </c>
      <c r="AE37" s="8"/>
      <c r="AF37" s="8" t="s">
        <v>50</v>
      </c>
      <c r="AG37" s="8" t="s">
        <v>50</v>
      </c>
      <c r="AH37" s="8" t="s">
        <v>50</v>
      </c>
      <c r="AI37" s="8" t="s">
        <v>50</v>
      </c>
      <c r="AJ37" s="8" t="s">
        <v>50</v>
      </c>
      <c r="AK37" s="8" t="s">
        <v>50</v>
      </c>
      <c r="AL37" s="4" t="s">
        <v>49</v>
      </c>
      <c r="AM37" s="5">
        <f t="shared" si="1"/>
        <v>27</v>
      </c>
      <c r="AN37" s="5">
        <f t="shared" si="2"/>
        <v>0</v>
      </c>
      <c r="AO37" s="18">
        <f t="shared" si="3"/>
        <v>27</v>
      </c>
      <c r="AP37" s="19"/>
      <c r="AQ37" s="20">
        <f t="shared" si="4"/>
        <v>1</v>
      </c>
      <c r="AR37" s="21"/>
    </row>
    <row r="38" spans="2:44" ht="31.5" x14ac:dyDescent="0.5">
      <c r="B38" s="1">
        <v>1026</v>
      </c>
      <c r="C38" s="15" t="s">
        <v>36</v>
      </c>
      <c r="D38" s="16"/>
      <c r="E38" s="15"/>
      <c r="F38" s="17"/>
      <c r="G38" s="8" t="s">
        <v>50</v>
      </c>
      <c r="H38" s="8" t="s">
        <v>50</v>
      </c>
      <c r="I38" s="8" t="s">
        <v>50</v>
      </c>
      <c r="J38" s="8"/>
      <c r="K38" s="8" t="s">
        <v>50</v>
      </c>
      <c r="L38" s="8" t="s">
        <v>50</v>
      </c>
      <c r="M38" s="8" t="s">
        <v>50</v>
      </c>
      <c r="N38" s="8" t="s">
        <v>50</v>
      </c>
      <c r="O38" s="8" t="s">
        <v>50</v>
      </c>
      <c r="P38" s="8" t="s">
        <v>50</v>
      </c>
      <c r="Q38" s="8"/>
      <c r="R38" s="8" t="s">
        <v>50</v>
      </c>
      <c r="S38" s="8" t="s">
        <v>50</v>
      </c>
      <c r="T38" s="8" t="s">
        <v>50</v>
      </c>
      <c r="U38" s="8" t="s">
        <v>50</v>
      </c>
      <c r="V38" s="8" t="s">
        <v>50</v>
      </c>
      <c r="W38" s="8" t="s">
        <v>50</v>
      </c>
      <c r="X38" s="8"/>
      <c r="Y38" s="8" t="s">
        <v>50</v>
      </c>
      <c r="Z38" s="8" t="s">
        <v>50</v>
      </c>
      <c r="AA38" s="8" t="s">
        <v>50</v>
      </c>
      <c r="AB38" s="8" t="s">
        <v>50</v>
      </c>
      <c r="AC38" s="8" t="s">
        <v>50</v>
      </c>
      <c r="AD38" s="8" t="s">
        <v>50</v>
      </c>
      <c r="AE38" s="8"/>
      <c r="AF38" s="8" t="s">
        <v>50</v>
      </c>
      <c r="AG38" s="8" t="s">
        <v>51</v>
      </c>
      <c r="AH38" s="8" t="s">
        <v>50</v>
      </c>
      <c r="AI38" s="8" t="s">
        <v>50</v>
      </c>
      <c r="AJ38" s="8" t="s">
        <v>50</v>
      </c>
      <c r="AK38" s="8" t="s">
        <v>50</v>
      </c>
      <c r="AL38" s="4" t="s">
        <v>49</v>
      </c>
      <c r="AM38" s="5">
        <f t="shared" si="1"/>
        <v>26</v>
      </c>
      <c r="AN38" s="5">
        <f t="shared" si="2"/>
        <v>1</v>
      </c>
      <c r="AO38" s="18">
        <f t="shared" si="3"/>
        <v>27</v>
      </c>
      <c r="AP38" s="19"/>
      <c r="AQ38" s="20">
        <f t="shared" si="4"/>
        <v>0.96296296296296291</v>
      </c>
      <c r="AR38" s="21"/>
    </row>
    <row r="39" spans="2:44" ht="31.5" x14ac:dyDescent="0.5">
      <c r="B39" s="1">
        <v>1027</v>
      </c>
      <c r="C39" s="15" t="s">
        <v>37</v>
      </c>
      <c r="D39" s="16"/>
      <c r="E39" s="15"/>
      <c r="F39" s="17"/>
      <c r="G39" s="8" t="s">
        <v>50</v>
      </c>
      <c r="H39" s="8" t="s">
        <v>50</v>
      </c>
      <c r="I39" s="8" t="s">
        <v>50</v>
      </c>
      <c r="J39" s="8"/>
      <c r="K39" s="8" t="s">
        <v>50</v>
      </c>
      <c r="L39" s="8" t="s">
        <v>50</v>
      </c>
      <c r="M39" s="8" t="s">
        <v>50</v>
      </c>
      <c r="N39" s="8" t="s">
        <v>51</v>
      </c>
      <c r="O39" s="8" t="s">
        <v>50</v>
      </c>
      <c r="P39" s="8" t="s">
        <v>50</v>
      </c>
      <c r="Q39" s="8"/>
      <c r="R39" s="8" t="s">
        <v>50</v>
      </c>
      <c r="S39" s="8" t="s">
        <v>50</v>
      </c>
      <c r="T39" s="8" t="s">
        <v>50</v>
      </c>
      <c r="U39" s="8" t="s">
        <v>50</v>
      </c>
      <c r="V39" s="8" t="s">
        <v>50</v>
      </c>
      <c r="W39" s="8" t="s">
        <v>50</v>
      </c>
      <c r="X39" s="8"/>
      <c r="Y39" s="8" t="s">
        <v>50</v>
      </c>
      <c r="Z39" s="8" t="s">
        <v>50</v>
      </c>
      <c r="AA39" s="8" t="s">
        <v>50</v>
      </c>
      <c r="AB39" s="8" t="s">
        <v>50</v>
      </c>
      <c r="AC39" s="8" t="s">
        <v>50</v>
      </c>
      <c r="AD39" s="8" t="s">
        <v>50</v>
      </c>
      <c r="AE39" s="8"/>
      <c r="AF39" s="8" t="s">
        <v>50</v>
      </c>
      <c r="AG39" s="8" t="s">
        <v>50</v>
      </c>
      <c r="AH39" s="8" t="s">
        <v>50</v>
      </c>
      <c r="AI39" s="8" t="s">
        <v>50</v>
      </c>
      <c r="AJ39" s="8" t="s">
        <v>50</v>
      </c>
      <c r="AK39" s="8" t="s">
        <v>50</v>
      </c>
      <c r="AL39" s="4" t="s">
        <v>49</v>
      </c>
      <c r="AM39" s="5">
        <f t="shared" si="1"/>
        <v>26</v>
      </c>
      <c r="AN39" s="5">
        <f t="shared" si="2"/>
        <v>1</v>
      </c>
      <c r="AO39" s="18">
        <f t="shared" si="3"/>
        <v>27</v>
      </c>
      <c r="AP39" s="19"/>
      <c r="AQ39" s="20">
        <f t="shared" si="4"/>
        <v>0.96296296296296291</v>
      </c>
      <c r="AR39" s="21"/>
    </row>
    <row r="40" spans="2:44" ht="31.5" x14ac:dyDescent="0.5">
      <c r="B40" s="1">
        <v>1028</v>
      </c>
      <c r="C40" s="15" t="s">
        <v>38</v>
      </c>
      <c r="D40" s="16"/>
      <c r="E40" s="15"/>
      <c r="F40" s="17"/>
      <c r="G40" s="8" t="s">
        <v>50</v>
      </c>
      <c r="H40" s="8" t="s">
        <v>50</v>
      </c>
      <c r="I40" s="8" t="s">
        <v>50</v>
      </c>
      <c r="J40" s="8"/>
      <c r="K40" s="8" t="s">
        <v>50</v>
      </c>
      <c r="L40" s="8" t="s">
        <v>50</v>
      </c>
      <c r="M40" s="8" t="s">
        <v>50</v>
      </c>
      <c r="N40" s="8" t="s">
        <v>50</v>
      </c>
      <c r="O40" s="8" t="s">
        <v>50</v>
      </c>
      <c r="P40" s="8" t="s">
        <v>50</v>
      </c>
      <c r="Q40" s="8"/>
      <c r="R40" s="8" t="s">
        <v>50</v>
      </c>
      <c r="S40" s="8" t="s">
        <v>50</v>
      </c>
      <c r="T40" s="8" t="s">
        <v>50</v>
      </c>
      <c r="U40" s="8" t="s">
        <v>50</v>
      </c>
      <c r="V40" s="8" t="s">
        <v>50</v>
      </c>
      <c r="W40" s="8" t="s">
        <v>50</v>
      </c>
      <c r="X40" s="8"/>
      <c r="Y40" s="8" t="s">
        <v>50</v>
      </c>
      <c r="Z40" s="8" t="s">
        <v>50</v>
      </c>
      <c r="AA40" s="8" t="s">
        <v>50</v>
      </c>
      <c r="AB40" s="8" t="s">
        <v>50</v>
      </c>
      <c r="AC40" s="8" t="s">
        <v>50</v>
      </c>
      <c r="AD40" s="8" t="s">
        <v>50</v>
      </c>
      <c r="AE40" s="8"/>
      <c r="AF40" s="8" t="s">
        <v>50</v>
      </c>
      <c r="AG40" s="8" t="s">
        <v>50</v>
      </c>
      <c r="AH40" s="8" t="s">
        <v>50</v>
      </c>
      <c r="AI40" s="8" t="s">
        <v>50</v>
      </c>
      <c r="AJ40" s="8" t="s">
        <v>50</v>
      </c>
      <c r="AK40" s="8" t="s">
        <v>50</v>
      </c>
      <c r="AL40" s="4" t="s">
        <v>49</v>
      </c>
      <c r="AM40" s="5">
        <f t="shared" si="1"/>
        <v>27</v>
      </c>
      <c r="AN40" s="5">
        <f t="shared" si="2"/>
        <v>0</v>
      </c>
      <c r="AO40" s="18">
        <f t="shared" si="3"/>
        <v>27</v>
      </c>
      <c r="AP40" s="19"/>
      <c r="AQ40" s="20">
        <f t="shared" si="4"/>
        <v>1</v>
      </c>
      <c r="AR40" s="21"/>
    </row>
    <row r="41" spans="2:44" ht="31.5" x14ac:dyDescent="0.5">
      <c r="B41" s="1">
        <v>1029</v>
      </c>
      <c r="C41" s="15" t="s">
        <v>39</v>
      </c>
      <c r="D41" s="16"/>
      <c r="E41" s="15"/>
      <c r="F41" s="17"/>
      <c r="G41" s="8" t="s">
        <v>50</v>
      </c>
      <c r="H41" s="8" t="s">
        <v>50</v>
      </c>
      <c r="I41" s="8" t="s">
        <v>50</v>
      </c>
      <c r="J41" s="8"/>
      <c r="K41" s="8" t="s">
        <v>50</v>
      </c>
      <c r="L41" s="8" t="s">
        <v>50</v>
      </c>
      <c r="M41" s="8" t="s">
        <v>50</v>
      </c>
      <c r="N41" s="8" t="s">
        <v>50</v>
      </c>
      <c r="O41" s="8" t="s">
        <v>50</v>
      </c>
      <c r="P41" s="8" t="s">
        <v>50</v>
      </c>
      <c r="Q41" s="8"/>
      <c r="R41" s="8" t="s">
        <v>50</v>
      </c>
      <c r="S41" s="8" t="s">
        <v>50</v>
      </c>
      <c r="T41" s="8" t="s">
        <v>50</v>
      </c>
      <c r="U41" s="8" t="s">
        <v>50</v>
      </c>
      <c r="V41" s="8" t="s">
        <v>50</v>
      </c>
      <c r="W41" s="8" t="s">
        <v>50</v>
      </c>
      <c r="X41" s="8"/>
      <c r="Y41" s="8" t="s">
        <v>50</v>
      </c>
      <c r="Z41" s="8" t="s">
        <v>50</v>
      </c>
      <c r="AA41" s="8" t="s">
        <v>50</v>
      </c>
      <c r="AB41" s="8" t="s">
        <v>50</v>
      </c>
      <c r="AC41" s="8" t="s">
        <v>50</v>
      </c>
      <c r="AD41" s="8" t="s">
        <v>50</v>
      </c>
      <c r="AE41" s="8"/>
      <c r="AF41" s="8" t="s">
        <v>50</v>
      </c>
      <c r="AG41" s="8" t="s">
        <v>50</v>
      </c>
      <c r="AH41" s="8" t="s">
        <v>50</v>
      </c>
      <c r="AI41" s="8" t="s">
        <v>50</v>
      </c>
      <c r="AJ41" s="8" t="s">
        <v>50</v>
      </c>
      <c r="AK41" s="8" t="s">
        <v>50</v>
      </c>
      <c r="AL41" s="4" t="s">
        <v>49</v>
      </c>
      <c r="AM41" s="5">
        <f t="shared" si="1"/>
        <v>27</v>
      </c>
      <c r="AN41" s="5">
        <f t="shared" si="2"/>
        <v>0</v>
      </c>
      <c r="AO41" s="18">
        <f t="shared" si="3"/>
        <v>27</v>
      </c>
      <c r="AP41" s="19"/>
      <c r="AQ41" s="20">
        <f t="shared" si="4"/>
        <v>1</v>
      </c>
      <c r="AR41" s="21"/>
    </row>
    <row r="42" spans="2:44" ht="31.5" x14ac:dyDescent="0.5">
      <c r="B42" s="1">
        <v>1030</v>
      </c>
      <c r="C42" s="15" t="s">
        <v>40</v>
      </c>
      <c r="D42" s="16"/>
      <c r="E42" s="15"/>
      <c r="F42" s="17"/>
      <c r="G42" s="8" t="s">
        <v>50</v>
      </c>
      <c r="H42" s="8" t="s">
        <v>50</v>
      </c>
      <c r="I42" s="8" t="s">
        <v>50</v>
      </c>
      <c r="J42" s="8"/>
      <c r="K42" s="8" t="s">
        <v>50</v>
      </c>
      <c r="L42" s="8" t="s">
        <v>50</v>
      </c>
      <c r="M42" s="8" t="s">
        <v>50</v>
      </c>
      <c r="N42" s="8" t="s">
        <v>50</v>
      </c>
      <c r="O42" s="8" t="s">
        <v>50</v>
      </c>
      <c r="P42" s="8" t="s">
        <v>50</v>
      </c>
      <c r="Q42" s="8"/>
      <c r="R42" s="8" t="s">
        <v>50</v>
      </c>
      <c r="S42" s="8" t="s">
        <v>50</v>
      </c>
      <c r="T42" s="8" t="s">
        <v>50</v>
      </c>
      <c r="U42" s="8" t="s">
        <v>50</v>
      </c>
      <c r="V42" s="8" t="s">
        <v>50</v>
      </c>
      <c r="W42" s="8" t="s">
        <v>50</v>
      </c>
      <c r="X42" s="8"/>
      <c r="Y42" s="8" t="s">
        <v>50</v>
      </c>
      <c r="Z42" s="8" t="s">
        <v>50</v>
      </c>
      <c r="AA42" s="8" t="s">
        <v>50</v>
      </c>
      <c r="AB42" s="8" t="s">
        <v>50</v>
      </c>
      <c r="AC42" s="8" t="s">
        <v>50</v>
      </c>
      <c r="AD42" s="8" t="s">
        <v>50</v>
      </c>
      <c r="AE42" s="8"/>
      <c r="AF42" s="8" t="s">
        <v>50</v>
      </c>
      <c r="AG42" s="8" t="s">
        <v>50</v>
      </c>
      <c r="AH42" s="8" t="s">
        <v>50</v>
      </c>
      <c r="AI42" s="8" t="s">
        <v>50</v>
      </c>
      <c r="AJ42" s="8" t="s">
        <v>50</v>
      </c>
      <c r="AK42" s="8" t="s">
        <v>50</v>
      </c>
      <c r="AL42" s="4" t="s">
        <v>49</v>
      </c>
      <c r="AM42" s="5">
        <f t="shared" si="1"/>
        <v>27</v>
      </c>
      <c r="AN42" s="5">
        <f t="shared" si="2"/>
        <v>0</v>
      </c>
      <c r="AO42" s="18">
        <f t="shared" si="3"/>
        <v>27</v>
      </c>
      <c r="AP42" s="19"/>
      <c r="AQ42" s="20">
        <f t="shared" si="4"/>
        <v>1</v>
      </c>
      <c r="AR42" s="21"/>
    </row>
    <row r="43" spans="2:44" ht="31.5" x14ac:dyDescent="0.5">
      <c r="B43" s="1">
        <v>1031</v>
      </c>
      <c r="C43" s="15" t="s">
        <v>41</v>
      </c>
      <c r="D43" s="16"/>
      <c r="E43" s="15"/>
      <c r="F43" s="17"/>
      <c r="G43" s="8" t="s">
        <v>50</v>
      </c>
      <c r="H43" s="8" t="s">
        <v>50</v>
      </c>
      <c r="I43" s="8" t="s">
        <v>50</v>
      </c>
      <c r="J43" s="8"/>
      <c r="K43" s="8" t="s">
        <v>50</v>
      </c>
      <c r="L43" s="8" t="s">
        <v>50</v>
      </c>
      <c r="M43" s="8" t="s">
        <v>50</v>
      </c>
      <c r="N43" s="8" t="s">
        <v>50</v>
      </c>
      <c r="O43" s="8" t="s">
        <v>50</v>
      </c>
      <c r="P43" s="8" t="s">
        <v>50</v>
      </c>
      <c r="Q43" s="8"/>
      <c r="R43" s="8" t="s">
        <v>50</v>
      </c>
      <c r="S43" s="8" t="s">
        <v>50</v>
      </c>
      <c r="T43" s="8" t="s">
        <v>50</v>
      </c>
      <c r="U43" s="8" t="s">
        <v>50</v>
      </c>
      <c r="V43" s="8" t="s">
        <v>50</v>
      </c>
      <c r="W43" s="8" t="s">
        <v>50</v>
      </c>
      <c r="X43" s="8"/>
      <c r="Y43" s="8" t="s">
        <v>50</v>
      </c>
      <c r="Z43" s="8" t="s">
        <v>50</v>
      </c>
      <c r="AA43" s="8" t="s">
        <v>51</v>
      </c>
      <c r="AB43" s="8" t="s">
        <v>50</v>
      </c>
      <c r="AC43" s="8" t="s">
        <v>50</v>
      </c>
      <c r="AD43" s="8" t="s">
        <v>50</v>
      </c>
      <c r="AE43" s="8"/>
      <c r="AF43" s="8" t="s">
        <v>50</v>
      </c>
      <c r="AG43" s="8" t="s">
        <v>50</v>
      </c>
      <c r="AH43" s="8" t="s">
        <v>50</v>
      </c>
      <c r="AI43" s="8" t="s">
        <v>50</v>
      </c>
      <c r="AJ43" s="8" t="s">
        <v>50</v>
      </c>
      <c r="AK43" s="8" t="s">
        <v>50</v>
      </c>
      <c r="AL43" s="4" t="s">
        <v>49</v>
      </c>
      <c r="AM43" s="5">
        <f t="shared" si="1"/>
        <v>26</v>
      </c>
      <c r="AN43" s="5">
        <f t="shared" si="2"/>
        <v>1</v>
      </c>
      <c r="AO43" s="18">
        <f t="shared" si="3"/>
        <v>27</v>
      </c>
      <c r="AP43" s="19"/>
      <c r="AQ43" s="20">
        <f t="shared" si="4"/>
        <v>0.96296296296296291</v>
      </c>
      <c r="AR43" s="21"/>
    </row>
    <row r="44" spans="2:44" ht="31.5" x14ac:dyDescent="0.5">
      <c r="B44" s="1">
        <v>1032</v>
      </c>
      <c r="C44" s="15" t="s">
        <v>42</v>
      </c>
      <c r="D44" s="16"/>
      <c r="E44" s="15"/>
      <c r="F44" s="17"/>
      <c r="G44" s="8" t="s">
        <v>50</v>
      </c>
      <c r="H44" s="8" t="s">
        <v>50</v>
      </c>
      <c r="I44" s="8" t="s">
        <v>50</v>
      </c>
      <c r="J44" s="8"/>
      <c r="K44" s="8" t="s">
        <v>50</v>
      </c>
      <c r="L44" s="8" t="s">
        <v>50</v>
      </c>
      <c r="M44" s="8" t="s">
        <v>50</v>
      </c>
      <c r="N44" s="8" t="s">
        <v>51</v>
      </c>
      <c r="O44" s="8" t="s">
        <v>50</v>
      </c>
      <c r="P44" s="8" t="s">
        <v>50</v>
      </c>
      <c r="Q44" s="8"/>
      <c r="R44" s="8" t="s">
        <v>50</v>
      </c>
      <c r="S44" s="8" t="s">
        <v>50</v>
      </c>
      <c r="T44" s="8" t="s">
        <v>50</v>
      </c>
      <c r="U44" s="8" t="s">
        <v>50</v>
      </c>
      <c r="V44" s="8" t="s">
        <v>50</v>
      </c>
      <c r="W44" s="8" t="s">
        <v>50</v>
      </c>
      <c r="X44" s="8"/>
      <c r="Y44" s="8" t="s">
        <v>50</v>
      </c>
      <c r="Z44" s="8" t="s">
        <v>50</v>
      </c>
      <c r="AA44" s="8" t="s">
        <v>50</v>
      </c>
      <c r="AB44" s="8" t="s">
        <v>50</v>
      </c>
      <c r="AC44" s="8" t="s">
        <v>50</v>
      </c>
      <c r="AD44" s="8" t="s">
        <v>50</v>
      </c>
      <c r="AE44" s="8"/>
      <c r="AF44" s="8" t="s">
        <v>50</v>
      </c>
      <c r="AG44" s="8" t="s">
        <v>50</v>
      </c>
      <c r="AH44" s="8" t="s">
        <v>50</v>
      </c>
      <c r="AI44" s="8" t="s">
        <v>50</v>
      </c>
      <c r="AJ44" s="8" t="s">
        <v>50</v>
      </c>
      <c r="AK44" s="8" t="s">
        <v>50</v>
      </c>
      <c r="AL44" s="4" t="s">
        <v>49</v>
      </c>
      <c r="AM44" s="5">
        <f t="shared" si="1"/>
        <v>26</v>
      </c>
      <c r="AN44" s="5">
        <f t="shared" si="2"/>
        <v>1</v>
      </c>
      <c r="AO44" s="18">
        <f t="shared" si="3"/>
        <v>27</v>
      </c>
      <c r="AP44" s="19"/>
      <c r="AQ44" s="20">
        <f t="shared" si="4"/>
        <v>0.96296296296296291</v>
      </c>
      <c r="AR44" s="21"/>
    </row>
    <row r="45" spans="2:44" ht="31.5" x14ac:dyDescent="0.5">
      <c r="B45" s="1">
        <v>1033</v>
      </c>
      <c r="C45" s="15" t="s">
        <v>43</v>
      </c>
      <c r="D45" s="16"/>
      <c r="E45" s="15"/>
      <c r="F45" s="17"/>
      <c r="G45" s="8" t="s">
        <v>50</v>
      </c>
      <c r="H45" s="8" t="s">
        <v>50</v>
      </c>
      <c r="I45" s="8" t="s">
        <v>50</v>
      </c>
      <c r="J45" s="8"/>
      <c r="K45" s="8" t="s">
        <v>50</v>
      </c>
      <c r="L45" s="8" t="s">
        <v>50</v>
      </c>
      <c r="M45" s="8" t="s">
        <v>50</v>
      </c>
      <c r="N45" s="8" t="s">
        <v>50</v>
      </c>
      <c r="O45" s="8" t="s">
        <v>50</v>
      </c>
      <c r="P45" s="8" t="s">
        <v>50</v>
      </c>
      <c r="Q45" s="8"/>
      <c r="R45" s="8" t="s">
        <v>50</v>
      </c>
      <c r="S45" s="8" t="s">
        <v>50</v>
      </c>
      <c r="T45" s="8" t="s">
        <v>50</v>
      </c>
      <c r="U45" s="8" t="s">
        <v>50</v>
      </c>
      <c r="V45" s="8" t="s">
        <v>50</v>
      </c>
      <c r="W45" s="8" t="s">
        <v>50</v>
      </c>
      <c r="X45" s="8"/>
      <c r="Y45" s="8" t="s">
        <v>50</v>
      </c>
      <c r="Z45" s="8" t="s">
        <v>50</v>
      </c>
      <c r="AA45" s="8" t="s">
        <v>50</v>
      </c>
      <c r="AB45" s="8" t="s">
        <v>50</v>
      </c>
      <c r="AC45" s="8" t="s">
        <v>50</v>
      </c>
      <c r="AD45" s="8" t="s">
        <v>50</v>
      </c>
      <c r="AE45" s="8"/>
      <c r="AF45" s="8" t="s">
        <v>50</v>
      </c>
      <c r="AG45" s="8" t="s">
        <v>50</v>
      </c>
      <c r="AH45" s="8" t="s">
        <v>50</v>
      </c>
      <c r="AI45" s="8" t="s">
        <v>50</v>
      </c>
      <c r="AJ45" s="8" t="s">
        <v>50</v>
      </c>
      <c r="AK45" s="8" t="s">
        <v>50</v>
      </c>
      <c r="AL45" s="4" t="s">
        <v>49</v>
      </c>
      <c r="AM45" s="5">
        <f t="shared" si="1"/>
        <v>27</v>
      </c>
      <c r="AN45" s="5">
        <f t="shared" si="2"/>
        <v>0</v>
      </c>
      <c r="AO45" s="18">
        <f t="shared" si="3"/>
        <v>27</v>
      </c>
      <c r="AP45" s="19"/>
      <c r="AQ45" s="20">
        <f t="shared" si="4"/>
        <v>1</v>
      </c>
      <c r="AR45" s="21"/>
    </row>
    <row r="46" spans="2:44" ht="31.5" x14ac:dyDescent="0.5">
      <c r="B46" s="1">
        <v>1034</v>
      </c>
      <c r="C46" s="15" t="s">
        <v>44</v>
      </c>
      <c r="D46" s="16"/>
      <c r="E46" s="15"/>
      <c r="F46" s="17"/>
      <c r="G46" s="8" t="s">
        <v>50</v>
      </c>
      <c r="H46" s="8" t="s">
        <v>50</v>
      </c>
      <c r="I46" s="8" t="s">
        <v>50</v>
      </c>
      <c r="J46" s="8"/>
      <c r="K46" s="8" t="s">
        <v>50</v>
      </c>
      <c r="L46" s="8" t="s">
        <v>50</v>
      </c>
      <c r="M46" s="8" t="s">
        <v>50</v>
      </c>
      <c r="N46" s="8" t="s">
        <v>50</v>
      </c>
      <c r="O46" s="8" t="s">
        <v>50</v>
      </c>
      <c r="P46" s="8" t="s">
        <v>50</v>
      </c>
      <c r="Q46" s="8"/>
      <c r="R46" s="8" t="s">
        <v>50</v>
      </c>
      <c r="S46" s="8" t="s">
        <v>50</v>
      </c>
      <c r="T46" s="8" t="s">
        <v>50</v>
      </c>
      <c r="U46" s="8" t="s">
        <v>50</v>
      </c>
      <c r="V46" s="8" t="s">
        <v>50</v>
      </c>
      <c r="W46" s="8" t="s">
        <v>50</v>
      </c>
      <c r="X46" s="8"/>
      <c r="Y46" s="8" t="s">
        <v>50</v>
      </c>
      <c r="Z46" s="8" t="s">
        <v>50</v>
      </c>
      <c r="AA46" s="8" t="s">
        <v>50</v>
      </c>
      <c r="AB46" s="8" t="s">
        <v>50</v>
      </c>
      <c r="AC46" s="8" t="s">
        <v>50</v>
      </c>
      <c r="AD46" s="8" t="s">
        <v>50</v>
      </c>
      <c r="AE46" s="8"/>
      <c r="AF46" s="8" t="s">
        <v>50</v>
      </c>
      <c r="AG46" s="8" t="s">
        <v>50</v>
      </c>
      <c r="AH46" s="8" t="s">
        <v>50</v>
      </c>
      <c r="AI46" s="8" t="s">
        <v>51</v>
      </c>
      <c r="AJ46" s="8" t="s">
        <v>50</v>
      </c>
      <c r="AK46" s="8" t="s">
        <v>50</v>
      </c>
      <c r="AL46" s="4" t="s">
        <v>49</v>
      </c>
      <c r="AM46" s="5">
        <f t="shared" si="1"/>
        <v>26</v>
      </c>
      <c r="AN46" s="5">
        <f t="shared" si="2"/>
        <v>1</v>
      </c>
      <c r="AO46" s="18">
        <f t="shared" si="3"/>
        <v>27</v>
      </c>
      <c r="AP46" s="19"/>
      <c r="AQ46" s="20">
        <f t="shared" si="4"/>
        <v>0.96296296296296291</v>
      </c>
      <c r="AR46" s="21"/>
    </row>
    <row r="47" spans="2:44" ht="31.5" x14ac:dyDescent="0.5">
      <c r="B47" s="1">
        <v>1035</v>
      </c>
      <c r="C47" s="15" t="s">
        <v>45</v>
      </c>
      <c r="D47" s="16"/>
      <c r="E47" s="15"/>
      <c r="F47" s="17"/>
      <c r="G47" s="8" t="s">
        <v>50</v>
      </c>
      <c r="H47" s="8" t="s">
        <v>50</v>
      </c>
      <c r="I47" s="8" t="s">
        <v>50</v>
      </c>
      <c r="J47" s="8"/>
      <c r="K47" s="8" t="s">
        <v>50</v>
      </c>
      <c r="L47" s="8" t="s">
        <v>50</v>
      </c>
      <c r="M47" s="8" t="s">
        <v>50</v>
      </c>
      <c r="N47" s="8" t="s">
        <v>50</v>
      </c>
      <c r="O47" s="8" t="s">
        <v>50</v>
      </c>
      <c r="P47" s="8" t="s">
        <v>50</v>
      </c>
      <c r="Q47" s="8"/>
      <c r="R47" s="8" t="s">
        <v>50</v>
      </c>
      <c r="S47" s="8" t="s">
        <v>50</v>
      </c>
      <c r="T47" s="8" t="s">
        <v>50</v>
      </c>
      <c r="U47" s="8" t="s">
        <v>50</v>
      </c>
      <c r="V47" s="8" t="s">
        <v>50</v>
      </c>
      <c r="W47" s="8" t="s">
        <v>50</v>
      </c>
      <c r="X47" s="8"/>
      <c r="Y47" s="8" t="s">
        <v>50</v>
      </c>
      <c r="Z47" s="8" t="s">
        <v>50</v>
      </c>
      <c r="AA47" s="8" t="s">
        <v>51</v>
      </c>
      <c r="AB47" s="8" t="s">
        <v>50</v>
      </c>
      <c r="AC47" s="8" t="s">
        <v>50</v>
      </c>
      <c r="AD47" s="8" t="s">
        <v>50</v>
      </c>
      <c r="AE47" s="8"/>
      <c r="AF47" s="8" t="s">
        <v>50</v>
      </c>
      <c r="AG47" s="8" t="s">
        <v>50</v>
      </c>
      <c r="AH47" s="8" t="s">
        <v>50</v>
      </c>
      <c r="AI47" s="8" t="s">
        <v>50</v>
      </c>
      <c r="AJ47" s="8" t="s">
        <v>50</v>
      </c>
      <c r="AK47" s="8" t="s">
        <v>50</v>
      </c>
      <c r="AL47" s="4" t="s">
        <v>49</v>
      </c>
      <c r="AM47" s="5">
        <f t="shared" si="1"/>
        <v>26</v>
      </c>
      <c r="AN47" s="5">
        <f t="shared" si="2"/>
        <v>1</v>
      </c>
      <c r="AO47" s="18">
        <f t="shared" si="3"/>
        <v>27</v>
      </c>
      <c r="AP47" s="19"/>
      <c r="AQ47" s="20">
        <f t="shared" si="4"/>
        <v>0.96296296296296291</v>
      </c>
      <c r="AR47" s="21"/>
    </row>
    <row r="48" spans="2:44" ht="31.5" x14ac:dyDescent="0.5">
      <c r="B48" s="1">
        <v>1036</v>
      </c>
      <c r="C48" s="15" t="s">
        <v>46</v>
      </c>
      <c r="D48" s="16"/>
      <c r="E48" s="15"/>
      <c r="F48" s="17"/>
      <c r="G48" s="8" t="s">
        <v>50</v>
      </c>
      <c r="H48" s="8" t="s">
        <v>50</v>
      </c>
      <c r="I48" s="8" t="s">
        <v>50</v>
      </c>
      <c r="J48" s="8"/>
      <c r="K48" s="8" t="s">
        <v>50</v>
      </c>
      <c r="L48" s="8" t="s">
        <v>50</v>
      </c>
      <c r="M48" s="8" t="s">
        <v>50</v>
      </c>
      <c r="N48" s="8" t="s">
        <v>51</v>
      </c>
      <c r="O48" s="8" t="s">
        <v>50</v>
      </c>
      <c r="P48" s="8" t="s">
        <v>50</v>
      </c>
      <c r="Q48" s="8"/>
      <c r="R48" s="8" t="s">
        <v>50</v>
      </c>
      <c r="S48" s="8" t="s">
        <v>50</v>
      </c>
      <c r="T48" s="8" t="s">
        <v>50</v>
      </c>
      <c r="U48" s="8" t="s">
        <v>50</v>
      </c>
      <c r="V48" s="8" t="s">
        <v>50</v>
      </c>
      <c r="W48" s="8" t="s">
        <v>50</v>
      </c>
      <c r="X48" s="8"/>
      <c r="Y48" s="8" t="s">
        <v>50</v>
      </c>
      <c r="Z48" s="8" t="s">
        <v>50</v>
      </c>
      <c r="AA48" s="8" t="s">
        <v>50</v>
      </c>
      <c r="AB48" s="8" t="s">
        <v>50</v>
      </c>
      <c r="AC48" s="8" t="s">
        <v>50</v>
      </c>
      <c r="AD48" s="8" t="s">
        <v>50</v>
      </c>
      <c r="AE48" s="8"/>
      <c r="AF48" s="8" t="s">
        <v>50</v>
      </c>
      <c r="AG48" s="8" t="s">
        <v>50</v>
      </c>
      <c r="AH48" s="8" t="s">
        <v>50</v>
      </c>
      <c r="AI48" s="8" t="s">
        <v>50</v>
      </c>
      <c r="AJ48" s="8" t="s">
        <v>50</v>
      </c>
      <c r="AK48" s="8" t="s">
        <v>50</v>
      </c>
      <c r="AL48" s="4" t="s">
        <v>49</v>
      </c>
      <c r="AM48" s="5">
        <f t="shared" si="1"/>
        <v>26</v>
      </c>
      <c r="AN48" s="5">
        <f t="shared" si="2"/>
        <v>1</v>
      </c>
      <c r="AO48" s="18">
        <f t="shared" si="3"/>
        <v>27</v>
      </c>
      <c r="AP48" s="19"/>
      <c r="AQ48" s="20">
        <f t="shared" si="4"/>
        <v>0.96296296296296291</v>
      </c>
      <c r="AR48" s="21"/>
    </row>
    <row r="49" spans="2:44" ht="31.5" x14ac:dyDescent="0.5">
      <c r="B49" s="1">
        <v>1037</v>
      </c>
      <c r="C49" s="15" t="s">
        <v>47</v>
      </c>
      <c r="D49" s="16"/>
      <c r="E49" s="15"/>
      <c r="F49" s="17"/>
      <c r="G49" s="8" t="s">
        <v>50</v>
      </c>
      <c r="H49" s="8" t="s">
        <v>50</v>
      </c>
      <c r="I49" s="8" t="s">
        <v>50</v>
      </c>
      <c r="J49" s="8"/>
      <c r="K49" s="8" t="s">
        <v>50</v>
      </c>
      <c r="L49" s="8" t="s">
        <v>50</v>
      </c>
      <c r="M49" s="8" t="s">
        <v>50</v>
      </c>
      <c r="N49" s="8" t="s">
        <v>50</v>
      </c>
      <c r="O49" s="8" t="s">
        <v>50</v>
      </c>
      <c r="P49" s="8" t="s">
        <v>50</v>
      </c>
      <c r="Q49" s="8"/>
      <c r="R49" s="8" t="s">
        <v>50</v>
      </c>
      <c r="S49" s="8" t="s">
        <v>50</v>
      </c>
      <c r="T49" s="8" t="s">
        <v>50</v>
      </c>
      <c r="U49" s="8" t="s">
        <v>50</v>
      </c>
      <c r="V49" s="8" t="s">
        <v>50</v>
      </c>
      <c r="W49" s="8" t="s">
        <v>50</v>
      </c>
      <c r="X49" s="8"/>
      <c r="Y49" s="8" t="s">
        <v>50</v>
      </c>
      <c r="Z49" s="8" t="s">
        <v>50</v>
      </c>
      <c r="AA49" s="8" t="s">
        <v>50</v>
      </c>
      <c r="AB49" s="8" t="s">
        <v>50</v>
      </c>
      <c r="AC49" s="8" t="s">
        <v>50</v>
      </c>
      <c r="AD49" s="8" t="s">
        <v>50</v>
      </c>
      <c r="AE49" s="8"/>
      <c r="AF49" s="8" t="s">
        <v>50</v>
      </c>
      <c r="AG49" s="8" t="s">
        <v>50</v>
      </c>
      <c r="AH49" s="8" t="s">
        <v>50</v>
      </c>
      <c r="AI49" s="8" t="s">
        <v>50</v>
      </c>
      <c r="AJ49" s="8" t="s">
        <v>50</v>
      </c>
      <c r="AK49" s="8" t="s">
        <v>50</v>
      </c>
      <c r="AL49" s="4" t="s">
        <v>49</v>
      </c>
      <c r="AM49" s="5">
        <f t="shared" si="1"/>
        <v>27</v>
      </c>
      <c r="AN49" s="5">
        <f t="shared" si="2"/>
        <v>0</v>
      </c>
      <c r="AO49" s="18">
        <f t="shared" si="3"/>
        <v>27</v>
      </c>
      <c r="AP49" s="19"/>
      <c r="AQ49" s="20">
        <f t="shared" si="4"/>
        <v>1</v>
      </c>
      <c r="AR49" s="21"/>
    </row>
    <row r="50" spans="2:44" ht="31.5" x14ac:dyDescent="0.5">
      <c r="B50" s="1">
        <v>1038</v>
      </c>
      <c r="C50" s="15" t="s">
        <v>48</v>
      </c>
      <c r="D50" s="16"/>
      <c r="E50" s="15"/>
      <c r="F50" s="17"/>
      <c r="G50" s="8" t="s">
        <v>50</v>
      </c>
      <c r="H50" s="8" t="s">
        <v>50</v>
      </c>
      <c r="I50" s="8" t="s">
        <v>50</v>
      </c>
      <c r="J50" s="8"/>
      <c r="K50" s="8" t="s">
        <v>50</v>
      </c>
      <c r="L50" s="8" t="s">
        <v>50</v>
      </c>
      <c r="M50" s="8" t="s">
        <v>50</v>
      </c>
      <c r="N50" s="8" t="s">
        <v>50</v>
      </c>
      <c r="O50" s="8" t="s">
        <v>50</v>
      </c>
      <c r="P50" s="8" t="s">
        <v>50</v>
      </c>
      <c r="Q50" s="8"/>
      <c r="R50" s="8" t="s">
        <v>50</v>
      </c>
      <c r="S50" s="8" t="s">
        <v>50</v>
      </c>
      <c r="T50" s="8" t="s">
        <v>50</v>
      </c>
      <c r="U50" s="8" t="s">
        <v>50</v>
      </c>
      <c r="V50" s="8" t="s">
        <v>50</v>
      </c>
      <c r="W50" s="8" t="s">
        <v>50</v>
      </c>
      <c r="X50" s="8"/>
      <c r="Y50" s="8" t="s">
        <v>50</v>
      </c>
      <c r="Z50" s="8" t="s">
        <v>50</v>
      </c>
      <c r="AA50" s="8" t="s">
        <v>50</v>
      </c>
      <c r="AB50" s="8" t="s">
        <v>50</v>
      </c>
      <c r="AC50" s="8" t="s">
        <v>50</v>
      </c>
      <c r="AD50" s="8" t="s">
        <v>50</v>
      </c>
      <c r="AE50" s="8"/>
      <c r="AF50" s="8" t="s">
        <v>50</v>
      </c>
      <c r="AG50" s="8" t="s">
        <v>50</v>
      </c>
      <c r="AH50" s="8" t="s">
        <v>50</v>
      </c>
      <c r="AI50" s="8" t="s">
        <v>50</v>
      </c>
      <c r="AJ50" s="8" t="s">
        <v>50</v>
      </c>
      <c r="AK50" s="8" t="s">
        <v>50</v>
      </c>
      <c r="AL50" s="4" t="s">
        <v>49</v>
      </c>
      <c r="AM50" s="5">
        <f t="shared" si="1"/>
        <v>27</v>
      </c>
      <c r="AN50" s="5">
        <f t="shared" si="2"/>
        <v>0</v>
      </c>
      <c r="AO50" s="18">
        <f t="shared" si="3"/>
        <v>27</v>
      </c>
      <c r="AP50" s="19"/>
      <c r="AQ50" s="20">
        <f t="shared" si="4"/>
        <v>1</v>
      </c>
      <c r="AR50" s="21"/>
    </row>
    <row r="51" spans="2:44" ht="31.5" x14ac:dyDescent="0.5">
      <c r="B51" s="1">
        <v>1039</v>
      </c>
      <c r="C51" s="15" t="s">
        <v>66</v>
      </c>
      <c r="D51" s="16"/>
      <c r="E51" s="15"/>
      <c r="F51" s="17"/>
      <c r="G51" s="8" t="s">
        <v>50</v>
      </c>
      <c r="H51" s="8" t="s">
        <v>50</v>
      </c>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4" t="s">
        <v>49</v>
      </c>
      <c r="AM51" s="5">
        <f t="shared" ref="AM51:AM114" si="5">IF($B51="","",COUNTIF($G51:$AK51,"P"))</f>
        <v>2</v>
      </c>
      <c r="AN51" s="5">
        <f t="shared" ref="AN51:AN114" si="6">IF($B51="","",COUNTIF($G51:$AK51,"AB"))</f>
        <v>0</v>
      </c>
      <c r="AO51" s="18">
        <f t="shared" ref="AO51:AO114" si="7">IF($B51="","",SUMPRODUCT(--($G$11:$AK$11&lt;&gt;""),--($G$12:$AK$12&lt;&gt;"Sun")))</f>
        <v>27</v>
      </c>
      <c r="AP51" s="19"/>
      <c r="AQ51" s="20">
        <f t="shared" ref="AQ51:AQ114" si="8">IF($B51="","",IF(AO51=0,"",AM51/AO51))</f>
        <v>7.407407407407407E-2</v>
      </c>
      <c r="AR51" s="21"/>
    </row>
    <row r="52" spans="2:44" ht="31.5" x14ac:dyDescent="0.5">
      <c r="B52" s="1"/>
      <c r="C52" s="15"/>
      <c r="D52" s="16"/>
      <c r="E52" s="15"/>
      <c r="F52" s="17"/>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4" t="s">
        <v>49</v>
      </c>
      <c r="AM52" s="5" t="str">
        <f t="shared" si="5"/>
        <v/>
      </c>
      <c r="AN52" s="5" t="str">
        <f t="shared" si="6"/>
        <v/>
      </c>
      <c r="AO52" s="18" t="str">
        <f t="shared" si="7"/>
        <v/>
      </c>
      <c r="AP52" s="19"/>
      <c r="AQ52" s="20" t="str">
        <f t="shared" si="8"/>
        <v/>
      </c>
      <c r="AR52" s="21"/>
    </row>
    <row r="53" spans="2:44" ht="31.5" x14ac:dyDescent="0.5">
      <c r="B53" s="1"/>
      <c r="C53" s="15"/>
      <c r="D53" s="16"/>
      <c r="E53" s="15"/>
      <c r="F53" s="17"/>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4" t="s">
        <v>49</v>
      </c>
      <c r="AM53" s="5" t="str">
        <f t="shared" si="5"/>
        <v/>
      </c>
      <c r="AN53" s="5" t="str">
        <f t="shared" si="6"/>
        <v/>
      </c>
      <c r="AO53" s="18" t="str">
        <f t="shared" si="7"/>
        <v/>
      </c>
      <c r="AP53" s="19"/>
      <c r="AQ53" s="20" t="str">
        <f t="shared" si="8"/>
        <v/>
      </c>
      <c r="AR53" s="21"/>
    </row>
    <row r="54" spans="2:44" ht="31.5" x14ac:dyDescent="0.5">
      <c r="B54" s="1"/>
      <c r="C54" s="15"/>
      <c r="D54" s="16"/>
      <c r="E54" s="15"/>
      <c r="F54" s="17"/>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4" t="s">
        <v>49</v>
      </c>
      <c r="AM54" s="5" t="str">
        <f t="shared" si="5"/>
        <v/>
      </c>
      <c r="AN54" s="5" t="str">
        <f t="shared" si="6"/>
        <v/>
      </c>
      <c r="AO54" s="18" t="str">
        <f t="shared" si="7"/>
        <v/>
      </c>
      <c r="AP54" s="19"/>
      <c r="AQ54" s="20" t="str">
        <f t="shared" si="8"/>
        <v/>
      </c>
      <c r="AR54" s="21"/>
    </row>
    <row r="55" spans="2:44" ht="31.5" x14ac:dyDescent="0.5">
      <c r="B55" s="1"/>
      <c r="C55" s="15"/>
      <c r="D55" s="16"/>
      <c r="E55" s="15"/>
      <c r="F55" s="17"/>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4" t="s">
        <v>49</v>
      </c>
      <c r="AM55" s="5" t="str">
        <f t="shared" si="5"/>
        <v/>
      </c>
      <c r="AN55" s="5" t="str">
        <f t="shared" si="6"/>
        <v/>
      </c>
      <c r="AO55" s="18" t="str">
        <f t="shared" si="7"/>
        <v/>
      </c>
      <c r="AP55" s="19"/>
      <c r="AQ55" s="20" t="str">
        <f t="shared" si="8"/>
        <v/>
      </c>
      <c r="AR55" s="21"/>
    </row>
    <row r="56" spans="2:44" ht="31.5" x14ac:dyDescent="0.5">
      <c r="B56" s="1"/>
      <c r="C56" s="15"/>
      <c r="D56" s="16"/>
      <c r="E56" s="15"/>
      <c r="F56" s="17"/>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4" t="s">
        <v>49</v>
      </c>
      <c r="AM56" s="5" t="str">
        <f t="shared" si="5"/>
        <v/>
      </c>
      <c r="AN56" s="5" t="str">
        <f t="shared" si="6"/>
        <v/>
      </c>
      <c r="AO56" s="18" t="str">
        <f t="shared" si="7"/>
        <v/>
      </c>
      <c r="AP56" s="19"/>
      <c r="AQ56" s="20" t="str">
        <f t="shared" si="8"/>
        <v/>
      </c>
      <c r="AR56" s="21"/>
    </row>
    <row r="57" spans="2:44" ht="31.5" x14ac:dyDescent="0.5">
      <c r="B57" s="1"/>
      <c r="C57" s="15"/>
      <c r="D57" s="16"/>
      <c r="E57" s="15"/>
      <c r="F57" s="17"/>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4" t="s">
        <v>49</v>
      </c>
      <c r="AM57" s="5" t="str">
        <f t="shared" si="5"/>
        <v/>
      </c>
      <c r="AN57" s="5" t="str">
        <f t="shared" si="6"/>
        <v/>
      </c>
      <c r="AO57" s="18" t="str">
        <f t="shared" si="7"/>
        <v/>
      </c>
      <c r="AP57" s="19"/>
      <c r="AQ57" s="20" t="str">
        <f t="shared" si="8"/>
        <v/>
      </c>
      <c r="AR57" s="21"/>
    </row>
    <row r="58" spans="2:44" ht="31.5" x14ac:dyDescent="0.5">
      <c r="B58" s="1"/>
      <c r="C58" s="15"/>
      <c r="D58" s="16"/>
      <c r="E58" s="15"/>
      <c r="F58" s="17"/>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4" t="s">
        <v>49</v>
      </c>
      <c r="AM58" s="5" t="str">
        <f t="shared" si="5"/>
        <v/>
      </c>
      <c r="AN58" s="5" t="str">
        <f t="shared" si="6"/>
        <v/>
      </c>
      <c r="AO58" s="18" t="str">
        <f t="shared" si="7"/>
        <v/>
      </c>
      <c r="AP58" s="19"/>
      <c r="AQ58" s="20" t="str">
        <f t="shared" si="8"/>
        <v/>
      </c>
      <c r="AR58" s="21"/>
    </row>
    <row r="59" spans="2:44" ht="31.5" x14ac:dyDescent="0.5">
      <c r="B59" s="1"/>
      <c r="C59" s="15"/>
      <c r="D59" s="16"/>
      <c r="E59" s="15"/>
      <c r="F59" s="17"/>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4" t="s">
        <v>49</v>
      </c>
      <c r="AM59" s="5" t="str">
        <f t="shared" si="5"/>
        <v/>
      </c>
      <c r="AN59" s="5" t="str">
        <f t="shared" si="6"/>
        <v/>
      </c>
      <c r="AO59" s="18" t="str">
        <f t="shared" si="7"/>
        <v/>
      </c>
      <c r="AP59" s="19"/>
      <c r="AQ59" s="20" t="str">
        <f t="shared" si="8"/>
        <v/>
      </c>
      <c r="AR59" s="21"/>
    </row>
    <row r="60" spans="2:44" ht="31.5" x14ac:dyDescent="0.5">
      <c r="B60" s="1"/>
      <c r="C60" s="15"/>
      <c r="D60" s="16"/>
      <c r="E60" s="15"/>
      <c r="F60" s="17"/>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4" t="s">
        <v>49</v>
      </c>
      <c r="AM60" s="5" t="str">
        <f t="shared" si="5"/>
        <v/>
      </c>
      <c r="AN60" s="5" t="str">
        <f t="shared" si="6"/>
        <v/>
      </c>
      <c r="AO60" s="18" t="str">
        <f t="shared" si="7"/>
        <v/>
      </c>
      <c r="AP60" s="19"/>
      <c r="AQ60" s="20" t="str">
        <f t="shared" si="8"/>
        <v/>
      </c>
      <c r="AR60" s="21"/>
    </row>
    <row r="61" spans="2:44" ht="31.5" x14ac:dyDescent="0.5">
      <c r="B61" s="1"/>
      <c r="C61" s="15"/>
      <c r="D61" s="16"/>
      <c r="E61" s="15"/>
      <c r="F61" s="17"/>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4" t="s">
        <v>49</v>
      </c>
      <c r="AM61" s="5" t="str">
        <f t="shared" si="5"/>
        <v/>
      </c>
      <c r="AN61" s="5" t="str">
        <f t="shared" si="6"/>
        <v/>
      </c>
      <c r="AO61" s="18" t="str">
        <f t="shared" si="7"/>
        <v/>
      </c>
      <c r="AP61" s="19"/>
      <c r="AQ61" s="20" t="str">
        <f t="shared" si="8"/>
        <v/>
      </c>
      <c r="AR61" s="21"/>
    </row>
    <row r="62" spans="2:44" ht="31.5" x14ac:dyDescent="0.5">
      <c r="B62" s="1"/>
      <c r="C62" s="15"/>
      <c r="D62" s="16"/>
      <c r="E62" s="15"/>
      <c r="F62" s="17"/>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4" t="s">
        <v>49</v>
      </c>
      <c r="AM62" s="5" t="str">
        <f t="shared" si="5"/>
        <v/>
      </c>
      <c r="AN62" s="5" t="str">
        <f t="shared" si="6"/>
        <v/>
      </c>
      <c r="AO62" s="18" t="str">
        <f t="shared" si="7"/>
        <v/>
      </c>
      <c r="AP62" s="19"/>
      <c r="AQ62" s="20" t="str">
        <f t="shared" si="8"/>
        <v/>
      </c>
      <c r="AR62" s="21"/>
    </row>
    <row r="63" spans="2:44" ht="31.5" x14ac:dyDescent="0.5">
      <c r="B63" s="1"/>
      <c r="C63" s="15"/>
      <c r="D63" s="16"/>
      <c r="E63" s="15"/>
      <c r="F63" s="17"/>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4" t="s">
        <v>49</v>
      </c>
      <c r="AM63" s="5" t="str">
        <f t="shared" si="5"/>
        <v/>
      </c>
      <c r="AN63" s="5" t="str">
        <f t="shared" si="6"/>
        <v/>
      </c>
      <c r="AO63" s="18" t="str">
        <f t="shared" si="7"/>
        <v/>
      </c>
      <c r="AP63" s="19"/>
      <c r="AQ63" s="20" t="str">
        <f t="shared" si="8"/>
        <v/>
      </c>
      <c r="AR63" s="21"/>
    </row>
    <row r="64" spans="2:44" ht="31.5" x14ac:dyDescent="0.5">
      <c r="B64" s="1"/>
      <c r="C64" s="15"/>
      <c r="D64" s="16"/>
      <c r="E64" s="15"/>
      <c r="F64" s="17"/>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4" t="s">
        <v>49</v>
      </c>
      <c r="AM64" s="5" t="str">
        <f t="shared" si="5"/>
        <v/>
      </c>
      <c r="AN64" s="5" t="str">
        <f t="shared" si="6"/>
        <v/>
      </c>
      <c r="AO64" s="18" t="str">
        <f t="shared" si="7"/>
        <v/>
      </c>
      <c r="AP64" s="19"/>
      <c r="AQ64" s="20" t="str">
        <f t="shared" si="8"/>
        <v/>
      </c>
      <c r="AR64" s="21"/>
    </row>
    <row r="65" spans="2:44" ht="31.5" x14ac:dyDescent="0.5">
      <c r="B65" s="1"/>
      <c r="C65" s="15"/>
      <c r="D65" s="16"/>
      <c r="E65" s="15"/>
      <c r="F65" s="17"/>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4" t="s">
        <v>49</v>
      </c>
      <c r="AM65" s="5" t="str">
        <f t="shared" si="5"/>
        <v/>
      </c>
      <c r="AN65" s="5" t="str">
        <f t="shared" si="6"/>
        <v/>
      </c>
      <c r="AO65" s="18" t="str">
        <f t="shared" si="7"/>
        <v/>
      </c>
      <c r="AP65" s="19"/>
      <c r="AQ65" s="20" t="str">
        <f t="shared" si="8"/>
        <v/>
      </c>
      <c r="AR65" s="21"/>
    </row>
    <row r="66" spans="2:44" ht="31.5" x14ac:dyDescent="0.5">
      <c r="B66" s="1"/>
      <c r="C66" s="15"/>
      <c r="D66" s="16"/>
      <c r="E66" s="15"/>
      <c r="F66" s="17"/>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4" t="s">
        <v>49</v>
      </c>
      <c r="AM66" s="5" t="str">
        <f t="shared" si="5"/>
        <v/>
      </c>
      <c r="AN66" s="5" t="str">
        <f t="shared" si="6"/>
        <v/>
      </c>
      <c r="AO66" s="18" t="str">
        <f t="shared" si="7"/>
        <v/>
      </c>
      <c r="AP66" s="19"/>
      <c r="AQ66" s="20" t="str">
        <f t="shared" si="8"/>
        <v/>
      </c>
      <c r="AR66" s="21"/>
    </row>
    <row r="67" spans="2:44" ht="31.5" x14ac:dyDescent="0.5">
      <c r="B67" s="1"/>
      <c r="C67" s="15"/>
      <c r="D67" s="16"/>
      <c r="E67" s="15"/>
      <c r="F67" s="17"/>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4" t="s">
        <v>49</v>
      </c>
      <c r="AM67" s="5" t="str">
        <f t="shared" si="5"/>
        <v/>
      </c>
      <c r="AN67" s="5" t="str">
        <f t="shared" si="6"/>
        <v/>
      </c>
      <c r="AO67" s="18" t="str">
        <f t="shared" si="7"/>
        <v/>
      </c>
      <c r="AP67" s="19"/>
      <c r="AQ67" s="20" t="str">
        <f t="shared" si="8"/>
        <v/>
      </c>
      <c r="AR67" s="21"/>
    </row>
    <row r="68" spans="2:44" ht="31.5" x14ac:dyDescent="0.5">
      <c r="B68" s="1"/>
      <c r="C68" s="15"/>
      <c r="D68" s="16"/>
      <c r="E68" s="15"/>
      <c r="F68" s="17"/>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4" t="s">
        <v>49</v>
      </c>
      <c r="AM68" s="5" t="str">
        <f t="shared" si="5"/>
        <v/>
      </c>
      <c r="AN68" s="5" t="str">
        <f t="shared" si="6"/>
        <v/>
      </c>
      <c r="AO68" s="18" t="str">
        <f t="shared" si="7"/>
        <v/>
      </c>
      <c r="AP68" s="19"/>
      <c r="AQ68" s="20" t="str">
        <f t="shared" si="8"/>
        <v/>
      </c>
      <c r="AR68" s="21"/>
    </row>
    <row r="69" spans="2:44" ht="31.5" x14ac:dyDescent="0.5">
      <c r="B69" s="1"/>
      <c r="C69" s="15"/>
      <c r="D69" s="16"/>
      <c r="E69" s="15"/>
      <c r="F69" s="17"/>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4" t="s">
        <v>49</v>
      </c>
      <c r="AM69" s="5" t="str">
        <f t="shared" si="5"/>
        <v/>
      </c>
      <c r="AN69" s="5" t="str">
        <f t="shared" si="6"/>
        <v/>
      </c>
      <c r="AO69" s="18" t="str">
        <f t="shared" si="7"/>
        <v/>
      </c>
      <c r="AP69" s="19"/>
      <c r="AQ69" s="20" t="str">
        <f t="shared" si="8"/>
        <v/>
      </c>
      <c r="AR69" s="21"/>
    </row>
    <row r="70" spans="2:44" ht="31.5" x14ac:dyDescent="0.5">
      <c r="B70" s="1"/>
      <c r="C70" s="15"/>
      <c r="D70" s="16"/>
      <c r="E70" s="15"/>
      <c r="F70" s="17"/>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4" t="s">
        <v>49</v>
      </c>
      <c r="AM70" s="5" t="str">
        <f t="shared" si="5"/>
        <v/>
      </c>
      <c r="AN70" s="5" t="str">
        <f t="shared" si="6"/>
        <v/>
      </c>
      <c r="AO70" s="18" t="str">
        <f t="shared" si="7"/>
        <v/>
      </c>
      <c r="AP70" s="19"/>
      <c r="AQ70" s="20" t="str">
        <f t="shared" si="8"/>
        <v/>
      </c>
      <c r="AR70" s="21"/>
    </row>
    <row r="71" spans="2:44" ht="31.5" x14ac:dyDescent="0.5">
      <c r="B71" s="1"/>
      <c r="C71" s="15"/>
      <c r="D71" s="16"/>
      <c r="E71" s="15"/>
      <c r="F71" s="17"/>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4" t="s">
        <v>49</v>
      </c>
      <c r="AM71" s="5" t="str">
        <f t="shared" si="5"/>
        <v/>
      </c>
      <c r="AN71" s="5" t="str">
        <f t="shared" si="6"/>
        <v/>
      </c>
      <c r="AO71" s="18" t="str">
        <f t="shared" si="7"/>
        <v/>
      </c>
      <c r="AP71" s="19"/>
      <c r="AQ71" s="20" t="str">
        <f t="shared" si="8"/>
        <v/>
      </c>
      <c r="AR71" s="21"/>
    </row>
    <row r="72" spans="2:44" ht="31.5" x14ac:dyDescent="0.5">
      <c r="B72" s="1"/>
      <c r="C72" s="15"/>
      <c r="D72" s="16"/>
      <c r="E72" s="15"/>
      <c r="F72" s="17"/>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4" t="s">
        <v>49</v>
      </c>
      <c r="AM72" s="5" t="str">
        <f t="shared" si="5"/>
        <v/>
      </c>
      <c r="AN72" s="5" t="str">
        <f t="shared" si="6"/>
        <v/>
      </c>
      <c r="AO72" s="18" t="str">
        <f t="shared" si="7"/>
        <v/>
      </c>
      <c r="AP72" s="19"/>
      <c r="AQ72" s="20" t="str">
        <f t="shared" si="8"/>
        <v/>
      </c>
      <c r="AR72" s="21"/>
    </row>
    <row r="73" spans="2:44" ht="31.5" x14ac:dyDescent="0.5">
      <c r="B73" s="1"/>
      <c r="C73" s="15"/>
      <c r="D73" s="16"/>
      <c r="E73" s="15"/>
      <c r="F73" s="17"/>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4" t="s">
        <v>49</v>
      </c>
      <c r="AM73" s="5" t="str">
        <f t="shared" si="5"/>
        <v/>
      </c>
      <c r="AN73" s="5" t="str">
        <f t="shared" si="6"/>
        <v/>
      </c>
      <c r="AO73" s="18" t="str">
        <f t="shared" si="7"/>
        <v/>
      </c>
      <c r="AP73" s="19"/>
      <c r="AQ73" s="20" t="str">
        <f t="shared" si="8"/>
        <v/>
      </c>
      <c r="AR73" s="21"/>
    </row>
    <row r="74" spans="2:44" ht="31.5" x14ac:dyDescent="0.5">
      <c r="B74" s="1"/>
      <c r="C74" s="15"/>
      <c r="D74" s="16"/>
      <c r="E74" s="15"/>
      <c r="F74" s="17"/>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4" t="s">
        <v>49</v>
      </c>
      <c r="AM74" s="5" t="str">
        <f t="shared" si="5"/>
        <v/>
      </c>
      <c r="AN74" s="5" t="str">
        <f t="shared" si="6"/>
        <v/>
      </c>
      <c r="AO74" s="18" t="str">
        <f t="shared" si="7"/>
        <v/>
      </c>
      <c r="AP74" s="19"/>
      <c r="AQ74" s="20" t="str">
        <f t="shared" si="8"/>
        <v/>
      </c>
      <c r="AR74" s="21"/>
    </row>
    <row r="75" spans="2:44" ht="31.5" x14ac:dyDescent="0.5">
      <c r="B75" s="1"/>
      <c r="C75" s="15"/>
      <c r="D75" s="16"/>
      <c r="E75" s="15"/>
      <c r="F75" s="17"/>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4" t="s">
        <v>49</v>
      </c>
      <c r="AM75" s="5" t="str">
        <f t="shared" si="5"/>
        <v/>
      </c>
      <c r="AN75" s="5" t="str">
        <f t="shared" si="6"/>
        <v/>
      </c>
      <c r="AO75" s="18" t="str">
        <f t="shared" si="7"/>
        <v/>
      </c>
      <c r="AP75" s="19"/>
      <c r="AQ75" s="20" t="str">
        <f t="shared" si="8"/>
        <v/>
      </c>
      <c r="AR75" s="21"/>
    </row>
    <row r="76" spans="2:44" ht="31.5" x14ac:dyDescent="0.5">
      <c r="B76" s="1"/>
      <c r="C76" s="15"/>
      <c r="D76" s="16"/>
      <c r="E76" s="15"/>
      <c r="F76" s="17"/>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4" t="s">
        <v>49</v>
      </c>
      <c r="AM76" s="5" t="str">
        <f t="shared" si="5"/>
        <v/>
      </c>
      <c r="AN76" s="5" t="str">
        <f t="shared" si="6"/>
        <v/>
      </c>
      <c r="AO76" s="18" t="str">
        <f t="shared" si="7"/>
        <v/>
      </c>
      <c r="AP76" s="19"/>
      <c r="AQ76" s="20" t="str">
        <f t="shared" si="8"/>
        <v/>
      </c>
      <c r="AR76" s="21"/>
    </row>
    <row r="77" spans="2:44" ht="31.5" x14ac:dyDescent="0.5">
      <c r="B77" s="1"/>
      <c r="C77" s="15"/>
      <c r="D77" s="16"/>
      <c r="E77" s="15"/>
      <c r="F77" s="17"/>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4" t="s">
        <v>49</v>
      </c>
      <c r="AM77" s="5" t="str">
        <f t="shared" si="5"/>
        <v/>
      </c>
      <c r="AN77" s="5" t="str">
        <f t="shared" si="6"/>
        <v/>
      </c>
      <c r="AO77" s="18" t="str">
        <f t="shared" si="7"/>
        <v/>
      </c>
      <c r="AP77" s="19"/>
      <c r="AQ77" s="20" t="str">
        <f t="shared" si="8"/>
        <v/>
      </c>
      <c r="AR77" s="21"/>
    </row>
    <row r="78" spans="2:44" ht="31.5" x14ac:dyDescent="0.5">
      <c r="B78" s="1"/>
      <c r="C78" s="15"/>
      <c r="D78" s="16"/>
      <c r="E78" s="15"/>
      <c r="F78" s="17"/>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4" t="s">
        <v>49</v>
      </c>
      <c r="AM78" s="5" t="str">
        <f t="shared" si="5"/>
        <v/>
      </c>
      <c r="AN78" s="5" t="str">
        <f t="shared" si="6"/>
        <v/>
      </c>
      <c r="AO78" s="18" t="str">
        <f t="shared" si="7"/>
        <v/>
      </c>
      <c r="AP78" s="19"/>
      <c r="AQ78" s="20" t="str">
        <f t="shared" si="8"/>
        <v/>
      </c>
      <c r="AR78" s="21"/>
    </row>
    <row r="79" spans="2:44" ht="31.5" x14ac:dyDescent="0.5">
      <c r="B79" s="1"/>
      <c r="C79" s="15"/>
      <c r="D79" s="16"/>
      <c r="E79" s="15"/>
      <c r="F79" s="17"/>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4" t="s">
        <v>49</v>
      </c>
      <c r="AM79" s="5" t="str">
        <f t="shared" si="5"/>
        <v/>
      </c>
      <c r="AN79" s="5" t="str">
        <f t="shared" si="6"/>
        <v/>
      </c>
      <c r="AO79" s="18" t="str">
        <f t="shared" si="7"/>
        <v/>
      </c>
      <c r="AP79" s="19"/>
      <c r="AQ79" s="20" t="str">
        <f t="shared" si="8"/>
        <v/>
      </c>
      <c r="AR79" s="21"/>
    </row>
    <row r="80" spans="2:44" ht="31.5" x14ac:dyDescent="0.5">
      <c r="B80" s="1"/>
      <c r="C80" s="15"/>
      <c r="D80" s="16"/>
      <c r="E80" s="15"/>
      <c r="F80" s="17"/>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4" t="s">
        <v>49</v>
      </c>
      <c r="AM80" s="5" t="str">
        <f t="shared" si="5"/>
        <v/>
      </c>
      <c r="AN80" s="5" t="str">
        <f t="shared" si="6"/>
        <v/>
      </c>
      <c r="AO80" s="18" t="str">
        <f t="shared" si="7"/>
        <v/>
      </c>
      <c r="AP80" s="19"/>
      <c r="AQ80" s="20" t="str">
        <f t="shared" si="8"/>
        <v/>
      </c>
      <c r="AR80" s="21"/>
    </row>
    <row r="81" spans="2:44" ht="31.5" x14ac:dyDescent="0.5">
      <c r="B81" s="1"/>
      <c r="C81" s="15"/>
      <c r="D81" s="16"/>
      <c r="E81" s="15"/>
      <c r="F81" s="17"/>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4" t="s">
        <v>49</v>
      </c>
      <c r="AM81" s="5" t="str">
        <f t="shared" si="5"/>
        <v/>
      </c>
      <c r="AN81" s="5" t="str">
        <f t="shared" si="6"/>
        <v/>
      </c>
      <c r="AO81" s="18" t="str">
        <f t="shared" si="7"/>
        <v/>
      </c>
      <c r="AP81" s="19"/>
      <c r="AQ81" s="20" t="str">
        <f t="shared" si="8"/>
        <v/>
      </c>
      <c r="AR81" s="21"/>
    </row>
    <row r="82" spans="2:44" ht="31.5" x14ac:dyDescent="0.5">
      <c r="B82" s="1"/>
      <c r="C82" s="15"/>
      <c r="D82" s="16"/>
      <c r="E82" s="15"/>
      <c r="F82" s="17"/>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4" t="s">
        <v>49</v>
      </c>
      <c r="AM82" s="5" t="str">
        <f t="shared" si="5"/>
        <v/>
      </c>
      <c r="AN82" s="5" t="str">
        <f t="shared" si="6"/>
        <v/>
      </c>
      <c r="AO82" s="18" t="str">
        <f t="shared" si="7"/>
        <v/>
      </c>
      <c r="AP82" s="19"/>
      <c r="AQ82" s="20" t="str">
        <f t="shared" si="8"/>
        <v/>
      </c>
      <c r="AR82" s="21"/>
    </row>
    <row r="83" spans="2:44" ht="31.5" x14ac:dyDescent="0.5">
      <c r="B83" s="1"/>
      <c r="C83" s="15"/>
      <c r="D83" s="16"/>
      <c r="E83" s="15"/>
      <c r="F83" s="17"/>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4" t="s">
        <v>49</v>
      </c>
      <c r="AM83" s="5" t="str">
        <f t="shared" si="5"/>
        <v/>
      </c>
      <c r="AN83" s="5" t="str">
        <f t="shared" si="6"/>
        <v/>
      </c>
      <c r="AO83" s="18" t="str">
        <f t="shared" si="7"/>
        <v/>
      </c>
      <c r="AP83" s="19"/>
      <c r="AQ83" s="20" t="str">
        <f t="shared" si="8"/>
        <v/>
      </c>
      <c r="AR83" s="21"/>
    </row>
    <row r="84" spans="2:44" ht="31.5" x14ac:dyDescent="0.5">
      <c r="B84" s="1"/>
      <c r="C84" s="15"/>
      <c r="D84" s="16"/>
      <c r="E84" s="15"/>
      <c r="F84" s="17"/>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4" t="s">
        <v>49</v>
      </c>
      <c r="AM84" s="5" t="str">
        <f t="shared" si="5"/>
        <v/>
      </c>
      <c r="AN84" s="5" t="str">
        <f t="shared" si="6"/>
        <v/>
      </c>
      <c r="AO84" s="18" t="str">
        <f t="shared" si="7"/>
        <v/>
      </c>
      <c r="AP84" s="19"/>
      <c r="AQ84" s="20" t="str">
        <f t="shared" si="8"/>
        <v/>
      </c>
      <c r="AR84" s="21"/>
    </row>
    <row r="85" spans="2:44" ht="31.5" x14ac:dyDescent="0.5">
      <c r="B85" s="1"/>
      <c r="C85" s="15"/>
      <c r="D85" s="16"/>
      <c r="E85" s="15"/>
      <c r="F85" s="17"/>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4" t="s">
        <v>49</v>
      </c>
      <c r="AM85" s="5" t="str">
        <f t="shared" si="5"/>
        <v/>
      </c>
      <c r="AN85" s="5" t="str">
        <f t="shared" si="6"/>
        <v/>
      </c>
      <c r="AO85" s="18" t="str">
        <f t="shared" si="7"/>
        <v/>
      </c>
      <c r="AP85" s="19"/>
      <c r="AQ85" s="20" t="str">
        <f t="shared" si="8"/>
        <v/>
      </c>
      <c r="AR85" s="21"/>
    </row>
    <row r="86" spans="2:44" ht="31.5" x14ac:dyDescent="0.5">
      <c r="B86" s="1"/>
      <c r="C86" s="15"/>
      <c r="D86" s="16"/>
      <c r="E86" s="15"/>
      <c r="F86" s="17"/>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4" t="s">
        <v>49</v>
      </c>
      <c r="AM86" s="5" t="str">
        <f t="shared" si="5"/>
        <v/>
      </c>
      <c r="AN86" s="5" t="str">
        <f t="shared" si="6"/>
        <v/>
      </c>
      <c r="AO86" s="18" t="str">
        <f t="shared" si="7"/>
        <v/>
      </c>
      <c r="AP86" s="19"/>
      <c r="AQ86" s="20" t="str">
        <f t="shared" si="8"/>
        <v/>
      </c>
      <c r="AR86" s="21"/>
    </row>
    <row r="87" spans="2:44" ht="31.5" x14ac:dyDescent="0.5">
      <c r="B87" s="1"/>
      <c r="C87" s="15"/>
      <c r="D87" s="16"/>
      <c r="E87" s="15"/>
      <c r="F87" s="17"/>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4" t="s">
        <v>49</v>
      </c>
      <c r="AM87" s="5" t="str">
        <f t="shared" si="5"/>
        <v/>
      </c>
      <c r="AN87" s="5" t="str">
        <f t="shared" si="6"/>
        <v/>
      </c>
      <c r="AO87" s="18" t="str">
        <f t="shared" si="7"/>
        <v/>
      </c>
      <c r="AP87" s="19"/>
      <c r="AQ87" s="20" t="str">
        <f t="shared" si="8"/>
        <v/>
      </c>
      <c r="AR87" s="21"/>
    </row>
    <row r="88" spans="2:44" ht="31.5" x14ac:dyDescent="0.5">
      <c r="B88" s="1"/>
      <c r="C88" s="15"/>
      <c r="D88" s="16"/>
      <c r="E88" s="15"/>
      <c r="F88" s="17"/>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4" t="s">
        <v>49</v>
      </c>
      <c r="AM88" s="5" t="str">
        <f t="shared" si="5"/>
        <v/>
      </c>
      <c r="AN88" s="5" t="str">
        <f t="shared" si="6"/>
        <v/>
      </c>
      <c r="AO88" s="18" t="str">
        <f t="shared" si="7"/>
        <v/>
      </c>
      <c r="AP88" s="19"/>
      <c r="AQ88" s="20" t="str">
        <f t="shared" si="8"/>
        <v/>
      </c>
      <c r="AR88" s="21"/>
    </row>
    <row r="89" spans="2:44" ht="31.5" x14ac:dyDescent="0.5">
      <c r="B89" s="1"/>
      <c r="C89" s="15"/>
      <c r="D89" s="16"/>
      <c r="E89" s="15"/>
      <c r="F89" s="17"/>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4" t="s">
        <v>49</v>
      </c>
      <c r="AM89" s="5" t="str">
        <f t="shared" si="5"/>
        <v/>
      </c>
      <c r="AN89" s="5" t="str">
        <f t="shared" si="6"/>
        <v/>
      </c>
      <c r="AO89" s="18" t="str">
        <f t="shared" si="7"/>
        <v/>
      </c>
      <c r="AP89" s="19"/>
      <c r="AQ89" s="20" t="str">
        <f t="shared" si="8"/>
        <v/>
      </c>
      <c r="AR89" s="21"/>
    </row>
    <row r="90" spans="2:44" ht="31.5" x14ac:dyDescent="0.5">
      <c r="B90" s="1"/>
      <c r="C90" s="15"/>
      <c r="D90" s="16"/>
      <c r="E90" s="15"/>
      <c r="F90" s="17"/>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4" t="s">
        <v>49</v>
      </c>
      <c r="AM90" s="5" t="str">
        <f t="shared" si="5"/>
        <v/>
      </c>
      <c r="AN90" s="5" t="str">
        <f t="shared" si="6"/>
        <v/>
      </c>
      <c r="AO90" s="18" t="str">
        <f t="shared" si="7"/>
        <v/>
      </c>
      <c r="AP90" s="19"/>
      <c r="AQ90" s="20" t="str">
        <f t="shared" si="8"/>
        <v/>
      </c>
      <c r="AR90" s="21"/>
    </row>
    <row r="91" spans="2:44" ht="31.5" x14ac:dyDescent="0.5">
      <c r="B91" s="1"/>
      <c r="C91" s="15"/>
      <c r="D91" s="16"/>
      <c r="E91" s="15"/>
      <c r="F91" s="17"/>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4" t="s">
        <v>49</v>
      </c>
      <c r="AM91" s="5" t="str">
        <f t="shared" si="5"/>
        <v/>
      </c>
      <c r="AN91" s="5" t="str">
        <f t="shared" si="6"/>
        <v/>
      </c>
      <c r="AO91" s="18" t="str">
        <f t="shared" si="7"/>
        <v/>
      </c>
      <c r="AP91" s="19"/>
      <c r="AQ91" s="20" t="str">
        <f t="shared" si="8"/>
        <v/>
      </c>
      <c r="AR91" s="21"/>
    </row>
    <row r="92" spans="2:44" ht="31.5" x14ac:dyDescent="0.5">
      <c r="B92" s="1"/>
      <c r="C92" s="15"/>
      <c r="D92" s="16"/>
      <c r="E92" s="15"/>
      <c r="F92" s="17"/>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4" t="s">
        <v>49</v>
      </c>
      <c r="AM92" s="5" t="str">
        <f t="shared" si="5"/>
        <v/>
      </c>
      <c r="AN92" s="5" t="str">
        <f t="shared" si="6"/>
        <v/>
      </c>
      <c r="AO92" s="18" t="str">
        <f t="shared" si="7"/>
        <v/>
      </c>
      <c r="AP92" s="19"/>
      <c r="AQ92" s="20" t="str">
        <f t="shared" si="8"/>
        <v/>
      </c>
      <c r="AR92" s="21"/>
    </row>
    <row r="93" spans="2:44" ht="31.5" x14ac:dyDescent="0.5">
      <c r="B93" s="1"/>
      <c r="C93" s="15"/>
      <c r="D93" s="16"/>
      <c r="E93" s="15"/>
      <c r="F93" s="17"/>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4" t="s">
        <v>49</v>
      </c>
      <c r="AM93" s="5" t="str">
        <f t="shared" si="5"/>
        <v/>
      </c>
      <c r="AN93" s="5" t="str">
        <f t="shared" si="6"/>
        <v/>
      </c>
      <c r="AO93" s="18" t="str">
        <f t="shared" si="7"/>
        <v/>
      </c>
      <c r="AP93" s="19"/>
      <c r="AQ93" s="20" t="str">
        <f t="shared" si="8"/>
        <v/>
      </c>
      <c r="AR93" s="21"/>
    </row>
    <row r="94" spans="2:44" ht="31.5" x14ac:dyDescent="0.5">
      <c r="B94" s="1"/>
      <c r="C94" s="15"/>
      <c r="D94" s="16"/>
      <c r="E94" s="15"/>
      <c r="F94" s="17"/>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4" t="s">
        <v>49</v>
      </c>
      <c r="AM94" s="5" t="str">
        <f t="shared" si="5"/>
        <v/>
      </c>
      <c r="AN94" s="5" t="str">
        <f t="shared" si="6"/>
        <v/>
      </c>
      <c r="AO94" s="18" t="str">
        <f t="shared" si="7"/>
        <v/>
      </c>
      <c r="AP94" s="19"/>
      <c r="AQ94" s="20" t="str">
        <f t="shared" si="8"/>
        <v/>
      </c>
      <c r="AR94" s="21"/>
    </row>
    <row r="95" spans="2:44" ht="31.5" x14ac:dyDescent="0.5">
      <c r="B95" s="1"/>
      <c r="C95" s="15"/>
      <c r="D95" s="16"/>
      <c r="E95" s="15"/>
      <c r="F95" s="17"/>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4" t="s">
        <v>49</v>
      </c>
      <c r="AM95" s="5" t="str">
        <f t="shared" si="5"/>
        <v/>
      </c>
      <c r="AN95" s="5" t="str">
        <f t="shared" si="6"/>
        <v/>
      </c>
      <c r="AO95" s="18" t="str">
        <f t="shared" si="7"/>
        <v/>
      </c>
      <c r="AP95" s="19"/>
      <c r="AQ95" s="20" t="str">
        <f t="shared" si="8"/>
        <v/>
      </c>
      <c r="AR95" s="21"/>
    </row>
    <row r="96" spans="2:44" ht="31.5" x14ac:dyDescent="0.5">
      <c r="B96" s="1"/>
      <c r="C96" s="15"/>
      <c r="D96" s="16"/>
      <c r="E96" s="15"/>
      <c r="F96" s="17"/>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4" t="s">
        <v>49</v>
      </c>
      <c r="AM96" s="5" t="str">
        <f t="shared" si="5"/>
        <v/>
      </c>
      <c r="AN96" s="5" t="str">
        <f t="shared" si="6"/>
        <v/>
      </c>
      <c r="AO96" s="18" t="str">
        <f t="shared" si="7"/>
        <v/>
      </c>
      <c r="AP96" s="19"/>
      <c r="AQ96" s="20" t="str">
        <f t="shared" si="8"/>
        <v/>
      </c>
      <c r="AR96" s="21"/>
    </row>
    <row r="97" spans="2:44" ht="31.5" x14ac:dyDescent="0.5">
      <c r="B97" s="1"/>
      <c r="C97" s="15"/>
      <c r="D97" s="16"/>
      <c r="E97" s="15"/>
      <c r="F97" s="17"/>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4" t="s">
        <v>49</v>
      </c>
      <c r="AM97" s="5" t="str">
        <f t="shared" si="5"/>
        <v/>
      </c>
      <c r="AN97" s="5" t="str">
        <f t="shared" si="6"/>
        <v/>
      </c>
      <c r="AO97" s="18" t="str">
        <f t="shared" si="7"/>
        <v/>
      </c>
      <c r="AP97" s="19"/>
      <c r="AQ97" s="20" t="str">
        <f t="shared" si="8"/>
        <v/>
      </c>
      <c r="AR97" s="21"/>
    </row>
    <row r="98" spans="2:44" ht="31.5" x14ac:dyDescent="0.5">
      <c r="B98" s="1"/>
      <c r="C98" s="15"/>
      <c r="D98" s="16"/>
      <c r="E98" s="15"/>
      <c r="F98" s="17"/>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4" t="s">
        <v>49</v>
      </c>
      <c r="AM98" s="5" t="str">
        <f t="shared" si="5"/>
        <v/>
      </c>
      <c r="AN98" s="5" t="str">
        <f t="shared" si="6"/>
        <v/>
      </c>
      <c r="AO98" s="18" t="str">
        <f t="shared" si="7"/>
        <v/>
      </c>
      <c r="AP98" s="19"/>
      <c r="AQ98" s="20" t="str">
        <f t="shared" si="8"/>
        <v/>
      </c>
      <c r="AR98" s="21"/>
    </row>
    <row r="99" spans="2:44" ht="31.5" x14ac:dyDescent="0.5">
      <c r="B99" s="1"/>
      <c r="C99" s="15"/>
      <c r="D99" s="16"/>
      <c r="E99" s="15"/>
      <c r="F99" s="17"/>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4" t="s">
        <v>49</v>
      </c>
      <c r="AM99" s="5" t="str">
        <f t="shared" si="5"/>
        <v/>
      </c>
      <c r="AN99" s="5" t="str">
        <f t="shared" si="6"/>
        <v/>
      </c>
      <c r="AO99" s="18" t="str">
        <f t="shared" si="7"/>
        <v/>
      </c>
      <c r="AP99" s="19"/>
      <c r="AQ99" s="20" t="str">
        <f t="shared" si="8"/>
        <v/>
      </c>
      <c r="AR99" s="21"/>
    </row>
    <row r="100" spans="2:44" ht="31.5" x14ac:dyDescent="0.5">
      <c r="B100" s="1"/>
      <c r="C100" s="15"/>
      <c r="D100" s="16"/>
      <c r="E100" s="15"/>
      <c r="F100" s="17"/>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4" t="s">
        <v>49</v>
      </c>
      <c r="AM100" s="5" t="str">
        <f t="shared" si="5"/>
        <v/>
      </c>
      <c r="AN100" s="5" t="str">
        <f t="shared" si="6"/>
        <v/>
      </c>
      <c r="AO100" s="18" t="str">
        <f t="shared" si="7"/>
        <v/>
      </c>
      <c r="AP100" s="19"/>
      <c r="AQ100" s="20" t="str">
        <f t="shared" si="8"/>
        <v/>
      </c>
      <c r="AR100" s="21"/>
    </row>
    <row r="101" spans="2:44" ht="31.5" x14ac:dyDescent="0.5">
      <c r="B101" s="1"/>
      <c r="C101" s="15"/>
      <c r="D101" s="16"/>
      <c r="E101" s="15"/>
      <c r="F101" s="17"/>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4" t="s">
        <v>49</v>
      </c>
      <c r="AM101" s="5" t="str">
        <f t="shared" si="5"/>
        <v/>
      </c>
      <c r="AN101" s="5" t="str">
        <f t="shared" si="6"/>
        <v/>
      </c>
      <c r="AO101" s="18" t="str">
        <f t="shared" si="7"/>
        <v/>
      </c>
      <c r="AP101" s="19"/>
      <c r="AQ101" s="20" t="str">
        <f t="shared" si="8"/>
        <v/>
      </c>
      <c r="AR101" s="21"/>
    </row>
    <row r="102" spans="2:44" ht="31.5" x14ac:dyDescent="0.5">
      <c r="B102" s="1"/>
      <c r="C102" s="15"/>
      <c r="D102" s="16"/>
      <c r="E102" s="15"/>
      <c r="F102" s="17"/>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4" t="s">
        <v>49</v>
      </c>
      <c r="AM102" s="5" t="str">
        <f t="shared" si="5"/>
        <v/>
      </c>
      <c r="AN102" s="5" t="str">
        <f t="shared" si="6"/>
        <v/>
      </c>
      <c r="AO102" s="18" t="str">
        <f t="shared" si="7"/>
        <v/>
      </c>
      <c r="AP102" s="19"/>
      <c r="AQ102" s="20" t="str">
        <f t="shared" si="8"/>
        <v/>
      </c>
      <c r="AR102" s="21"/>
    </row>
    <row r="103" spans="2:44" ht="31.5" x14ac:dyDescent="0.5">
      <c r="B103" s="1"/>
      <c r="C103" s="15"/>
      <c r="D103" s="16"/>
      <c r="E103" s="15"/>
      <c r="F103" s="17"/>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4" t="s">
        <v>49</v>
      </c>
      <c r="AM103" s="5" t="str">
        <f t="shared" si="5"/>
        <v/>
      </c>
      <c r="AN103" s="5" t="str">
        <f t="shared" si="6"/>
        <v/>
      </c>
      <c r="AO103" s="18" t="str">
        <f t="shared" si="7"/>
        <v/>
      </c>
      <c r="AP103" s="19"/>
      <c r="AQ103" s="20" t="str">
        <f t="shared" si="8"/>
        <v/>
      </c>
      <c r="AR103" s="21"/>
    </row>
    <row r="104" spans="2:44" ht="31.5" x14ac:dyDescent="0.5">
      <c r="B104" s="1"/>
      <c r="C104" s="15"/>
      <c r="D104" s="16"/>
      <c r="E104" s="15"/>
      <c r="F104" s="17"/>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4" t="s">
        <v>49</v>
      </c>
      <c r="AM104" s="5" t="str">
        <f t="shared" si="5"/>
        <v/>
      </c>
      <c r="AN104" s="5" t="str">
        <f t="shared" si="6"/>
        <v/>
      </c>
      <c r="AO104" s="18" t="str">
        <f t="shared" si="7"/>
        <v/>
      </c>
      <c r="AP104" s="19"/>
      <c r="AQ104" s="20" t="str">
        <f t="shared" si="8"/>
        <v/>
      </c>
      <c r="AR104" s="21"/>
    </row>
    <row r="105" spans="2:44" ht="31.5" x14ac:dyDescent="0.5">
      <c r="B105" s="1"/>
      <c r="C105" s="15"/>
      <c r="D105" s="16"/>
      <c r="E105" s="15"/>
      <c r="F105" s="17"/>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4" t="s">
        <v>49</v>
      </c>
      <c r="AM105" s="5" t="str">
        <f t="shared" si="5"/>
        <v/>
      </c>
      <c r="AN105" s="5" t="str">
        <f t="shared" si="6"/>
        <v/>
      </c>
      <c r="AO105" s="18" t="str">
        <f t="shared" si="7"/>
        <v/>
      </c>
      <c r="AP105" s="19"/>
      <c r="AQ105" s="20" t="str">
        <f t="shared" si="8"/>
        <v/>
      </c>
      <c r="AR105" s="21"/>
    </row>
    <row r="106" spans="2:44" ht="31.5" x14ac:dyDescent="0.5">
      <c r="B106" s="1"/>
      <c r="C106" s="15"/>
      <c r="D106" s="16"/>
      <c r="E106" s="15"/>
      <c r="F106" s="17"/>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4" t="s">
        <v>49</v>
      </c>
      <c r="AM106" s="5" t="str">
        <f t="shared" si="5"/>
        <v/>
      </c>
      <c r="AN106" s="5" t="str">
        <f t="shared" si="6"/>
        <v/>
      </c>
      <c r="AO106" s="18" t="str">
        <f t="shared" si="7"/>
        <v/>
      </c>
      <c r="AP106" s="19"/>
      <c r="AQ106" s="20" t="str">
        <f t="shared" si="8"/>
        <v/>
      </c>
      <c r="AR106" s="21"/>
    </row>
    <row r="107" spans="2:44" ht="31.5" x14ac:dyDescent="0.5">
      <c r="B107" s="1"/>
      <c r="C107" s="15"/>
      <c r="D107" s="16"/>
      <c r="E107" s="15"/>
      <c r="F107" s="17"/>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4" t="s">
        <v>49</v>
      </c>
      <c r="AM107" s="5" t="str">
        <f t="shared" si="5"/>
        <v/>
      </c>
      <c r="AN107" s="5" t="str">
        <f t="shared" si="6"/>
        <v/>
      </c>
      <c r="AO107" s="18" t="str">
        <f t="shared" si="7"/>
        <v/>
      </c>
      <c r="AP107" s="19"/>
      <c r="AQ107" s="20" t="str">
        <f t="shared" si="8"/>
        <v/>
      </c>
      <c r="AR107" s="21"/>
    </row>
    <row r="108" spans="2:44" ht="31.5" x14ac:dyDescent="0.5">
      <c r="B108" s="1"/>
      <c r="C108" s="15"/>
      <c r="D108" s="16"/>
      <c r="E108" s="15"/>
      <c r="F108" s="17"/>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4" t="s">
        <v>49</v>
      </c>
      <c r="AM108" s="5" t="str">
        <f t="shared" si="5"/>
        <v/>
      </c>
      <c r="AN108" s="5" t="str">
        <f t="shared" si="6"/>
        <v/>
      </c>
      <c r="AO108" s="18" t="str">
        <f t="shared" si="7"/>
        <v/>
      </c>
      <c r="AP108" s="19"/>
      <c r="AQ108" s="20" t="str">
        <f t="shared" si="8"/>
        <v/>
      </c>
      <c r="AR108" s="21"/>
    </row>
    <row r="109" spans="2:44" ht="31.5" x14ac:dyDescent="0.5">
      <c r="B109" s="1"/>
      <c r="C109" s="15"/>
      <c r="D109" s="16"/>
      <c r="E109" s="15"/>
      <c r="F109" s="17"/>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4" t="s">
        <v>49</v>
      </c>
      <c r="AM109" s="5" t="str">
        <f t="shared" si="5"/>
        <v/>
      </c>
      <c r="AN109" s="5" t="str">
        <f t="shared" si="6"/>
        <v/>
      </c>
      <c r="AO109" s="18" t="str">
        <f t="shared" si="7"/>
        <v/>
      </c>
      <c r="AP109" s="19"/>
      <c r="AQ109" s="20" t="str">
        <f t="shared" si="8"/>
        <v/>
      </c>
      <c r="AR109" s="21"/>
    </row>
    <row r="110" spans="2:44" ht="31.5" x14ac:dyDescent="0.5">
      <c r="B110" s="1"/>
      <c r="C110" s="15"/>
      <c r="D110" s="16"/>
      <c r="E110" s="15"/>
      <c r="F110" s="17"/>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4" t="s">
        <v>49</v>
      </c>
      <c r="AM110" s="5" t="str">
        <f t="shared" si="5"/>
        <v/>
      </c>
      <c r="AN110" s="5" t="str">
        <f t="shared" si="6"/>
        <v/>
      </c>
      <c r="AO110" s="18" t="str">
        <f t="shared" si="7"/>
        <v/>
      </c>
      <c r="AP110" s="19"/>
      <c r="AQ110" s="20" t="str">
        <f t="shared" si="8"/>
        <v/>
      </c>
      <c r="AR110" s="21"/>
    </row>
    <row r="111" spans="2:44" ht="31.5" x14ac:dyDescent="0.5">
      <c r="B111" s="1"/>
      <c r="C111" s="15"/>
      <c r="D111" s="16"/>
      <c r="E111" s="15"/>
      <c r="F111" s="17"/>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4" t="s">
        <v>49</v>
      </c>
      <c r="AM111" s="5" t="str">
        <f t="shared" si="5"/>
        <v/>
      </c>
      <c r="AN111" s="5" t="str">
        <f t="shared" si="6"/>
        <v/>
      </c>
      <c r="AO111" s="18" t="str">
        <f t="shared" si="7"/>
        <v/>
      </c>
      <c r="AP111" s="19"/>
      <c r="AQ111" s="20" t="str">
        <f t="shared" si="8"/>
        <v/>
      </c>
      <c r="AR111" s="21"/>
    </row>
    <row r="112" spans="2:44" ht="31.5" x14ac:dyDescent="0.5">
      <c r="B112" s="1"/>
      <c r="C112" s="15"/>
      <c r="D112" s="16"/>
      <c r="E112" s="15"/>
      <c r="F112" s="17"/>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4" t="s">
        <v>49</v>
      </c>
      <c r="AM112" s="5" t="str">
        <f t="shared" si="5"/>
        <v/>
      </c>
      <c r="AN112" s="5" t="str">
        <f t="shared" si="6"/>
        <v/>
      </c>
      <c r="AO112" s="18" t="str">
        <f t="shared" si="7"/>
        <v/>
      </c>
      <c r="AP112" s="19"/>
      <c r="AQ112" s="20" t="str">
        <f t="shared" si="8"/>
        <v/>
      </c>
      <c r="AR112" s="21"/>
    </row>
    <row r="113" spans="2:44" ht="31.5" x14ac:dyDescent="0.5">
      <c r="B113" s="1"/>
      <c r="C113" s="15"/>
      <c r="D113" s="16"/>
      <c r="E113" s="15"/>
      <c r="F113" s="17"/>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4" t="s">
        <v>49</v>
      </c>
      <c r="AM113" s="5" t="str">
        <f t="shared" si="5"/>
        <v/>
      </c>
      <c r="AN113" s="5" t="str">
        <f t="shared" si="6"/>
        <v/>
      </c>
      <c r="AO113" s="18" t="str">
        <f t="shared" si="7"/>
        <v/>
      </c>
      <c r="AP113" s="19"/>
      <c r="AQ113" s="20" t="str">
        <f t="shared" si="8"/>
        <v/>
      </c>
      <c r="AR113" s="21"/>
    </row>
    <row r="114" spans="2:44" ht="31.5" x14ac:dyDescent="0.5">
      <c r="B114" s="1"/>
      <c r="C114" s="15"/>
      <c r="D114" s="16"/>
      <c r="E114" s="15"/>
      <c r="F114" s="17"/>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4" t="s">
        <v>49</v>
      </c>
      <c r="AM114" s="5" t="str">
        <f t="shared" si="5"/>
        <v/>
      </c>
      <c r="AN114" s="5" t="str">
        <f t="shared" si="6"/>
        <v/>
      </c>
      <c r="AO114" s="18" t="str">
        <f t="shared" si="7"/>
        <v/>
      </c>
      <c r="AP114" s="19"/>
      <c r="AQ114" s="20" t="str">
        <f t="shared" si="8"/>
        <v/>
      </c>
      <c r="AR114" s="21"/>
    </row>
    <row r="115" spans="2:44" ht="31.5" x14ac:dyDescent="0.5">
      <c r="B115" s="1"/>
      <c r="C115" s="15"/>
      <c r="D115" s="16"/>
      <c r="E115" s="15"/>
      <c r="F115" s="17"/>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4" t="s">
        <v>49</v>
      </c>
      <c r="AM115" s="5" t="str">
        <f t="shared" ref="AM115:AM178" si="9">IF($B115="","",COUNTIF($G115:$AK115,"P"))</f>
        <v/>
      </c>
      <c r="AN115" s="5" t="str">
        <f t="shared" ref="AN115:AN178" si="10">IF($B115="","",COUNTIF($G115:$AK115,"AB"))</f>
        <v/>
      </c>
      <c r="AO115" s="18" t="str">
        <f t="shared" ref="AO115:AO178" si="11">IF($B115="","",SUMPRODUCT(--($G$11:$AK$11&lt;&gt;""),--($G$12:$AK$12&lt;&gt;"Sun")))</f>
        <v/>
      </c>
      <c r="AP115" s="19"/>
      <c r="AQ115" s="20" t="str">
        <f t="shared" ref="AQ115:AQ178" si="12">IF($B115="","",IF(AO115=0,"",AM115/AO115))</f>
        <v/>
      </c>
      <c r="AR115" s="21"/>
    </row>
    <row r="116" spans="2:44" ht="31.5" x14ac:dyDescent="0.5">
      <c r="B116" s="1"/>
      <c r="C116" s="15"/>
      <c r="D116" s="16"/>
      <c r="E116" s="15"/>
      <c r="F116" s="17"/>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4" t="s">
        <v>49</v>
      </c>
      <c r="AM116" s="5" t="str">
        <f t="shared" si="9"/>
        <v/>
      </c>
      <c r="AN116" s="5" t="str">
        <f t="shared" si="10"/>
        <v/>
      </c>
      <c r="AO116" s="18" t="str">
        <f t="shared" si="11"/>
        <v/>
      </c>
      <c r="AP116" s="19"/>
      <c r="AQ116" s="20" t="str">
        <f t="shared" si="12"/>
        <v/>
      </c>
      <c r="AR116" s="21"/>
    </row>
    <row r="117" spans="2:44" ht="31.5" x14ac:dyDescent="0.5">
      <c r="B117" s="1"/>
      <c r="C117" s="15"/>
      <c r="D117" s="16"/>
      <c r="E117" s="15"/>
      <c r="F117" s="17"/>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4" t="s">
        <v>49</v>
      </c>
      <c r="AM117" s="5" t="str">
        <f t="shared" si="9"/>
        <v/>
      </c>
      <c r="AN117" s="5" t="str">
        <f t="shared" si="10"/>
        <v/>
      </c>
      <c r="AO117" s="18" t="str">
        <f t="shared" si="11"/>
        <v/>
      </c>
      <c r="AP117" s="19"/>
      <c r="AQ117" s="20" t="str">
        <f t="shared" si="12"/>
        <v/>
      </c>
      <c r="AR117" s="21"/>
    </row>
    <row r="118" spans="2:44" ht="31.5" x14ac:dyDescent="0.5">
      <c r="B118" s="1"/>
      <c r="C118" s="15"/>
      <c r="D118" s="16"/>
      <c r="E118" s="15"/>
      <c r="F118" s="17"/>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4" t="s">
        <v>49</v>
      </c>
      <c r="AM118" s="5" t="str">
        <f t="shared" si="9"/>
        <v/>
      </c>
      <c r="AN118" s="5" t="str">
        <f t="shared" si="10"/>
        <v/>
      </c>
      <c r="AO118" s="18" t="str">
        <f t="shared" si="11"/>
        <v/>
      </c>
      <c r="AP118" s="19"/>
      <c r="AQ118" s="20" t="str">
        <f t="shared" si="12"/>
        <v/>
      </c>
      <c r="AR118" s="21"/>
    </row>
    <row r="119" spans="2:44" ht="31.5" x14ac:dyDescent="0.5">
      <c r="B119" s="1"/>
      <c r="C119" s="15"/>
      <c r="D119" s="16"/>
      <c r="E119" s="15"/>
      <c r="F119" s="17"/>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4" t="s">
        <v>49</v>
      </c>
      <c r="AM119" s="5" t="str">
        <f t="shared" si="9"/>
        <v/>
      </c>
      <c r="AN119" s="5" t="str">
        <f t="shared" si="10"/>
        <v/>
      </c>
      <c r="AO119" s="18" t="str">
        <f t="shared" si="11"/>
        <v/>
      </c>
      <c r="AP119" s="19"/>
      <c r="AQ119" s="20" t="str">
        <f t="shared" si="12"/>
        <v/>
      </c>
      <c r="AR119" s="21"/>
    </row>
    <row r="120" spans="2:44" ht="31.5" x14ac:dyDescent="0.5">
      <c r="B120" s="1"/>
      <c r="C120" s="15"/>
      <c r="D120" s="16"/>
      <c r="E120" s="15"/>
      <c r="F120" s="17"/>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4" t="s">
        <v>49</v>
      </c>
      <c r="AM120" s="5" t="str">
        <f t="shared" si="9"/>
        <v/>
      </c>
      <c r="AN120" s="5" t="str">
        <f t="shared" si="10"/>
        <v/>
      </c>
      <c r="AO120" s="18" t="str">
        <f t="shared" si="11"/>
        <v/>
      </c>
      <c r="AP120" s="19"/>
      <c r="AQ120" s="20" t="str">
        <f t="shared" si="12"/>
        <v/>
      </c>
      <c r="AR120" s="21"/>
    </row>
    <row r="121" spans="2:44" ht="31.5" x14ac:dyDescent="0.5">
      <c r="B121" s="1"/>
      <c r="C121" s="15"/>
      <c r="D121" s="16"/>
      <c r="E121" s="15"/>
      <c r="F121" s="17"/>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4" t="s">
        <v>49</v>
      </c>
      <c r="AM121" s="5" t="str">
        <f t="shared" si="9"/>
        <v/>
      </c>
      <c r="AN121" s="5" t="str">
        <f t="shared" si="10"/>
        <v/>
      </c>
      <c r="AO121" s="18" t="str">
        <f t="shared" si="11"/>
        <v/>
      </c>
      <c r="AP121" s="19"/>
      <c r="AQ121" s="20" t="str">
        <f t="shared" si="12"/>
        <v/>
      </c>
      <c r="AR121" s="21"/>
    </row>
    <row r="122" spans="2:44" ht="31.5" x14ac:dyDescent="0.5">
      <c r="B122" s="1"/>
      <c r="C122" s="15"/>
      <c r="D122" s="16"/>
      <c r="E122" s="15"/>
      <c r="F122" s="17"/>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4" t="s">
        <v>49</v>
      </c>
      <c r="AM122" s="5" t="str">
        <f t="shared" si="9"/>
        <v/>
      </c>
      <c r="AN122" s="5" t="str">
        <f t="shared" si="10"/>
        <v/>
      </c>
      <c r="AO122" s="18" t="str">
        <f t="shared" si="11"/>
        <v/>
      </c>
      <c r="AP122" s="19"/>
      <c r="AQ122" s="20" t="str">
        <f t="shared" si="12"/>
        <v/>
      </c>
      <c r="AR122" s="21"/>
    </row>
    <row r="123" spans="2:44" ht="31.5" x14ac:dyDescent="0.5">
      <c r="B123" s="1"/>
      <c r="C123" s="15"/>
      <c r="D123" s="16"/>
      <c r="E123" s="15"/>
      <c r="F123" s="17"/>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4" t="s">
        <v>49</v>
      </c>
      <c r="AM123" s="5" t="str">
        <f t="shared" si="9"/>
        <v/>
      </c>
      <c r="AN123" s="5" t="str">
        <f t="shared" si="10"/>
        <v/>
      </c>
      <c r="AO123" s="18" t="str">
        <f t="shared" si="11"/>
        <v/>
      </c>
      <c r="AP123" s="19"/>
      <c r="AQ123" s="20" t="str">
        <f t="shared" si="12"/>
        <v/>
      </c>
      <c r="AR123" s="21"/>
    </row>
    <row r="124" spans="2:44" ht="31.5" x14ac:dyDescent="0.5">
      <c r="B124" s="1"/>
      <c r="C124" s="15"/>
      <c r="D124" s="16"/>
      <c r="E124" s="15"/>
      <c r="F124" s="17"/>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4" t="s">
        <v>49</v>
      </c>
      <c r="AM124" s="5" t="str">
        <f t="shared" si="9"/>
        <v/>
      </c>
      <c r="AN124" s="5" t="str">
        <f t="shared" si="10"/>
        <v/>
      </c>
      <c r="AO124" s="18" t="str">
        <f t="shared" si="11"/>
        <v/>
      </c>
      <c r="AP124" s="19"/>
      <c r="AQ124" s="20" t="str">
        <f t="shared" si="12"/>
        <v/>
      </c>
      <c r="AR124" s="21"/>
    </row>
    <row r="125" spans="2:44" ht="31.5" x14ac:dyDescent="0.5">
      <c r="B125" s="1"/>
      <c r="C125" s="15"/>
      <c r="D125" s="16"/>
      <c r="E125" s="15"/>
      <c r="F125" s="17"/>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4" t="s">
        <v>49</v>
      </c>
      <c r="AM125" s="5" t="str">
        <f t="shared" si="9"/>
        <v/>
      </c>
      <c r="AN125" s="5" t="str">
        <f t="shared" si="10"/>
        <v/>
      </c>
      <c r="AO125" s="18" t="str">
        <f t="shared" si="11"/>
        <v/>
      </c>
      <c r="AP125" s="19"/>
      <c r="AQ125" s="20" t="str">
        <f t="shared" si="12"/>
        <v/>
      </c>
      <c r="AR125" s="21"/>
    </row>
    <row r="126" spans="2:44" ht="31.5" x14ac:dyDescent="0.5">
      <c r="B126" s="1"/>
      <c r="C126" s="15"/>
      <c r="D126" s="16"/>
      <c r="E126" s="15"/>
      <c r="F126" s="17"/>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4" t="s">
        <v>49</v>
      </c>
      <c r="AM126" s="5" t="str">
        <f t="shared" si="9"/>
        <v/>
      </c>
      <c r="AN126" s="5" t="str">
        <f t="shared" si="10"/>
        <v/>
      </c>
      <c r="AO126" s="18" t="str">
        <f t="shared" si="11"/>
        <v/>
      </c>
      <c r="AP126" s="19"/>
      <c r="AQ126" s="20" t="str">
        <f t="shared" si="12"/>
        <v/>
      </c>
      <c r="AR126" s="21"/>
    </row>
    <row r="127" spans="2:44" ht="31.5" x14ac:dyDescent="0.5">
      <c r="B127" s="1"/>
      <c r="C127" s="15"/>
      <c r="D127" s="16"/>
      <c r="E127" s="15"/>
      <c r="F127" s="17"/>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4" t="s">
        <v>49</v>
      </c>
      <c r="AM127" s="5" t="str">
        <f t="shared" si="9"/>
        <v/>
      </c>
      <c r="AN127" s="5" t="str">
        <f t="shared" si="10"/>
        <v/>
      </c>
      <c r="AO127" s="18" t="str">
        <f t="shared" si="11"/>
        <v/>
      </c>
      <c r="AP127" s="19"/>
      <c r="AQ127" s="20" t="str">
        <f t="shared" si="12"/>
        <v/>
      </c>
      <c r="AR127" s="21"/>
    </row>
    <row r="128" spans="2:44" ht="31.5" x14ac:dyDescent="0.5">
      <c r="B128" s="1"/>
      <c r="C128" s="15"/>
      <c r="D128" s="16"/>
      <c r="E128" s="15"/>
      <c r="F128" s="17"/>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4" t="s">
        <v>49</v>
      </c>
      <c r="AM128" s="5" t="str">
        <f t="shared" si="9"/>
        <v/>
      </c>
      <c r="AN128" s="5" t="str">
        <f t="shared" si="10"/>
        <v/>
      </c>
      <c r="AO128" s="18" t="str">
        <f t="shared" si="11"/>
        <v/>
      </c>
      <c r="AP128" s="19"/>
      <c r="AQ128" s="20" t="str">
        <f t="shared" si="12"/>
        <v/>
      </c>
      <c r="AR128" s="21"/>
    </row>
    <row r="129" spans="2:44" ht="31.5" x14ac:dyDescent="0.5">
      <c r="B129" s="1"/>
      <c r="C129" s="15"/>
      <c r="D129" s="16"/>
      <c r="E129" s="15"/>
      <c r="F129" s="17"/>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4" t="s">
        <v>49</v>
      </c>
      <c r="AM129" s="5" t="str">
        <f t="shared" si="9"/>
        <v/>
      </c>
      <c r="AN129" s="5" t="str">
        <f t="shared" si="10"/>
        <v/>
      </c>
      <c r="AO129" s="18" t="str">
        <f t="shared" si="11"/>
        <v/>
      </c>
      <c r="AP129" s="19"/>
      <c r="AQ129" s="20" t="str">
        <f t="shared" si="12"/>
        <v/>
      </c>
      <c r="AR129" s="21"/>
    </row>
    <row r="130" spans="2:44" ht="31.5" x14ac:dyDescent="0.5">
      <c r="B130" s="1"/>
      <c r="C130" s="15"/>
      <c r="D130" s="16"/>
      <c r="E130" s="15"/>
      <c r="F130" s="17"/>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4" t="s">
        <v>49</v>
      </c>
      <c r="AM130" s="5" t="str">
        <f t="shared" si="9"/>
        <v/>
      </c>
      <c r="AN130" s="5" t="str">
        <f t="shared" si="10"/>
        <v/>
      </c>
      <c r="AO130" s="18" t="str">
        <f t="shared" si="11"/>
        <v/>
      </c>
      <c r="AP130" s="19"/>
      <c r="AQ130" s="20" t="str">
        <f t="shared" si="12"/>
        <v/>
      </c>
      <c r="AR130" s="21"/>
    </row>
    <row r="131" spans="2:44" ht="31.5" x14ac:dyDescent="0.5">
      <c r="B131" s="1"/>
      <c r="C131" s="15"/>
      <c r="D131" s="16"/>
      <c r="E131" s="15"/>
      <c r="F131" s="17"/>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4" t="s">
        <v>49</v>
      </c>
      <c r="AM131" s="5" t="str">
        <f t="shared" si="9"/>
        <v/>
      </c>
      <c r="AN131" s="5" t="str">
        <f t="shared" si="10"/>
        <v/>
      </c>
      <c r="AO131" s="18" t="str">
        <f t="shared" si="11"/>
        <v/>
      </c>
      <c r="AP131" s="19"/>
      <c r="AQ131" s="20" t="str">
        <f t="shared" si="12"/>
        <v/>
      </c>
      <c r="AR131" s="21"/>
    </row>
    <row r="132" spans="2:44" ht="31.5" x14ac:dyDescent="0.5">
      <c r="B132" s="1"/>
      <c r="C132" s="15"/>
      <c r="D132" s="16"/>
      <c r="E132" s="15"/>
      <c r="F132" s="17"/>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4" t="s">
        <v>49</v>
      </c>
      <c r="AM132" s="5" t="str">
        <f t="shared" si="9"/>
        <v/>
      </c>
      <c r="AN132" s="5" t="str">
        <f t="shared" si="10"/>
        <v/>
      </c>
      <c r="AO132" s="18" t="str">
        <f t="shared" si="11"/>
        <v/>
      </c>
      <c r="AP132" s="19"/>
      <c r="AQ132" s="20" t="str">
        <f t="shared" si="12"/>
        <v/>
      </c>
      <c r="AR132" s="21"/>
    </row>
    <row r="133" spans="2:44" ht="31.5" x14ac:dyDescent="0.5">
      <c r="B133" s="1"/>
      <c r="C133" s="15"/>
      <c r="D133" s="16"/>
      <c r="E133" s="15"/>
      <c r="F133" s="17"/>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4" t="s">
        <v>49</v>
      </c>
      <c r="AM133" s="5" t="str">
        <f t="shared" si="9"/>
        <v/>
      </c>
      <c r="AN133" s="5" t="str">
        <f t="shared" si="10"/>
        <v/>
      </c>
      <c r="AO133" s="18" t="str">
        <f t="shared" si="11"/>
        <v/>
      </c>
      <c r="AP133" s="19"/>
      <c r="AQ133" s="20" t="str">
        <f t="shared" si="12"/>
        <v/>
      </c>
      <c r="AR133" s="21"/>
    </row>
    <row r="134" spans="2:44" ht="31.5" x14ac:dyDescent="0.5">
      <c r="B134" s="1"/>
      <c r="C134" s="15"/>
      <c r="D134" s="16"/>
      <c r="E134" s="15"/>
      <c r="F134" s="17"/>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4" t="s">
        <v>49</v>
      </c>
      <c r="AM134" s="5" t="str">
        <f t="shared" si="9"/>
        <v/>
      </c>
      <c r="AN134" s="5" t="str">
        <f t="shared" si="10"/>
        <v/>
      </c>
      <c r="AO134" s="18" t="str">
        <f t="shared" si="11"/>
        <v/>
      </c>
      <c r="AP134" s="19"/>
      <c r="AQ134" s="20" t="str">
        <f t="shared" si="12"/>
        <v/>
      </c>
      <c r="AR134" s="21"/>
    </row>
    <row r="135" spans="2:44" ht="31.5" x14ac:dyDescent="0.5">
      <c r="B135" s="1"/>
      <c r="C135" s="15"/>
      <c r="D135" s="16"/>
      <c r="E135" s="15"/>
      <c r="F135" s="17"/>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4" t="s">
        <v>49</v>
      </c>
      <c r="AM135" s="5" t="str">
        <f t="shared" si="9"/>
        <v/>
      </c>
      <c r="AN135" s="5" t="str">
        <f t="shared" si="10"/>
        <v/>
      </c>
      <c r="AO135" s="18" t="str">
        <f t="shared" si="11"/>
        <v/>
      </c>
      <c r="AP135" s="19"/>
      <c r="AQ135" s="20" t="str">
        <f t="shared" si="12"/>
        <v/>
      </c>
      <c r="AR135" s="21"/>
    </row>
    <row r="136" spans="2:44" ht="31.5" x14ac:dyDescent="0.5">
      <c r="B136" s="1"/>
      <c r="C136" s="15"/>
      <c r="D136" s="16"/>
      <c r="E136" s="15"/>
      <c r="F136" s="17"/>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4" t="s">
        <v>49</v>
      </c>
      <c r="AM136" s="5" t="str">
        <f t="shared" si="9"/>
        <v/>
      </c>
      <c r="AN136" s="5" t="str">
        <f t="shared" si="10"/>
        <v/>
      </c>
      <c r="AO136" s="18" t="str">
        <f t="shared" si="11"/>
        <v/>
      </c>
      <c r="AP136" s="19"/>
      <c r="AQ136" s="20" t="str">
        <f t="shared" si="12"/>
        <v/>
      </c>
      <c r="AR136" s="21"/>
    </row>
    <row r="137" spans="2:44" ht="31.5" x14ac:dyDescent="0.5">
      <c r="B137" s="1"/>
      <c r="C137" s="15"/>
      <c r="D137" s="16"/>
      <c r="E137" s="15"/>
      <c r="F137" s="17"/>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4" t="s">
        <v>49</v>
      </c>
      <c r="AM137" s="5" t="str">
        <f t="shared" si="9"/>
        <v/>
      </c>
      <c r="AN137" s="5" t="str">
        <f t="shared" si="10"/>
        <v/>
      </c>
      <c r="AO137" s="18" t="str">
        <f t="shared" si="11"/>
        <v/>
      </c>
      <c r="AP137" s="19"/>
      <c r="AQ137" s="20" t="str">
        <f t="shared" si="12"/>
        <v/>
      </c>
      <c r="AR137" s="21"/>
    </row>
    <row r="138" spans="2:44" ht="31.5" x14ac:dyDescent="0.5">
      <c r="B138" s="1"/>
      <c r="C138" s="15"/>
      <c r="D138" s="16"/>
      <c r="E138" s="15"/>
      <c r="F138" s="17"/>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4" t="s">
        <v>49</v>
      </c>
      <c r="AM138" s="5" t="str">
        <f t="shared" si="9"/>
        <v/>
      </c>
      <c r="AN138" s="5" t="str">
        <f t="shared" si="10"/>
        <v/>
      </c>
      <c r="AO138" s="18" t="str">
        <f t="shared" si="11"/>
        <v/>
      </c>
      <c r="AP138" s="19"/>
      <c r="AQ138" s="20" t="str">
        <f t="shared" si="12"/>
        <v/>
      </c>
      <c r="AR138" s="21"/>
    </row>
    <row r="139" spans="2:44" ht="31.5" x14ac:dyDescent="0.5">
      <c r="B139" s="1"/>
      <c r="C139" s="15"/>
      <c r="D139" s="16"/>
      <c r="E139" s="15"/>
      <c r="F139" s="17"/>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4" t="s">
        <v>49</v>
      </c>
      <c r="AM139" s="5" t="str">
        <f t="shared" si="9"/>
        <v/>
      </c>
      <c r="AN139" s="5" t="str">
        <f t="shared" si="10"/>
        <v/>
      </c>
      <c r="AO139" s="18" t="str">
        <f t="shared" si="11"/>
        <v/>
      </c>
      <c r="AP139" s="19"/>
      <c r="AQ139" s="20" t="str">
        <f t="shared" si="12"/>
        <v/>
      </c>
      <c r="AR139" s="21"/>
    </row>
    <row r="140" spans="2:44" ht="31.5" x14ac:dyDescent="0.5">
      <c r="B140" s="1"/>
      <c r="C140" s="15"/>
      <c r="D140" s="16"/>
      <c r="E140" s="15"/>
      <c r="F140" s="17"/>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4" t="s">
        <v>49</v>
      </c>
      <c r="AM140" s="5" t="str">
        <f t="shared" si="9"/>
        <v/>
      </c>
      <c r="AN140" s="5" t="str">
        <f t="shared" si="10"/>
        <v/>
      </c>
      <c r="AO140" s="18" t="str">
        <f t="shared" si="11"/>
        <v/>
      </c>
      <c r="AP140" s="19"/>
      <c r="AQ140" s="20" t="str">
        <f t="shared" si="12"/>
        <v/>
      </c>
      <c r="AR140" s="21"/>
    </row>
    <row r="141" spans="2:44" ht="31.5" x14ac:dyDescent="0.5">
      <c r="B141" s="1"/>
      <c r="C141" s="15"/>
      <c r="D141" s="16"/>
      <c r="E141" s="15"/>
      <c r="F141" s="17"/>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4" t="s">
        <v>49</v>
      </c>
      <c r="AM141" s="5" t="str">
        <f t="shared" si="9"/>
        <v/>
      </c>
      <c r="AN141" s="5" t="str">
        <f t="shared" si="10"/>
        <v/>
      </c>
      <c r="AO141" s="18" t="str">
        <f t="shared" si="11"/>
        <v/>
      </c>
      <c r="AP141" s="19"/>
      <c r="AQ141" s="20" t="str">
        <f t="shared" si="12"/>
        <v/>
      </c>
      <c r="AR141" s="21"/>
    </row>
    <row r="142" spans="2:44" ht="31.5" x14ac:dyDescent="0.5">
      <c r="B142" s="1"/>
      <c r="C142" s="15"/>
      <c r="D142" s="16"/>
      <c r="E142" s="15"/>
      <c r="F142" s="17"/>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4" t="s">
        <v>49</v>
      </c>
      <c r="AM142" s="5" t="str">
        <f t="shared" si="9"/>
        <v/>
      </c>
      <c r="AN142" s="5" t="str">
        <f t="shared" si="10"/>
        <v/>
      </c>
      <c r="AO142" s="18" t="str">
        <f t="shared" si="11"/>
        <v/>
      </c>
      <c r="AP142" s="19"/>
      <c r="AQ142" s="20" t="str">
        <f t="shared" si="12"/>
        <v/>
      </c>
      <c r="AR142" s="21"/>
    </row>
    <row r="143" spans="2:44" ht="31.5" x14ac:dyDescent="0.5">
      <c r="B143" s="1"/>
      <c r="C143" s="15"/>
      <c r="D143" s="16"/>
      <c r="E143" s="15"/>
      <c r="F143" s="17"/>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4" t="s">
        <v>49</v>
      </c>
      <c r="AM143" s="5" t="str">
        <f t="shared" si="9"/>
        <v/>
      </c>
      <c r="AN143" s="5" t="str">
        <f t="shared" si="10"/>
        <v/>
      </c>
      <c r="AO143" s="18" t="str">
        <f t="shared" si="11"/>
        <v/>
      </c>
      <c r="AP143" s="19"/>
      <c r="AQ143" s="20" t="str">
        <f t="shared" si="12"/>
        <v/>
      </c>
      <c r="AR143" s="21"/>
    </row>
    <row r="144" spans="2:44" ht="31.5" x14ac:dyDescent="0.5">
      <c r="B144" s="1"/>
      <c r="C144" s="15"/>
      <c r="D144" s="16"/>
      <c r="E144" s="15"/>
      <c r="F144" s="17"/>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4" t="s">
        <v>49</v>
      </c>
      <c r="AM144" s="5" t="str">
        <f t="shared" si="9"/>
        <v/>
      </c>
      <c r="AN144" s="5" t="str">
        <f t="shared" si="10"/>
        <v/>
      </c>
      <c r="AO144" s="18" t="str">
        <f t="shared" si="11"/>
        <v/>
      </c>
      <c r="AP144" s="19"/>
      <c r="AQ144" s="20" t="str">
        <f t="shared" si="12"/>
        <v/>
      </c>
      <c r="AR144" s="21"/>
    </row>
    <row r="145" spans="2:44" ht="31.5" x14ac:dyDescent="0.5">
      <c r="B145" s="1"/>
      <c r="C145" s="15"/>
      <c r="D145" s="16"/>
      <c r="E145" s="15"/>
      <c r="F145" s="17"/>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4" t="s">
        <v>49</v>
      </c>
      <c r="AM145" s="5" t="str">
        <f t="shared" si="9"/>
        <v/>
      </c>
      <c r="AN145" s="5" t="str">
        <f t="shared" si="10"/>
        <v/>
      </c>
      <c r="AO145" s="18" t="str">
        <f t="shared" si="11"/>
        <v/>
      </c>
      <c r="AP145" s="19"/>
      <c r="AQ145" s="20" t="str">
        <f t="shared" si="12"/>
        <v/>
      </c>
      <c r="AR145" s="21"/>
    </row>
    <row r="146" spans="2:44" ht="31.5" x14ac:dyDescent="0.5">
      <c r="B146" s="1"/>
      <c r="C146" s="15"/>
      <c r="D146" s="16"/>
      <c r="E146" s="15"/>
      <c r="F146" s="17"/>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4" t="s">
        <v>49</v>
      </c>
      <c r="AM146" s="5" t="str">
        <f t="shared" si="9"/>
        <v/>
      </c>
      <c r="AN146" s="5" t="str">
        <f t="shared" si="10"/>
        <v/>
      </c>
      <c r="AO146" s="18" t="str">
        <f t="shared" si="11"/>
        <v/>
      </c>
      <c r="AP146" s="19"/>
      <c r="AQ146" s="20" t="str">
        <f t="shared" si="12"/>
        <v/>
      </c>
      <c r="AR146" s="21"/>
    </row>
    <row r="147" spans="2:44" ht="31.5" x14ac:dyDescent="0.5">
      <c r="B147" s="1"/>
      <c r="C147" s="15"/>
      <c r="D147" s="16"/>
      <c r="E147" s="15"/>
      <c r="F147" s="17"/>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4" t="s">
        <v>49</v>
      </c>
      <c r="AM147" s="5" t="str">
        <f t="shared" si="9"/>
        <v/>
      </c>
      <c r="AN147" s="5" t="str">
        <f t="shared" si="10"/>
        <v/>
      </c>
      <c r="AO147" s="18" t="str">
        <f t="shared" si="11"/>
        <v/>
      </c>
      <c r="AP147" s="19"/>
      <c r="AQ147" s="20" t="str">
        <f t="shared" si="12"/>
        <v/>
      </c>
      <c r="AR147" s="21"/>
    </row>
    <row r="148" spans="2:44" ht="31.5" x14ac:dyDescent="0.5">
      <c r="B148" s="1"/>
      <c r="C148" s="15"/>
      <c r="D148" s="16"/>
      <c r="E148" s="15"/>
      <c r="F148" s="17"/>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4" t="s">
        <v>49</v>
      </c>
      <c r="AM148" s="5" t="str">
        <f t="shared" si="9"/>
        <v/>
      </c>
      <c r="AN148" s="5" t="str">
        <f t="shared" si="10"/>
        <v/>
      </c>
      <c r="AO148" s="18" t="str">
        <f t="shared" si="11"/>
        <v/>
      </c>
      <c r="AP148" s="19"/>
      <c r="AQ148" s="20" t="str">
        <f t="shared" si="12"/>
        <v/>
      </c>
      <c r="AR148" s="21"/>
    </row>
    <row r="149" spans="2:44" ht="31.5" x14ac:dyDescent="0.5">
      <c r="B149" s="1"/>
      <c r="C149" s="15"/>
      <c r="D149" s="16"/>
      <c r="E149" s="15"/>
      <c r="F149" s="17"/>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4" t="s">
        <v>49</v>
      </c>
      <c r="AM149" s="5" t="str">
        <f t="shared" si="9"/>
        <v/>
      </c>
      <c r="AN149" s="5" t="str">
        <f t="shared" si="10"/>
        <v/>
      </c>
      <c r="AO149" s="18" t="str">
        <f t="shared" si="11"/>
        <v/>
      </c>
      <c r="AP149" s="19"/>
      <c r="AQ149" s="20" t="str">
        <f t="shared" si="12"/>
        <v/>
      </c>
      <c r="AR149" s="21"/>
    </row>
    <row r="150" spans="2:44" ht="31.5" x14ac:dyDescent="0.5">
      <c r="B150" s="1"/>
      <c r="C150" s="15"/>
      <c r="D150" s="16"/>
      <c r="E150" s="15"/>
      <c r="F150" s="17"/>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4" t="s">
        <v>49</v>
      </c>
      <c r="AM150" s="5" t="str">
        <f t="shared" si="9"/>
        <v/>
      </c>
      <c r="AN150" s="5" t="str">
        <f t="shared" si="10"/>
        <v/>
      </c>
      <c r="AO150" s="18" t="str">
        <f t="shared" si="11"/>
        <v/>
      </c>
      <c r="AP150" s="19"/>
      <c r="AQ150" s="20" t="str">
        <f t="shared" si="12"/>
        <v/>
      </c>
      <c r="AR150" s="21"/>
    </row>
    <row r="151" spans="2:44" ht="31.5" x14ac:dyDescent="0.5">
      <c r="B151" s="1"/>
      <c r="C151" s="15"/>
      <c r="D151" s="16"/>
      <c r="E151" s="15"/>
      <c r="F151" s="17"/>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4" t="s">
        <v>49</v>
      </c>
      <c r="AM151" s="5" t="str">
        <f t="shared" si="9"/>
        <v/>
      </c>
      <c r="AN151" s="5" t="str">
        <f t="shared" si="10"/>
        <v/>
      </c>
      <c r="AO151" s="18" t="str">
        <f t="shared" si="11"/>
        <v/>
      </c>
      <c r="AP151" s="19"/>
      <c r="AQ151" s="20" t="str">
        <f t="shared" si="12"/>
        <v/>
      </c>
      <c r="AR151" s="21"/>
    </row>
    <row r="152" spans="2:44" ht="31.5" x14ac:dyDescent="0.5">
      <c r="B152" s="1"/>
      <c r="C152" s="15"/>
      <c r="D152" s="16"/>
      <c r="E152" s="15"/>
      <c r="F152" s="17"/>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4" t="s">
        <v>49</v>
      </c>
      <c r="AM152" s="5" t="str">
        <f t="shared" si="9"/>
        <v/>
      </c>
      <c r="AN152" s="5" t="str">
        <f t="shared" si="10"/>
        <v/>
      </c>
      <c r="AO152" s="18" t="str">
        <f t="shared" si="11"/>
        <v/>
      </c>
      <c r="AP152" s="19"/>
      <c r="AQ152" s="20" t="str">
        <f t="shared" si="12"/>
        <v/>
      </c>
      <c r="AR152" s="21"/>
    </row>
    <row r="153" spans="2:44" ht="31.5" x14ac:dyDescent="0.5">
      <c r="B153" s="1"/>
      <c r="C153" s="15"/>
      <c r="D153" s="16"/>
      <c r="E153" s="15"/>
      <c r="F153" s="17"/>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4" t="s">
        <v>49</v>
      </c>
      <c r="AM153" s="5" t="str">
        <f t="shared" si="9"/>
        <v/>
      </c>
      <c r="AN153" s="5" t="str">
        <f t="shared" si="10"/>
        <v/>
      </c>
      <c r="AO153" s="18" t="str">
        <f t="shared" si="11"/>
        <v/>
      </c>
      <c r="AP153" s="19"/>
      <c r="AQ153" s="20" t="str">
        <f t="shared" si="12"/>
        <v/>
      </c>
      <c r="AR153" s="21"/>
    </row>
    <row r="154" spans="2:44" ht="31.5" x14ac:dyDescent="0.5">
      <c r="B154" s="1"/>
      <c r="C154" s="15"/>
      <c r="D154" s="16"/>
      <c r="E154" s="15"/>
      <c r="F154" s="17"/>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4" t="s">
        <v>49</v>
      </c>
      <c r="AM154" s="5" t="str">
        <f t="shared" si="9"/>
        <v/>
      </c>
      <c r="AN154" s="5" t="str">
        <f t="shared" si="10"/>
        <v/>
      </c>
      <c r="AO154" s="18" t="str">
        <f t="shared" si="11"/>
        <v/>
      </c>
      <c r="AP154" s="19"/>
      <c r="AQ154" s="20" t="str">
        <f t="shared" si="12"/>
        <v/>
      </c>
      <c r="AR154" s="21"/>
    </row>
    <row r="155" spans="2:44" ht="31.5" x14ac:dyDescent="0.5">
      <c r="B155" s="1"/>
      <c r="C155" s="15"/>
      <c r="D155" s="16"/>
      <c r="E155" s="15"/>
      <c r="F155" s="17"/>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4" t="s">
        <v>49</v>
      </c>
      <c r="AM155" s="5" t="str">
        <f t="shared" si="9"/>
        <v/>
      </c>
      <c r="AN155" s="5" t="str">
        <f t="shared" si="10"/>
        <v/>
      </c>
      <c r="AO155" s="18" t="str">
        <f t="shared" si="11"/>
        <v/>
      </c>
      <c r="AP155" s="19"/>
      <c r="AQ155" s="20" t="str">
        <f t="shared" si="12"/>
        <v/>
      </c>
      <c r="AR155" s="21"/>
    </row>
    <row r="156" spans="2:44" ht="31.5" x14ac:dyDescent="0.5">
      <c r="B156" s="1"/>
      <c r="C156" s="15"/>
      <c r="D156" s="16"/>
      <c r="E156" s="15"/>
      <c r="F156" s="17"/>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4" t="s">
        <v>49</v>
      </c>
      <c r="AM156" s="5" t="str">
        <f t="shared" si="9"/>
        <v/>
      </c>
      <c r="AN156" s="5" t="str">
        <f t="shared" si="10"/>
        <v/>
      </c>
      <c r="AO156" s="18" t="str">
        <f t="shared" si="11"/>
        <v/>
      </c>
      <c r="AP156" s="19"/>
      <c r="AQ156" s="20" t="str">
        <f t="shared" si="12"/>
        <v/>
      </c>
      <c r="AR156" s="21"/>
    </row>
    <row r="157" spans="2:44" ht="31.5" x14ac:dyDescent="0.5">
      <c r="B157" s="1"/>
      <c r="C157" s="15"/>
      <c r="D157" s="16"/>
      <c r="E157" s="15"/>
      <c r="F157" s="17"/>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4" t="s">
        <v>49</v>
      </c>
      <c r="AM157" s="5" t="str">
        <f t="shared" si="9"/>
        <v/>
      </c>
      <c r="AN157" s="5" t="str">
        <f t="shared" si="10"/>
        <v/>
      </c>
      <c r="AO157" s="18" t="str">
        <f t="shared" si="11"/>
        <v/>
      </c>
      <c r="AP157" s="19"/>
      <c r="AQ157" s="20" t="str">
        <f t="shared" si="12"/>
        <v/>
      </c>
      <c r="AR157" s="21"/>
    </row>
    <row r="158" spans="2:44" ht="31.5" x14ac:dyDescent="0.5">
      <c r="B158" s="1"/>
      <c r="C158" s="15"/>
      <c r="D158" s="16"/>
      <c r="E158" s="15"/>
      <c r="F158" s="17"/>
      <c r="G158" s="8"/>
      <c r="H158" s="8"/>
      <c r="I158" s="8"/>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4" t="s">
        <v>49</v>
      </c>
      <c r="AM158" s="5" t="str">
        <f t="shared" si="9"/>
        <v/>
      </c>
      <c r="AN158" s="5" t="str">
        <f t="shared" si="10"/>
        <v/>
      </c>
      <c r="AO158" s="18" t="str">
        <f t="shared" si="11"/>
        <v/>
      </c>
      <c r="AP158" s="19"/>
      <c r="AQ158" s="20" t="str">
        <f t="shared" si="12"/>
        <v/>
      </c>
      <c r="AR158" s="21"/>
    </row>
    <row r="159" spans="2:44" ht="31.5" x14ac:dyDescent="0.5">
      <c r="B159" s="1"/>
      <c r="C159" s="15"/>
      <c r="D159" s="16"/>
      <c r="E159" s="15"/>
      <c r="F159" s="17"/>
      <c r="G159" s="8"/>
      <c r="H159" s="8"/>
      <c r="I159" s="8"/>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4" t="s">
        <v>49</v>
      </c>
      <c r="AM159" s="5" t="str">
        <f t="shared" si="9"/>
        <v/>
      </c>
      <c r="AN159" s="5" t="str">
        <f t="shared" si="10"/>
        <v/>
      </c>
      <c r="AO159" s="18" t="str">
        <f t="shared" si="11"/>
        <v/>
      </c>
      <c r="AP159" s="19"/>
      <c r="AQ159" s="20" t="str">
        <f t="shared" si="12"/>
        <v/>
      </c>
      <c r="AR159" s="21"/>
    </row>
    <row r="160" spans="2:44" ht="31.5" x14ac:dyDescent="0.5">
      <c r="B160" s="1"/>
      <c r="C160" s="15"/>
      <c r="D160" s="16"/>
      <c r="E160" s="15"/>
      <c r="F160" s="17"/>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4" t="s">
        <v>49</v>
      </c>
      <c r="AM160" s="5" t="str">
        <f t="shared" si="9"/>
        <v/>
      </c>
      <c r="AN160" s="5" t="str">
        <f t="shared" si="10"/>
        <v/>
      </c>
      <c r="AO160" s="18" t="str">
        <f t="shared" si="11"/>
        <v/>
      </c>
      <c r="AP160" s="19"/>
      <c r="AQ160" s="20" t="str">
        <f t="shared" si="12"/>
        <v/>
      </c>
      <c r="AR160" s="21"/>
    </row>
    <row r="161" spans="2:44" ht="31.5" x14ac:dyDescent="0.5">
      <c r="B161" s="1"/>
      <c r="C161" s="15"/>
      <c r="D161" s="16"/>
      <c r="E161" s="15"/>
      <c r="F161" s="17"/>
      <c r="G161" s="8"/>
      <c r="H161" s="8"/>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4" t="s">
        <v>49</v>
      </c>
      <c r="AM161" s="5" t="str">
        <f t="shared" si="9"/>
        <v/>
      </c>
      <c r="AN161" s="5" t="str">
        <f t="shared" si="10"/>
        <v/>
      </c>
      <c r="AO161" s="18" t="str">
        <f t="shared" si="11"/>
        <v/>
      </c>
      <c r="AP161" s="19"/>
      <c r="AQ161" s="20" t="str">
        <f t="shared" si="12"/>
        <v/>
      </c>
      <c r="AR161" s="21"/>
    </row>
    <row r="162" spans="2:44" ht="31.5" x14ac:dyDescent="0.5">
      <c r="B162" s="1"/>
      <c r="C162" s="15"/>
      <c r="D162" s="16"/>
      <c r="E162" s="15"/>
      <c r="F162" s="17"/>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4" t="s">
        <v>49</v>
      </c>
      <c r="AM162" s="5" t="str">
        <f t="shared" si="9"/>
        <v/>
      </c>
      <c r="AN162" s="5" t="str">
        <f t="shared" si="10"/>
        <v/>
      </c>
      <c r="AO162" s="18" t="str">
        <f t="shared" si="11"/>
        <v/>
      </c>
      <c r="AP162" s="19"/>
      <c r="AQ162" s="20" t="str">
        <f t="shared" si="12"/>
        <v/>
      </c>
      <c r="AR162" s="21"/>
    </row>
    <row r="163" spans="2:44" ht="31.5" x14ac:dyDescent="0.5">
      <c r="B163" s="1"/>
      <c r="C163" s="15"/>
      <c r="D163" s="16"/>
      <c r="E163" s="15"/>
      <c r="F163" s="17"/>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4" t="s">
        <v>49</v>
      </c>
      <c r="AM163" s="5" t="str">
        <f t="shared" si="9"/>
        <v/>
      </c>
      <c r="AN163" s="5" t="str">
        <f t="shared" si="10"/>
        <v/>
      </c>
      <c r="AO163" s="18" t="str">
        <f t="shared" si="11"/>
        <v/>
      </c>
      <c r="AP163" s="19"/>
      <c r="AQ163" s="20" t="str">
        <f t="shared" si="12"/>
        <v/>
      </c>
      <c r="AR163" s="21"/>
    </row>
    <row r="164" spans="2:44" ht="31.5" x14ac:dyDescent="0.5">
      <c r="B164" s="1"/>
      <c r="C164" s="15"/>
      <c r="D164" s="16"/>
      <c r="E164" s="15"/>
      <c r="F164" s="17"/>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4" t="s">
        <v>49</v>
      </c>
      <c r="AM164" s="5" t="str">
        <f t="shared" si="9"/>
        <v/>
      </c>
      <c r="AN164" s="5" t="str">
        <f t="shared" si="10"/>
        <v/>
      </c>
      <c r="AO164" s="18" t="str">
        <f t="shared" si="11"/>
        <v/>
      </c>
      <c r="AP164" s="19"/>
      <c r="AQ164" s="20" t="str">
        <f t="shared" si="12"/>
        <v/>
      </c>
      <c r="AR164" s="21"/>
    </row>
    <row r="165" spans="2:44" ht="31.5" x14ac:dyDescent="0.5">
      <c r="B165" s="1"/>
      <c r="C165" s="15"/>
      <c r="D165" s="16"/>
      <c r="E165" s="15"/>
      <c r="F165" s="17"/>
      <c r="G165" s="8"/>
      <c r="H165" s="8"/>
      <c r="I165" s="8"/>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4" t="s">
        <v>49</v>
      </c>
      <c r="AM165" s="5" t="str">
        <f t="shared" si="9"/>
        <v/>
      </c>
      <c r="AN165" s="5" t="str">
        <f t="shared" si="10"/>
        <v/>
      </c>
      <c r="AO165" s="18" t="str">
        <f t="shared" si="11"/>
        <v/>
      </c>
      <c r="AP165" s="19"/>
      <c r="AQ165" s="20" t="str">
        <f t="shared" si="12"/>
        <v/>
      </c>
      <c r="AR165" s="21"/>
    </row>
    <row r="166" spans="2:44" ht="31.5" x14ac:dyDescent="0.5">
      <c r="B166" s="1"/>
      <c r="C166" s="15"/>
      <c r="D166" s="16"/>
      <c r="E166" s="15"/>
      <c r="F166" s="17"/>
      <c r="G166" s="8"/>
      <c r="H166" s="8"/>
      <c r="I166" s="8"/>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4" t="s">
        <v>49</v>
      </c>
      <c r="AM166" s="5" t="str">
        <f t="shared" si="9"/>
        <v/>
      </c>
      <c r="AN166" s="5" t="str">
        <f t="shared" si="10"/>
        <v/>
      </c>
      <c r="AO166" s="18" t="str">
        <f t="shared" si="11"/>
        <v/>
      </c>
      <c r="AP166" s="19"/>
      <c r="AQ166" s="20" t="str">
        <f t="shared" si="12"/>
        <v/>
      </c>
      <c r="AR166" s="21"/>
    </row>
    <row r="167" spans="2:44" ht="31.5" x14ac:dyDescent="0.5">
      <c r="B167" s="1"/>
      <c r="C167" s="15"/>
      <c r="D167" s="16"/>
      <c r="E167" s="15"/>
      <c r="F167" s="17"/>
      <c r="G167" s="8"/>
      <c r="H167" s="8"/>
      <c r="I167" s="8"/>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4" t="s">
        <v>49</v>
      </c>
      <c r="AM167" s="5" t="str">
        <f t="shared" si="9"/>
        <v/>
      </c>
      <c r="AN167" s="5" t="str">
        <f t="shared" si="10"/>
        <v/>
      </c>
      <c r="AO167" s="18" t="str">
        <f t="shared" si="11"/>
        <v/>
      </c>
      <c r="AP167" s="19"/>
      <c r="AQ167" s="20" t="str">
        <f t="shared" si="12"/>
        <v/>
      </c>
      <c r="AR167" s="21"/>
    </row>
    <row r="168" spans="2:44" ht="31.5" x14ac:dyDescent="0.5">
      <c r="B168" s="1"/>
      <c r="C168" s="15"/>
      <c r="D168" s="16"/>
      <c r="E168" s="15"/>
      <c r="F168" s="17"/>
      <c r="G168" s="8"/>
      <c r="H168" s="8"/>
      <c r="I168" s="8"/>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4" t="s">
        <v>49</v>
      </c>
      <c r="AM168" s="5" t="str">
        <f t="shared" si="9"/>
        <v/>
      </c>
      <c r="AN168" s="5" t="str">
        <f t="shared" si="10"/>
        <v/>
      </c>
      <c r="AO168" s="18" t="str">
        <f t="shared" si="11"/>
        <v/>
      </c>
      <c r="AP168" s="19"/>
      <c r="AQ168" s="20" t="str">
        <f t="shared" si="12"/>
        <v/>
      </c>
      <c r="AR168" s="21"/>
    </row>
    <row r="169" spans="2:44" ht="31.5" x14ac:dyDescent="0.5">
      <c r="B169" s="1"/>
      <c r="C169" s="15"/>
      <c r="D169" s="16"/>
      <c r="E169" s="15"/>
      <c r="F169" s="17"/>
      <c r="G169" s="8"/>
      <c r="H169" s="8"/>
      <c r="I169" s="8"/>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4" t="s">
        <v>49</v>
      </c>
      <c r="AM169" s="5" t="str">
        <f t="shared" si="9"/>
        <v/>
      </c>
      <c r="AN169" s="5" t="str">
        <f t="shared" si="10"/>
        <v/>
      </c>
      <c r="AO169" s="18" t="str">
        <f t="shared" si="11"/>
        <v/>
      </c>
      <c r="AP169" s="19"/>
      <c r="AQ169" s="20" t="str">
        <f t="shared" si="12"/>
        <v/>
      </c>
      <c r="AR169" s="21"/>
    </row>
    <row r="170" spans="2:44" ht="31.5" x14ac:dyDescent="0.5">
      <c r="B170" s="1"/>
      <c r="C170" s="15"/>
      <c r="D170" s="16"/>
      <c r="E170" s="15"/>
      <c r="F170" s="17"/>
      <c r="G170" s="8"/>
      <c r="H170" s="8"/>
      <c r="I170" s="8"/>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4" t="s">
        <v>49</v>
      </c>
      <c r="AM170" s="5" t="str">
        <f t="shared" si="9"/>
        <v/>
      </c>
      <c r="AN170" s="5" t="str">
        <f t="shared" si="10"/>
        <v/>
      </c>
      <c r="AO170" s="18" t="str">
        <f t="shared" si="11"/>
        <v/>
      </c>
      <c r="AP170" s="19"/>
      <c r="AQ170" s="20" t="str">
        <f t="shared" si="12"/>
        <v/>
      </c>
      <c r="AR170" s="21"/>
    </row>
    <row r="171" spans="2:44" ht="31.5" x14ac:dyDescent="0.5">
      <c r="B171" s="1"/>
      <c r="C171" s="15"/>
      <c r="D171" s="16"/>
      <c r="E171" s="15"/>
      <c r="F171" s="17"/>
      <c r="G171" s="8"/>
      <c r="H171" s="8"/>
      <c r="I171" s="8"/>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4" t="s">
        <v>49</v>
      </c>
      <c r="AM171" s="5" t="str">
        <f t="shared" si="9"/>
        <v/>
      </c>
      <c r="AN171" s="5" t="str">
        <f t="shared" si="10"/>
        <v/>
      </c>
      <c r="AO171" s="18" t="str">
        <f t="shared" si="11"/>
        <v/>
      </c>
      <c r="AP171" s="19"/>
      <c r="AQ171" s="20" t="str">
        <f t="shared" si="12"/>
        <v/>
      </c>
      <c r="AR171" s="21"/>
    </row>
    <row r="172" spans="2:44" ht="31.5" x14ac:dyDescent="0.5">
      <c r="B172" s="1"/>
      <c r="C172" s="15"/>
      <c r="D172" s="16"/>
      <c r="E172" s="15"/>
      <c r="F172" s="17"/>
      <c r="G172" s="8"/>
      <c r="H172" s="8"/>
      <c r="I172" s="8"/>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4" t="s">
        <v>49</v>
      </c>
      <c r="AM172" s="5" t="str">
        <f t="shared" si="9"/>
        <v/>
      </c>
      <c r="AN172" s="5" t="str">
        <f t="shared" si="10"/>
        <v/>
      </c>
      <c r="AO172" s="18" t="str">
        <f t="shared" si="11"/>
        <v/>
      </c>
      <c r="AP172" s="19"/>
      <c r="AQ172" s="20" t="str">
        <f t="shared" si="12"/>
        <v/>
      </c>
      <c r="AR172" s="21"/>
    </row>
    <row r="173" spans="2:44" ht="31.5" x14ac:dyDescent="0.5">
      <c r="B173" s="1"/>
      <c r="C173" s="15"/>
      <c r="D173" s="16"/>
      <c r="E173" s="15"/>
      <c r="F173" s="17"/>
      <c r="G173" s="8"/>
      <c r="H173" s="8"/>
      <c r="I173" s="8"/>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4" t="s">
        <v>49</v>
      </c>
      <c r="AM173" s="5" t="str">
        <f t="shared" si="9"/>
        <v/>
      </c>
      <c r="AN173" s="5" t="str">
        <f t="shared" si="10"/>
        <v/>
      </c>
      <c r="AO173" s="18" t="str">
        <f t="shared" si="11"/>
        <v/>
      </c>
      <c r="AP173" s="19"/>
      <c r="AQ173" s="20" t="str">
        <f t="shared" si="12"/>
        <v/>
      </c>
      <c r="AR173" s="21"/>
    </row>
    <row r="174" spans="2:44" ht="31.5" x14ac:dyDescent="0.5">
      <c r="B174" s="1"/>
      <c r="C174" s="15"/>
      <c r="D174" s="16"/>
      <c r="E174" s="15"/>
      <c r="F174" s="17"/>
      <c r="G174" s="8"/>
      <c r="H174" s="8"/>
      <c r="I174" s="8"/>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4" t="s">
        <v>49</v>
      </c>
      <c r="AM174" s="5" t="str">
        <f t="shared" si="9"/>
        <v/>
      </c>
      <c r="AN174" s="5" t="str">
        <f t="shared" si="10"/>
        <v/>
      </c>
      <c r="AO174" s="18" t="str">
        <f t="shared" si="11"/>
        <v/>
      </c>
      <c r="AP174" s="19"/>
      <c r="AQ174" s="20" t="str">
        <f t="shared" si="12"/>
        <v/>
      </c>
      <c r="AR174" s="21"/>
    </row>
    <row r="175" spans="2:44" ht="31.5" x14ac:dyDescent="0.5">
      <c r="B175" s="1"/>
      <c r="C175" s="15"/>
      <c r="D175" s="16"/>
      <c r="E175" s="15"/>
      <c r="F175" s="17"/>
      <c r="G175" s="8"/>
      <c r="H175" s="8"/>
      <c r="I175" s="8"/>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4" t="s">
        <v>49</v>
      </c>
      <c r="AM175" s="5" t="str">
        <f t="shared" si="9"/>
        <v/>
      </c>
      <c r="AN175" s="5" t="str">
        <f t="shared" si="10"/>
        <v/>
      </c>
      <c r="AO175" s="18" t="str">
        <f t="shared" si="11"/>
        <v/>
      </c>
      <c r="AP175" s="19"/>
      <c r="AQ175" s="20" t="str">
        <f t="shared" si="12"/>
        <v/>
      </c>
      <c r="AR175" s="21"/>
    </row>
    <row r="176" spans="2:44" ht="31.5" x14ac:dyDescent="0.5">
      <c r="B176" s="1"/>
      <c r="C176" s="15"/>
      <c r="D176" s="16"/>
      <c r="E176" s="15"/>
      <c r="F176" s="17"/>
      <c r="G176" s="8"/>
      <c r="H176" s="8"/>
      <c r="I176" s="8"/>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4" t="s">
        <v>49</v>
      </c>
      <c r="AM176" s="5" t="str">
        <f t="shared" si="9"/>
        <v/>
      </c>
      <c r="AN176" s="5" t="str">
        <f t="shared" si="10"/>
        <v/>
      </c>
      <c r="AO176" s="18" t="str">
        <f t="shared" si="11"/>
        <v/>
      </c>
      <c r="AP176" s="19"/>
      <c r="AQ176" s="20" t="str">
        <f t="shared" si="12"/>
        <v/>
      </c>
      <c r="AR176" s="21"/>
    </row>
    <row r="177" spans="2:44" ht="31.5" x14ac:dyDescent="0.5">
      <c r="B177" s="1"/>
      <c r="C177" s="15"/>
      <c r="D177" s="16"/>
      <c r="E177" s="15"/>
      <c r="F177" s="17"/>
      <c r="G177" s="8"/>
      <c r="H177" s="8"/>
      <c r="I177" s="8"/>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4" t="s">
        <v>49</v>
      </c>
      <c r="AM177" s="5" t="str">
        <f t="shared" si="9"/>
        <v/>
      </c>
      <c r="AN177" s="5" t="str">
        <f t="shared" si="10"/>
        <v/>
      </c>
      <c r="AO177" s="18" t="str">
        <f t="shared" si="11"/>
        <v/>
      </c>
      <c r="AP177" s="19"/>
      <c r="AQ177" s="20" t="str">
        <f t="shared" si="12"/>
        <v/>
      </c>
      <c r="AR177" s="21"/>
    </row>
    <row r="178" spans="2:44" ht="31.5" x14ac:dyDescent="0.5">
      <c r="B178" s="1"/>
      <c r="C178" s="15"/>
      <c r="D178" s="16"/>
      <c r="E178" s="15"/>
      <c r="F178" s="17"/>
      <c r="G178" s="8"/>
      <c r="H178" s="8"/>
      <c r="I178" s="8"/>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4" t="s">
        <v>49</v>
      </c>
      <c r="AM178" s="5" t="str">
        <f t="shared" si="9"/>
        <v/>
      </c>
      <c r="AN178" s="5" t="str">
        <f t="shared" si="10"/>
        <v/>
      </c>
      <c r="AO178" s="18" t="str">
        <f t="shared" si="11"/>
        <v/>
      </c>
      <c r="AP178" s="19"/>
      <c r="AQ178" s="20" t="str">
        <f t="shared" si="12"/>
        <v/>
      </c>
      <c r="AR178" s="21"/>
    </row>
    <row r="179" spans="2:44" ht="31.5" x14ac:dyDescent="0.5">
      <c r="B179" s="1"/>
      <c r="C179" s="15"/>
      <c r="D179" s="16"/>
      <c r="E179" s="15"/>
      <c r="F179" s="17"/>
      <c r="G179" s="8"/>
      <c r="H179" s="8"/>
      <c r="I179" s="8"/>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4" t="s">
        <v>49</v>
      </c>
      <c r="AM179" s="5" t="str">
        <f t="shared" ref="AM179:AM242" si="13">IF($B179="","",COUNTIF($G179:$AK179,"P"))</f>
        <v/>
      </c>
      <c r="AN179" s="5" t="str">
        <f t="shared" ref="AN179:AN242" si="14">IF($B179="","",COUNTIF($G179:$AK179,"AB"))</f>
        <v/>
      </c>
      <c r="AO179" s="18" t="str">
        <f t="shared" ref="AO179:AO242" si="15">IF($B179="","",SUMPRODUCT(--($G$11:$AK$11&lt;&gt;""),--($G$12:$AK$12&lt;&gt;"Sun")))</f>
        <v/>
      </c>
      <c r="AP179" s="19"/>
      <c r="AQ179" s="20" t="str">
        <f t="shared" ref="AQ179:AQ242" si="16">IF($B179="","",IF(AO179=0,"",AM179/AO179))</f>
        <v/>
      </c>
      <c r="AR179" s="21"/>
    </row>
    <row r="180" spans="2:44" ht="31.5" x14ac:dyDescent="0.5">
      <c r="B180" s="1"/>
      <c r="C180" s="15"/>
      <c r="D180" s="16"/>
      <c r="E180" s="15"/>
      <c r="F180" s="17"/>
      <c r="G180" s="8"/>
      <c r="H180" s="8"/>
      <c r="I180" s="8"/>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4" t="s">
        <v>49</v>
      </c>
      <c r="AM180" s="5" t="str">
        <f t="shared" si="13"/>
        <v/>
      </c>
      <c r="AN180" s="5" t="str">
        <f t="shared" si="14"/>
        <v/>
      </c>
      <c r="AO180" s="18" t="str">
        <f t="shared" si="15"/>
        <v/>
      </c>
      <c r="AP180" s="19"/>
      <c r="AQ180" s="20" t="str">
        <f t="shared" si="16"/>
        <v/>
      </c>
      <c r="AR180" s="21"/>
    </row>
    <row r="181" spans="2:44" ht="31.5" x14ac:dyDescent="0.5">
      <c r="B181" s="1"/>
      <c r="C181" s="15"/>
      <c r="D181" s="16"/>
      <c r="E181" s="15"/>
      <c r="F181" s="17"/>
      <c r="G181" s="8"/>
      <c r="H181" s="8"/>
      <c r="I181" s="8"/>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4" t="s">
        <v>49</v>
      </c>
      <c r="AM181" s="5" t="str">
        <f t="shared" si="13"/>
        <v/>
      </c>
      <c r="AN181" s="5" t="str">
        <f t="shared" si="14"/>
        <v/>
      </c>
      <c r="AO181" s="18" t="str">
        <f t="shared" si="15"/>
        <v/>
      </c>
      <c r="AP181" s="19"/>
      <c r="AQ181" s="20" t="str">
        <f t="shared" si="16"/>
        <v/>
      </c>
      <c r="AR181" s="21"/>
    </row>
    <row r="182" spans="2:44" ht="31.5" x14ac:dyDescent="0.5">
      <c r="B182" s="1"/>
      <c r="C182" s="15"/>
      <c r="D182" s="16"/>
      <c r="E182" s="15"/>
      <c r="F182" s="17"/>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4" t="s">
        <v>49</v>
      </c>
      <c r="AM182" s="5" t="str">
        <f t="shared" si="13"/>
        <v/>
      </c>
      <c r="AN182" s="5" t="str">
        <f t="shared" si="14"/>
        <v/>
      </c>
      <c r="AO182" s="18" t="str">
        <f t="shared" si="15"/>
        <v/>
      </c>
      <c r="AP182" s="19"/>
      <c r="AQ182" s="20" t="str">
        <f t="shared" si="16"/>
        <v/>
      </c>
      <c r="AR182" s="21"/>
    </row>
    <row r="183" spans="2:44" ht="31.5" x14ac:dyDescent="0.5">
      <c r="B183" s="1"/>
      <c r="C183" s="15"/>
      <c r="D183" s="16"/>
      <c r="E183" s="15"/>
      <c r="F183" s="17"/>
      <c r="G183" s="8"/>
      <c r="H183" s="8"/>
      <c r="I183" s="8"/>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4" t="s">
        <v>49</v>
      </c>
      <c r="AM183" s="5" t="str">
        <f t="shared" si="13"/>
        <v/>
      </c>
      <c r="AN183" s="5" t="str">
        <f t="shared" si="14"/>
        <v/>
      </c>
      <c r="AO183" s="18" t="str">
        <f t="shared" si="15"/>
        <v/>
      </c>
      <c r="AP183" s="19"/>
      <c r="AQ183" s="20" t="str">
        <f t="shared" si="16"/>
        <v/>
      </c>
      <c r="AR183" s="21"/>
    </row>
    <row r="184" spans="2:44" ht="31.5" x14ac:dyDescent="0.5">
      <c r="B184" s="1"/>
      <c r="C184" s="15"/>
      <c r="D184" s="16"/>
      <c r="E184" s="15"/>
      <c r="F184" s="17"/>
      <c r="G184" s="8"/>
      <c r="H184" s="8"/>
      <c r="I184" s="8"/>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4" t="s">
        <v>49</v>
      </c>
      <c r="AM184" s="5" t="str">
        <f t="shared" si="13"/>
        <v/>
      </c>
      <c r="AN184" s="5" t="str">
        <f t="shared" si="14"/>
        <v/>
      </c>
      <c r="AO184" s="18" t="str">
        <f t="shared" si="15"/>
        <v/>
      </c>
      <c r="AP184" s="19"/>
      <c r="AQ184" s="20" t="str">
        <f t="shared" si="16"/>
        <v/>
      </c>
      <c r="AR184" s="21"/>
    </row>
    <row r="185" spans="2:44" ht="31.5" x14ac:dyDescent="0.5">
      <c r="B185" s="1"/>
      <c r="C185" s="15"/>
      <c r="D185" s="16"/>
      <c r="E185" s="15"/>
      <c r="F185" s="17"/>
      <c r="G185" s="8"/>
      <c r="H185" s="8"/>
      <c r="I185" s="8"/>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4" t="s">
        <v>49</v>
      </c>
      <c r="AM185" s="5" t="str">
        <f t="shared" si="13"/>
        <v/>
      </c>
      <c r="AN185" s="5" t="str">
        <f t="shared" si="14"/>
        <v/>
      </c>
      <c r="AO185" s="18" t="str">
        <f t="shared" si="15"/>
        <v/>
      </c>
      <c r="AP185" s="19"/>
      <c r="AQ185" s="20" t="str">
        <f t="shared" si="16"/>
        <v/>
      </c>
      <c r="AR185" s="21"/>
    </row>
    <row r="186" spans="2:44" ht="31.5" x14ac:dyDescent="0.5">
      <c r="B186" s="1"/>
      <c r="C186" s="15"/>
      <c r="D186" s="16"/>
      <c r="E186" s="15"/>
      <c r="F186" s="17"/>
      <c r="G186" s="8"/>
      <c r="H186" s="8"/>
      <c r="I186" s="8"/>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4" t="s">
        <v>49</v>
      </c>
      <c r="AM186" s="5" t="str">
        <f t="shared" si="13"/>
        <v/>
      </c>
      <c r="AN186" s="5" t="str">
        <f t="shared" si="14"/>
        <v/>
      </c>
      <c r="AO186" s="18" t="str">
        <f t="shared" si="15"/>
        <v/>
      </c>
      <c r="AP186" s="19"/>
      <c r="AQ186" s="20" t="str">
        <f t="shared" si="16"/>
        <v/>
      </c>
      <c r="AR186" s="21"/>
    </row>
    <row r="187" spans="2:44" ht="31.5" x14ac:dyDescent="0.5">
      <c r="B187" s="1"/>
      <c r="C187" s="15"/>
      <c r="D187" s="16"/>
      <c r="E187" s="15"/>
      <c r="F187" s="17"/>
      <c r="G187" s="8"/>
      <c r="H187" s="8"/>
      <c r="I187" s="8"/>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4" t="s">
        <v>49</v>
      </c>
      <c r="AM187" s="5" t="str">
        <f t="shared" si="13"/>
        <v/>
      </c>
      <c r="AN187" s="5" t="str">
        <f t="shared" si="14"/>
        <v/>
      </c>
      <c r="AO187" s="18" t="str">
        <f t="shared" si="15"/>
        <v/>
      </c>
      <c r="AP187" s="19"/>
      <c r="AQ187" s="20" t="str">
        <f t="shared" si="16"/>
        <v/>
      </c>
      <c r="AR187" s="21"/>
    </row>
    <row r="188" spans="2:44" ht="31.5" x14ac:dyDescent="0.5">
      <c r="B188" s="1"/>
      <c r="C188" s="15"/>
      <c r="D188" s="16"/>
      <c r="E188" s="15"/>
      <c r="F188" s="17"/>
      <c r="G188" s="8"/>
      <c r="H188" s="8"/>
      <c r="I188" s="8"/>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4" t="s">
        <v>49</v>
      </c>
      <c r="AM188" s="5" t="str">
        <f t="shared" si="13"/>
        <v/>
      </c>
      <c r="AN188" s="5" t="str">
        <f t="shared" si="14"/>
        <v/>
      </c>
      <c r="AO188" s="18" t="str">
        <f t="shared" si="15"/>
        <v/>
      </c>
      <c r="AP188" s="19"/>
      <c r="AQ188" s="20" t="str">
        <f t="shared" si="16"/>
        <v/>
      </c>
      <c r="AR188" s="21"/>
    </row>
    <row r="189" spans="2:44" ht="31.5" x14ac:dyDescent="0.5">
      <c r="B189" s="1"/>
      <c r="C189" s="15"/>
      <c r="D189" s="16"/>
      <c r="E189" s="15"/>
      <c r="F189" s="17"/>
      <c r="G189" s="8"/>
      <c r="H189" s="8"/>
      <c r="I189" s="8"/>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4" t="s">
        <v>49</v>
      </c>
      <c r="AM189" s="5" t="str">
        <f t="shared" si="13"/>
        <v/>
      </c>
      <c r="AN189" s="5" t="str">
        <f t="shared" si="14"/>
        <v/>
      </c>
      <c r="AO189" s="18" t="str">
        <f t="shared" si="15"/>
        <v/>
      </c>
      <c r="AP189" s="19"/>
      <c r="AQ189" s="20" t="str">
        <f t="shared" si="16"/>
        <v/>
      </c>
      <c r="AR189" s="21"/>
    </row>
    <row r="190" spans="2:44" ht="31.5" x14ac:dyDescent="0.5">
      <c r="B190" s="1"/>
      <c r="C190" s="15"/>
      <c r="D190" s="16"/>
      <c r="E190" s="15"/>
      <c r="F190" s="17"/>
      <c r="G190" s="8"/>
      <c r="H190" s="8"/>
      <c r="I190" s="8"/>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4" t="s">
        <v>49</v>
      </c>
      <c r="AM190" s="5" t="str">
        <f t="shared" si="13"/>
        <v/>
      </c>
      <c r="AN190" s="5" t="str">
        <f t="shared" si="14"/>
        <v/>
      </c>
      <c r="AO190" s="18" t="str">
        <f t="shared" si="15"/>
        <v/>
      </c>
      <c r="AP190" s="19"/>
      <c r="AQ190" s="20" t="str">
        <f t="shared" si="16"/>
        <v/>
      </c>
      <c r="AR190" s="21"/>
    </row>
    <row r="191" spans="2:44" ht="31.5" x14ac:dyDescent="0.5">
      <c r="B191" s="1"/>
      <c r="C191" s="15"/>
      <c r="D191" s="16"/>
      <c r="E191" s="15"/>
      <c r="F191" s="17"/>
      <c r="G191" s="8"/>
      <c r="H191" s="8"/>
      <c r="I191" s="8"/>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4" t="s">
        <v>49</v>
      </c>
      <c r="AM191" s="5" t="str">
        <f t="shared" si="13"/>
        <v/>
      </c>
      <c r="AN191" s="5" t="str">
        <f t="shared" si="14"/>
        <v/>
      </c>
      <c r="AO191" s="18" t="str">
        <f t="shared" si="15"/>
        <v/>
      </c>
      <c r="AP191" s="19"/>
      <c r="AQ191" s="20" t="str">
        <f t="shared" si="16"/>
        <v/>
      </c>
      <c r="AR191" s="21"/>
    </row>
    <row r="192" spans="2:44" ht="31.5" x14ac:dyDescent="0.5">
      <c r="B192" s="1"/>
      <c r="C192" s="15"/>
      <c r="D192" s="16"/>
      <c r="E192" s="15"/>
      <c r="F192" s="17"/>
      <c r="G192" s="8"/>
      <c r="H192" s="8"/>
      <c r="I192" s="8"/>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4" t="s">
        <v>49</v>
      </c>
      <c r="AM192" s="5" t="str">
        <f t="shared" si="13"/>
        <v/>
      </c>
      <c r="AN192" s="5" t="str">
        <f t="shared" si="14"/>
        <v/>
      </c>
      <c r="AO192" s="18" t="str">
        <f t="shared" si="15"/>
        <v/>
      </c>
      <c r="AP192" s="19"/>
      <c r="AQ192" s="20" t="str">
        <f t="shared" si="16"/>
        <v/>
      </c>
      <c r="AR192" s="21"/>
    </row>
    <row r="193" spans="2:44" ht="31.5" x14ac:dyDescent="0.5">
      <c r="B193" s="1"/>
      <c r="C193" s="15"/>
      <c r="D193" s="16"/>
      <c r="E193" s="15"/>
      <c r="F193" s="17"/>
      <c r="G193" s="8"/>
      <c r="H193" s="8"/>
      <c r="I193" s="8"/>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4" t="s">
        <v>49</v>
      </c>
      <c r="AM193" s="5" t="str">
        <f t="shared" si="13"/>
        <v/>
      </c>
      <c r="AN193" s="5" t="str">
        <f t="shared" si="14"/>
        <v/>
      </c>
      <c r="AO193" s="18" t="str">
        <f t="shared" si="15"/>
        <v/>
      </c>
      <c r="AP193" s="19"/>
      <c r="AQ193" s="20" t="str">
        <f t="shared" si="16"/>
        <v/>
      </c>
      <c r="AR193" s="21"/>
    </row>
    <row r="194" spans="2:44" ht="31.5" x14ac:dyDescent="0.5">
      <c r="B194" s="1"/>
      <c r="C194" s="15"/>
      <c r="D194" s="16"/>
      <c r="E194" s="15"/>
      <c r="F194" s="17"/>
      <c r="G194" s="8"/>
      <c r="H194" s="8"/>
      <c r="I194" s="8"/>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4" t="s">
        <v>49</v>
      </c>
      <c r="AM194" s="5" t="str">
        <f t="shared" si="13"/>
        <v/>
      </c>
      <c r="AN194" s="5" t="str">
        <f t="shared" si="14"/>
        <v/>
      </c>
      <c r="AO194" s="18" t="str">
        <f t="shared" si="15"/>
        <v/>
      </c>
      <c r="AP194" s="19"/>
      <c r="AQ194" s="20" t="str">
        <f t="shared" si="16"/>
        <v/>
      </c>
      <c r="AR194" s="21"/>
    </row>
    <row r="195" spans="2:44" ht="31.5" x14ac:dyDescent="0.5">
      <c r="B195" s="1"/>
      <c r="C195" s="15"/>
      <c r="D195" s="16"/>
      <c r="E195" s="15"/>
      <c r="F195" s="17"/>
      <c r="G195" s="8"/>
      <c r="H195" s="8"/>
      <c r="I195" s="8"/>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4" t="s">
        <v>49</v>
      </c>
      <c r="AM195" s="5" t="str">
        <f t="shared" si="13"/>
        <v/>
      </c>
      <c r="AN195" s="5" t="str">
        <f t="shared" si="14"/>
        <v/>
      </c>
      <c r="AO195" s="18" t="str">
        <f t="shared" si="15"/>
        <v/>
      </c>
      <c r="AP195" s="19"/>
      <c r="AQ195" s="20" t="str">
        <f t="shared" si="16"/>
        <v/>
      </c>
      <c r="AR195" s="21"/>
    </row>
    <row r="196" spans="2:44" ht="31.5" x14ac:dyDescent="0.5">
      <c r="B196" s="1"/>
      <c r="C196" s="15"/>
      <c r="D196" s="16"/>
      <c r="E196" s="15"/>
      <c r="F196" s="17"/>
      <c r="G196" s="8"/>
      <c r="H196" s="8"/>
      <c r="I196" s="8"/>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4" t="s">
        <v>49</v>
      </c>
      <c r="AM196" s="5" t="str">
        <f t="shared" si="13"/>
        <v/>
      </c>
      <c r="AN196" s="5" t="str">
        <f t="shared" si="14"/>
        <v/>
      </c>
      <c r="AO196" s="18" t="str">
        <f t="shared" si="15"/>
        <v/>
      </c>
      <c r="AP196" s="19"/>
      <c r="AQ196" s="20" t="str">
        <f t="shared" si="16"/>
        <v/>
      </c>
      <c r="AR196" s="21"/>
    </row>
    <row r="197" spans="2:44" ht="31.5" x14ac:dyDescent="0.5">
      <c r="B197" s="1"/>
      <c r="C197" s="15"/>
      <c r="D197" s="16"/>
      <c r="E197" s="15"/>
      <c r="F197" s="17"/>
      <c r="G197" s="8"/>
      <c r="H197" s="8"/>
      <c r="I197" s="8"/>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4" t="s">
        <v>49</v>
      </c>
      <c r="AM197" s="5" t="str">
        <f t="shared" si="13"/>
        <v/>
      </c>
      <c r="AN197" s="5" t="str">
        <f t="shared" si="14"/>
        <v/>
      </c>
      <c r="AO197" s="18" t="str">
        <f t="shared" si="15"/>
        <v/>
      </c>
      <c r="AP197" s="19"/>
      <c r="AQ197" s="20" t="str">
        <f t="shared" si="16"/>
        <v/>
      </c>
      <c r="AR197" s="21"/>
    </row>
    <row r="198" spans="2:44" ht="31.5" x14ac:dyDescent="0.5">
      <c r="B198" s="1"/>
      <c r="C198" s="15"/>
      <c r="D198" s="16"/>
      <c r="E198" s="15"/>
      <c r="F198" s="17"/>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4" t="s">
        <v>49</v>
      </c>
      <c r="AM198" s="5" t="str">
        <f t="shared" si="13"/>
        <v/>
      </c>
      <c r="AN198" s="5" t="str">
        <f t="shared" si="14"/>
        <v/>
      </c>
      <c r="AO198" s="18" t="str">
        <f t="shared" si="15"/>
        <v/>
      </c>
      <c r="AP198" s="19"/>
      <c r="AQ198" s="20" t="str">
        <f t="shared" si="16"/>
        <v/>
      </c>
      <c r="AR198" s="21"/>
    </row>
    <row r="199" spans="2:44" ht="31.5" x14ac:dyDescent="0.5">
      <c r="B199" s="1"/>
      <c r="C199" s="15"/>
      <c r="D199" s="16"/>
      <c r="E199" s="15"/>
      <c r="F199" s="17"/>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4" t="s">
        <v>49</v>
      </c>
      <c r="AM199" s="5" t="str">
        <f t="shared" si="13"/>
        <v/>
      </c>
      <c r="AN199" s="5" t="str">
        <f t="shared" si="14"/>
        <v/>
      </c>
      <c r="AO199" s="18" t="str">
        <f t="shared" si="15"/>
        <v/>
      </c>
      <c r="AP199" s="19"/>
      <c r="AQ199" s="20" t="str">
        <f t="shared" si="16"/>
        <v/>
      </c>
      <c r="AR199" s="21"/>
    </row>
    <row r="200" spans="2:44" ht="31.5" x14ac:dyDescent="0.5">
      <c r="B200" s="1"/>
      <c r="C200" s="15"/>
      <c r="D200" s="16"/>
      <c r="E200" s="15"/>
      <c r="F200" s="17"/>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4" t="s">
        <v>49</v>
      </c>
      <c r="AM200" s="5" t="str">
        <f t="shared" si="13"/>
        <v/>
      </c>
      <c r="AN200" s="5" t="str">
        <f t="shared" si="14"/>
        <v/>
      </c>
      <c r="AO200" s="18" t="str">
        <f t="shared" si="15"/>
        <v/>
      </c>
      <c r="AP200" s="19"/>
      <c r="AQ200" s="20" t="str">
        <f t="shared" si="16"/>
        <v/>
      </c>
      <c r="AR200" s="21"/>
    </row>
    <row r="201" spans="2:44" ht="31.5" x14ac:dyDescent="0.5">
      <c r="B201" s="1"/>
      <c r="C201" s="15"/>
      <c r="D201" s="16"/>
      <c r="E201" s="15"/>
      <c r="F201" s="17"/>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4" t="s">
        <v>49</v>
      </c>
      <c r="AM201" s="5" t="str">
        <f t="shared" si="13"/>
        <v/>
      </c>
      <c r="AN201" s="5" t="str">
        <f t="shared" si="14"/>
        <v/>
      </c>
      <c r="AO201" s="18" t="str">
        <f t="shared" si="15"/>
        <v/>
      </c>
      <c r="AP201" s="19"/>
      <c r="AQ201" s="20" t="str">
        <f t="shared" si="16"/>
        <v/>
      </c>
      <c r="AR201" s="21"/>
    </row>
    <row r="202" spans="2:44" ht="31.5" x14ac:dyDescent="0.5">
      <c r="B202" s="1"/>
      <c r="C202" s="15"/>
      <c r="D202" s="16"/>
      <c r="E202" s="15"/>
      <c r="F202" s="17"/>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4" t="s">
        <v>49</v>
      </c>
      <c r="AM202" s="5" t="str">
        <f t="shared" si="13"/>
        <v/>
      </c>
      <c r="AN202" s="5" t="str">
        <f t="shared" si="14"/>
        <v/>
      </c>
      <c r="AO202" s="18" t="str">
        <f t="shared" si="15"/>
        <v/>
      </c>
      <c r="AP202" s="19"/>
      <c r="AQ202" s="20" t="str">
        <f t="shared" si="16"/>
        <v/>
      </c>
      <c r="AR202" s="21"/>
    </row>
    <row r="203" spans="2:44" ht="31.5" x14ac:dyDescent="0.5">
      <c r="B203" s="1"/>
      <c r="C203" s="15"/>
      <c r="D203" s="16"/>
      <c r="E203" s="15"/>
      <c r="F203" s="17"/>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4" t="s">
        <v>49</v>
      </c>
      <c r="AM203" s="5" t="str">
        <f t="shared" si="13"/>
        <v/>
      </c>
      <c r="AN203" s="5" t="str">
        <f t="shared" si="14"/>
        <v/>
      </c>
      <c r="AO203" s="18" t="str">
        <f t="shared" si="15"/>
        <v/>
      </c>
      <c r="AP203" s="19"/>
      <c r="AQ203" s="20" t="str">
        <f t="shared" si="16"/>
        <v/>
      </c>
      <c r="AR203" s="21"/>
    </row>
    <row r="204" spans="2:44" ht="31.5" x14ac:dyDescent="0.5">
      <c r="B204" s="1"/>
      <c r="C204" s="15"/>
      <c r="D204" s="16"/>
      <c r="E204" s="15"/>
      <c r="F204" s="17"/>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4" t="s">
        <v>49</v>
      </c>
      <c r="AM204" s="5" t="str">
        <f t="shared" si="13"/>
        <v/>
      </c>
      <c r="AN204" s="5" t="str">
        <f t="shared" si="14"/>
        <v/>
      </c>
      <c r="AO204" s="18" t="str">
        <f t="shared" si="15"/>
        <v/>
      </c>
      <c r="AP204" s="19"/>
      <c r="AQ204" s="20" t="str">
        <f t="shared" si="16"/>
        <v/>
      </c>
      <c r="AR204" s="21"/>
    </row>
    <row r="205" spans="2:44" ht="31.5" x14ac:dyDescent="0.5">
      <c r="B205" s="1"/>
      <c r="C205" s="15"/>
      <c r="D205" s="16"/>
      <c r="E205" s="15"/>
      <c r="F205" s="17"/>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4" t="s">
        <v>49</v>
      </c>
      <c r="AM205" s="5" t="str">
        <f t="shared" si="13"/>
        <v/>
      </c>
      <c r="AN205" s="5" t="str">
        <f t="shared" si="14"/>
        <v/>
      </c>
      <c r="AO205" s="18" t="str">
        <f t="shared" si="15"/>
        <v/>
      </c>
      <c r="AP205" s="19"/>
      <c r="AQ205" s="20" t="str">
        <f t="shared" si="16"/>
        <v/>
      </c>
      <c r="AR205" s="21"/>
    </row>
    <row r="206" spans="2:44" ht="31.5" x14ac:dyDescent="0.5">
      <c r="B206" s="1"/>
      <c r="C206" s="15"/>
      <c r="D206" s="16"/>
      <c r="E206" s="15"/>
      <c r="F206" s="17"/>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4" t="s">
        <v>49</v>
      </c>
      <c r="AM206" s="5" t="str">
        <f t="shared" si="13"/>
        <v/>
      </c>
      <c r="AN206" s="5" t="str">
        <f t="shared" si="14"/>
        <v/>
      </c>
      <c r="AO206" s="18" t="str">
        <f t="shared" si="15"/>
        <v/>
      </c>
      <c r="AP206" s="19"/>
      <c r="AQ206" s="20" t="str">
        <f t="shared" si="16"/>
        <v/>
      </c>
      <c r="AR206" s="21"/>
    </row>
    <row r="207" spans="2:44" ht="31.5" x14ac:dyDescent="0.5">
      <c r="B207" s="1"/>
      <c r="C207" s="15"/>
      <c r="D207" s="16"/>
      <c r="E207" s="15"/>
      <c r="F207" s="17"/>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4" t="s">
        <v>49</v>
      </c>
      <c r="AM207" s="5" t="str">
        <f t="shared" si="13"/>
        <v/>
      </c>
      <c r="AN207" s="5" t="str">
        <f t="shared" si="14"/>
        <v/>
      </c>
      <c r="AO207" s="18" t="str">
        <f t="shared" si="15"/>
        <v/>
      </c>
      <c r="AP207" s="19"/>
      <c r="AQ207" s="20" t="str">
        <f t="shared" si="16"/>
        <v/>
      </c>
      <c r="AR207" s="21"/>
    </row>
    <row r="208" spans="2:44" ht="31.5" x14ac:dyDescent="0.5">
      <c r="B208" s="1"/>
      <c r="C208" s="15"/>
      <c r="D208" s="16"/>
      <c r="E208" s="15"/>
      <c r="F208" s="17"/>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4" t="s">
        <v>49</v>
      </c>
      <c r="AM208" s="5" t="str">
        <f t="shared" si="13"/>
        <v/>
      </c>
      <c r="AN208" s="5" t="str">
        <f t="shared" si="14"/>
        <v/>
      </c>
      <c r="AO208" s="18" t="str">
        <f t="shared" si="15"/>
        <v/>
      </c>
      <c r="AP208" s="19"/>
      <c r="AQ208" s="20" t="str">
        <f t="shared" si="16"/>
        <v/>
      </c>
      <c r="AR208" s="21"/>
    </row>
    <row r="209" spans="2:44" ht="31.5" x14ac:dyDescent="0.5">
      <c r="B209" s="1"/>
      <c r="C209" s="15"/>
      <c r="D209" s="16"/>
      <c r="E209" s="15"/>
      <c r="F209" s="17"/>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4" t="s">
        <v>49</v>
      </c>
      <c r="AM209" s="5" t="str">
        <f t="shared" si="13"/>
        <v/>
      </c>
      <c r="AN209" s="5" t="str">
        <f t="shared" si="14"/>
        <v/>
      </c>
      <c r="AO209" s="18" t="str">
        <f t="shared" si="15"/>
        <v/>
      </c>
      <c r="AP209" s="19"/>
      <c r="AQ209" s="20" t="str">
        <f t="shared" si="16"/>
        <v/>
      </c>
      <c r="AR209" s="21"/>
    </row>
    <row r="210" spans="2:44" ht="31.5" x14ac:dyDescent="0.5">
      <c r="B210" s="1"/>
      <c r="C210" s="15"/>
      <c r="D210" s="16"/>
      <c r="E210" s="15"/>
      <c r="F210" s="17"/>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4" t="s">
        <v>49</v>
      </c>
      <c r="AM210" s="5" t="str">
        <f t="shared" si="13"/>
        <v/>
      </c>
      <c r="AN210" s="5" t="str">
        <f t="shared" si="14"/>
        <v/>
      </c>
      <c r="AO210" s="18" t="str">
        <f t="shared" si="15"/>
        <v/>
      </c>
      <c r="AP210" s="19"/>
      <c r="AQ210" s="20" t="str">
        <f t="shared" si="16"/>
        <v/>
      </c>
      <c r="AR210" s="21"/>
    </row>
    <row r="211" spans="2:44" ht="31.5" x14ac:dyDescent="0.5">
      <c r="B211" s="1"/>
      <c r="C211" s="15"/>
      <c r="D211" s="16"/>
      <c r="E211" s="15"/>
      <c r="F211" s="17"/>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4" t="s">
        <v>49</v>
      </c>
      <c r="AM211" s="5" t="str">
        <f t="shared" si="13"/>
        <v/>
      </c>
      <c r="AN211" s="5" t="str">
        <f t="shared" si="14"/>
        <v/>
      </c>
      <c r="AO211" s="18" t="str">
        <f t="shared" si="15"/>
        <v/>
      </c>
      <c r="AP211" s="19"/>
      <c r="AQ211" s="20" t="str">
        <f t="shared" si="16"/>
        <v/>
      </c>
      <c r="AR211" s="21"/>
    </row>
    <row r="212" spans="2:44" ht="31.5" x14ac:dyDescent="0.5">
      <c r="B212" s="1"/>
      <c r="C212" s="15"/>
      <c r="D212" s="16"/>
      <c r="E212" s="15"/>
      <c r="F212" s="17"/>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4" t="s">
        <v>49</v>
      </c>
      <c r="AM212" s="5" t="str">
        <f t="shared" si="13"/>
        <v/>
      </c>
      <c r="AN212" s="5" t="str">
        <f t="shared" si="14"/>
        <v/>
      </c>
      <c r="AO212" s="18" t="str">
        <f t="shared" si="15"/>
        <v/>
      </c>
      <c r="AP212" s="19"/>
      <c r="AQ212" s="20" t="str">
        <f t="shared" si="16"/>
        <v/>
      </c>
      <c r="AR212" s="21"/>
    </row>
    <row r="213" spans="2:44" ht="31.5" x14ac:dyDescent="0.5">
      <c r="B213" s="1"/>
      <c r="C213" s="15"/>
      <c r="D213" s="16"/>
      <c r="E213" s="15"/>
      <c r="F213" s="17"/>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4" t="s">
        <v>49</v>
      </c>
      <c r="AM213" s="5" t="str">
        <f t="shared" si="13"/>
        <v/>
      </c>
      <c r="AN213" s="5" t="str">
        <f t="shared" si="14"/>
        <v/>
      </c>
      <c r="AO213" s="18" t="str">
        <f t="shared" si="15"/>
        <v/>
      </c>
      <c r="AP213" s="19"/>
      <c r="AQ213" s="20" t="str">
        <f t="shared" si="16"/>
        <v/>
      </c>
      <c r="AR213" s="21"/>
    </row>
    <row r="214" spans="2:44" ht="31.5" x14ac:dyDescent="0.5">
      <c r="B214" s="1"/>
      <c r="C214" s="15"/>
      <c r="D214" s="16"/>
      <c r="E214" s="15"/>
      <c r="F214" s="17"/>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4" t="s">
        <v>49</v>
      </c>
      <c r="AM214" s="5" t="str">
        <f t="shared" si="13"/>
        <v/>
      </c>
      <c r="AN214" s="5" t="str">
        <f t="shared" si="14"/>
        <v/>
      </c>
      <c r="AO214" s="18" t="str">
        <f t="shared" si="15"/>
        <v/>
      </c>
      <c r="AP214" s="19"/>
      <c r="AQ214" s="20" t="str">
        <f t="shared" si="16"/>
        <v/>
      </c>
      <c r="AR214" s="21"/>
    </row>
    <row r="215" spans="2:44" ht="31.5" x14ac:dyDescent="0.5">
      <c r="B215" s="1"/>
      <c r="C215" s="15"/>
      <c r="D215" s="16"/>
      <c r="E215" s="15"/>
      <c r="F215" s="17"/>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4" t="s">
        <v>49</v>
      </c>
      <c r="AM215" s="5" t="str">
        <f t="shared" si="13"/>
        <v/>
      </c>
      <c r="AN215" s="5" t="str">
        <f t="shared" si="14"/>
        <v/>
      </c>
      <c r="AO215" s="18" t="str">
        <f t="shared" si="15"/>
        <v/>
      </c>
      <c r="AP215" s="19"/>
      <c r="AQ215" s="20" t="str">
        <f t="shared" si="16"/>
        <v/>
      </c>
      <c r="AR215" s="21"/>
    </row>
    <row r="216" spans="2:44" ht="31.5" x14ac:dyDescent="0.5">
      <c r="B216" s="1"/>
      <c r="C216" s="15"/>
      <c r="D216" s="16"/>
      <c r="E216" s="15"/>
      <c r="F216" s="17"/>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4" t="s">
        <v>49</v>
      </c>
      <c r="AM216" s="5" t="str">
        <f t="shared" si="13"/>
        <v/>
      </c>
      <c r="AN216" s="5" t="str">
        <f t="shared" si="14"/>
        <v/>
      </c>
      <c r="AO216" s="18" t="str">
        <f t="shared" si="15"/>
        <v/>
      </c>
      <c r="AP216" s="19"/>
      <c r="AQ216" s="20" t="str">
        <f t="shared" si="16"/>
        <v/>
      </c>
      <c r="AR216" s="21"/>
    </row>
    <row r="217" spans="2:44" ht="31.5" x14ac:dyDescent="0.5">
      <c r="B217" s="1"/>
      <c r="C217" s="15"/>
      <c r="D217" s="16"/>
      <c r="E217" s="15"/>
      <c r="F217" s="17"/>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4" t="s">
        <v>49</v>
      </c>
      <c r="AM217" s="5" t="str">
        <f t="shared" si="13"/>
        <v/>
      </c>
      <c r="AN217" s="5" t="str">
        <f t="shared" si="14"/>
        <v/>
      </c>
      <c r="AO217" s="18" t="str">
        <f t="shared" si="15"/>
        <v/>
      </c>
      <c r="AP217" s="19"/>
      <c r="AQ217" s="20" t="str">
        <f t="shared" si="16"/>
        <v/>
      </c>
      <c r="AR217" s="21"/>
    </row>
    <row r="218" spans="2:44" ht="31.5" x14ac:dyDescent="0.5">
      <c r="B218" s="1"/>
      <c r="C218" s="15"/>
      <c r="D218" s="16"/>
      <c r="E218" s="15"/>
      <c r="F218" s="17"/>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4" t="s">
        <v>49</v>
      </c>
      <c r="AM218" s="5" t="str">
        <f t="shared" si="13"/>
        <v/>
      </c>
      <c r="AN218" s="5" t="str">
        <f t="shared" si="14"/>
        <v/>
      </c>
      <c r="AO218" s="18" t="str">
        <f t="shared" si="15"/>
        <v/>
      </c>
      <c r="AP218" s="19"/>
      <c r="AQ218" s="20" t="str">
        <f t="shared" si="16"/>
        <v/>
      </c>
      <c r="AR218" s="21"/>
    </row>
    <row r="219" spans="2:44" ht="31.5" x14ac:dyDescent="0.5">
      <c r="B219" s="1"/>
      <c r="C219" s="15"/>
      <c r="D219" s="16"/>
      <c r="E219" s="15"/>
      <c r="F219" s="17"/>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4" t="s">
        <v>49</v>
      </c>
      <c r="AM219" s="5" t="str">
        <f t="shared" si="13"/>
        <v/>
      </c>
      <c r="AN219" s="5" t="str">
        <f t="shared" si="14"/>
        <v/>
      </c>
      <c r="AO219" s="18" t="str">
        <f t="shared" si="15"/>
        <v/>
      </c>
      <c r="AP219" s="19"/>
      <c r="AQ219" s="20" t="str">
        <f t="shared" si="16"/>
        <v/>
      </c>
      <c r="AR219" s="21"/>
    </row>
    <row r="220" spans="2:44" ht="31.5" x14ac:dyDescent="0.5">
      <c r="B220" s="1"/>
      <c r="C220" s="15"/>
      <c r="D220" s="16"/>
      <c r="E220" s="15"/>
      <c r="F220" s="17"/>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4" t="s">
        <v>49</v>
      </c>
      <c r="AM220" s="5" t="str">
        <f t="shared" si="13"/>
        <v/>
      </c>
      <c r="AN220" s="5" t="str">
        <f t="shared" si="14"/>
        <v/>
      </c>
      <c r="AO220" s="18" t="str">
        <f t="shared" si="15"/>
        <v/>
      </c>
      <c r="AP220" s="19"/>
      <c r="AQ220" s="20" t="str">
        <f t="shared" si="16"/>
        <v/>
      </c>
      <c r="AR220" s="21"/>
    </row>
    <row r="221" spans="2:44" ht="31.5" x14ac:dyDescent="0.5">
      <c r="B221" s="1"/>
      <c r="C221" s="15"/>
      <c r="D221" s="16"/>
      <c r="E221" s="15"/>
      <c r="F221" s="17"/>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4" t="s">
        <v>49</v>
      </c>
      <c r="AM221" s="5" t="str">
        <f t="shared" si="13"/>
        <v/>
      </c>
      <c r="AN221" s="5" t="str">
        <f t="shared" si="14"/>
        <v/>
      </c>
      <c r="AO221" s="18" t="str">
        <f t="shared" si="15"/>
        <v/>
      </c>
      <c r="AP221" s="19"/>
      <c r="AQ221" s="20" t="str">
        <f t="shared" si="16"/>
        <v/>
      </c>
      <c r="AR221" s="21"/>
    </row>
    <row r="222" spans="2:44" ht="31.5" x14ac:dyDescent="0.5">
      <c r="B222" s="1"/>
      <c r="C222" s="15"/>
      <c r="D222" s="16"/>
      <c r="E222" s="15"/>
      <c r="F222" s="17"/>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4" t="s">
        <v>49</v>
      </c>
      <c r="AM222" s="5" t="str">
        <f t="shared" si="13"/>
        <v/>
      </c>
      <c r="AN222" s="5" t="str">
        <f t="shared" si="14"/>
        <v/>
      </c>
      <c r="AO222" s="18" t="str">
        <f t="shared" si="15"/>
        <v/>
      </c>
      <c r="AP222" s="19"/>
      <c r="AQ222" s="20" t="str">
        <f t="shared" si="16"/>
        <v/>
      </c>
      <c r="AR222" s="21"/>
    </row>
    <row r="223" spans="2:44" ht="31.5" x14ac:dyDescent="0.5">
      <c r="B223" s="1"/>
      <c r="C223" s="15"/>
      <c r="D223" s="16"/>
      <c r="E223" s="15"/>
      <c r="F223" s="17"/>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4" t="s">
        <v>49</v>
      </c>
      <c r="AM223" s="5" t="str">
        <f t="shared" si="13"/>
        <v/>
      </c>
      <c r="AN223" s="5" t="str">
        <f t="shared" si="14"/>
        <v/>
      </c>
      <c r="AO223" s="18" t="str">
        <f t="shared" si="15"/>
        <v/>
      </c>
      <c r="AP223" s="19"/>
      <c r="AQ223" s="20" t="str">
        <f t="shared" si="16"/>
        <v/>
      </c>
      <c r="AR223" s="21"/>
    </row>
    <row r="224" spans="2:44" ht="31.5" x14ac:dyDescent="0.5">
      <c r="B224" s="1"/>
      <c r="C224" s="15"/>
      <c r="D224" s="16"/>
      <c r="E224" s="15"/>
      <c r="F224" s="17"/>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4" t="s">
        <v>49</v>
      </c>
      <c r="AM224" s="5" t="str">
        <f t="shared" si="13"/>
        <v/>
      </c>
      <c r="AN224" s="5" t="str">
        <f t="shared" si="14"/>
        <v/>
      </c>
      <c r="AO224" s="18" t="str">
        <f t="shared" si="15"/>
        <v/>
      </c>
      <c r="AP224" s="19"/>
      <c r="AQ224" s="20" t="str">
        <f t="shared" si="16"/>
        <v/>
      </c>
      <c r="AR224" s="21"/>
    </row>
    <row r="225" spans="2:44" ht="31.5" x14ac:dyDescent="0.5">
      <c r="B225" s="1"/>
      <c r="C225" s="15"/>
      <c r="D225" s="16"/>
      <c r="E225" s="15"/>
      <c r="F225" s="17"/>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4" t="s">
        <v>49</v>
      </c>
      <c r="AM225" s="5" t="str">
        <f t="shared" si="13"/>
        <v/>
      </c>
      <c r="AN225" s="5" t="str">
        <f t="shared" si="14"/>
        <v/>
      </c>
      <c r="AO225" s="18" t="str">
        <f t="shared" si="15"/>
        <v/>
      </c>
      <c r="AP225" s="19"/>
      <c r="AQ225" s="20" t="str">
        <f t="shared" si="16"/>
        <v/>
      </c>
      <c r="AR225" s="21"/>
    </row>
    <row r="226" spans="2:44" ht="31.5" x14ac:dyDescent="0.5">
      <c r="B226" s="1"/>
      <c r="C226" s="15"/>
      <c r="D226" s="16"/>
      <c r="E226" s="15"/>
      <c r="F226" s="17"/>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4" t="s">
        <v>49</v>
      </c>
      <c r="AM226" s="5" t="str">
        <f t="shared" si="13"/>
        <v/>
      </c>
      <c r="AN226" s="5" t="str">
        <f t="shared" si="14"/>
        <v/>
      </c>
      <c r="AO226" s="18" t="str">
        <f t="shared" si="15"/>
        <v/>
      </c>
      <c r="AP226" s="19"/>
      <c r="AQ226" s="20" t="str">
        <f t="shared" si="16"/>
        <v/>
      </c>
      <c r="AR226" s="21"/>
    </row>
    <row r="227" spans="2:44" ht="31.5" x14ac:dyDescent="0.5">
      <c r="B227" s="1"/>
      <c r="C227" s="15"/>
      <c r="D227" s="16"/>
      <c r="E227" s="15"/>
      <c r="F227" s="17"/>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4" t="s">
        <v>49</v>
      </c>
      <c r="AM227" s="5" t="str">
        <f t="shared" si="13"/>
        <v/>
      </c>
      <c r="AN227" s="5" t="str">
        <f t="shared" si="14"/>
        <v/>
      </c>
      <c r="AO227" s="18" t="str">
        <f t="shared" si="15"/>
        <v/>
      </c>
      <c r="AP227" s="19"/>
      <c r="AQ227" s="20" t="str">
        <f t="shared" si="16"/>
        <v/>
      </c>
      <c r="AR227" s="21"/>
    </row>
    <row r="228" spans="2:44" ht="31.5" x14ac:dyDescent="0.5">
      <c r="B228" s="1"/>
      <c r="C228" s="15"/>
      <c r="D228" s="16"/>
      <c r="E228" s="15"/>
      <c r="F228" s="17"/>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4" t="s">
        <v>49</v>
      </c>
      <c r="AM228" s="5" t="str">
        <f t="shared" si="13"/>
        <v/>
      </c>
      <c r="AN228" s="5" t="str">
        <f t="shared" si="14"/>
        <v/>
      </c>
      <c r="AO228" s="18" t="str">
        <f t="shared" si="15"/>
        <v/>
      </c>
      <c r="AP228" s="19"/>
      <c r="AQ228" s="20" t="str">
        <f t="shared" si="16"/>
        <v/>
      </c>
      <c r="AR228" s="21"/>
    </row>
    <row r="229" spans="2:44" ht="31.5" x14ac:dyDescent="0.5">
      <c r="B229" s="1"/>
      <c r="C229" s="15"/>
      <c r="D229" s="16"/>
      <c r="E229" s="15"/>
      <c r="F229" s="17"/>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4" t="s">
        <v>49</v>
      </c>
      <c r="AM229" s="5" t="str">
        <f t="shared" si="13"/>
        <v/>
      </c>
      <c r="AN229" s="5" t="str">
        <f t="shared" si="14"/>
        <v/>
      </c>
      <c r="AO229" s="18" t="str">
        <f t="shared" si="15"/>
        <v/>
      </c>
      <c r="AP229" s="19"/>
      <c r="AQ229" s="20" t="str">
        <f t="shared" si="16"/>
        <v/>
      </c>
      <c r="AR229" s="21"/>
    </row>
    <row r="230" spans="2:44" ht="31.5" x14ac:dyDescent="0.5">
      <c r="B230" s="1"/>
      <c r="C230" s="15"/>
      <c r="D230" s="16"/>
      <c r="E230" s="15"/>
      <c r="F230" s="17"/>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4" t="s">
        <v>49</v>
      </c>
      <c r="AM230" s="5" t="str">
        <f t="shared" si="13"/>
        <v/>
      </c>
      <c r="AN230" s="5" t="str">
        <f t="shared" si="14"/>
        <v/>
      </c>
      <c r="AO230" s="18" t="str">
        <f t="shared" si="15"/>
        <v/>
      </c>
      <c r="AP230" s="19"/>
      <c r="AQ230" s="20" t="str">
        <f t="shared" si="16"/>
        <v/>
      </c>
      <c r="AR230" s="21"/>
    </row>
    <row r="231" spans="2:44" ht="31.5" x14ac:dyDescent="0.5">
      <c r="B231" s="1"/>
      <c r="C231" s="15"/>
      <c r="D231" s="16"/>
      <c r="E231" s="15"/>
      <c r="F231" s="17"/>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4" t="s">
        <v>49</v>
      </c>
      <c r="AM231" s="5" t="str">
        <f t="shared" si="13"/>
        <v/>
      </c>
      <c r="AN231" s="5" t="str">
        <f t="shared" si="14"/>
        <v/>
      </c>
      <c r="AO231" s="18" t="str">
        <f t="shared" si="15"/>
        <v/>
      </c>
      <c r="AP231" s="19"/>
      <c r="AQ231" s="20" t="str">
        <f t="shared" si="16"/>
        <v/>
      </c>
      <c r="AR231" s="21"/>
    </row>
    <row r="232" spans="2:44" ht="31.5" x14ac:dyDescent="0.5">
      <c r="B232" s="1"/>
      <c r="C232" s="15"/>
      <c r="D232" s="16"/>
      <c r="E232" s="15"/>
      <c r="F232" s="17"/>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4" t="s">
        <v>49</v>
      </c>
      <c r="AM232" s="5" t="str">
        <f t="shared" si="13"/>
        <v/>
      </c>
      <c r="AN232" s="5" t="str">
        <f t="shared" si="14"/>
        <v/>
      </c>
      <c r="AO232" s="18" t="str">
        <f t="shared" si="15"/>
        <v/>
      </c>
      <c r="AP232" s="19"/>
      <c r="AQ232" s="20" t="str">
        <f t="shared" si="16"/>
        <v/>
      </c>
      <c r="AR232" s="21"/>
    </row>
    <row r="233" spans="2:44" ht="31.5" x14ac:dyDescent="0.5">
      <c r="B233" s="1"/>
      <c r="C233" s="15"/>
      <c r="D233" s="16"/>
      <c r="E233" s="15"/>
      <c r="F233" s="17"/>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4" t="s">
        <v>49</v>
      </c>
      <c r="AM233" s="5" t="str">
        <f t="shared" si="13"/>
        <v/>
      </c>
      <c r="AN233" s="5" t="str">
        <f t="shared" si="14"/>
        <v/>
      </c>
      <c r="AO233" s="18" t="str">
        <f t="shared" si="15"/>
        <v/>
      </c>
      <c r="AP233" s="19"/>
      <c r="AQ233" s="20" t="str">
        <f t="shared" si="16"/>
        <v/>
      </c>
      <c r="AR233" s="21"/>
    </row>
    <row r="234" spans="2:44" ht="31.5" x14ac:dyDescent="0.5">
      <c r="B234" s="1"/>
      <c r="C234" s="15"/>
      <c r="D234" s="16"/>
      <c r="E234" s="15"/>
      <c r="F234" s="17"/>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4" t="s">
        <v>49</v>
      </c>
      <c r="AM234" s="5" t="str">
        <f t="shared" si="13"/>
        <v/>
      </c>
      <c r="AN234" s="5" t="str">
        <f t="shared" si="14"/>
        <v/>
      </c>
      <c r="AO234" s="18" t="str">
        <f t="shared" si="15"/>
        <v/>
      </c>
      <c r="AP234" s="19"/>
      <c r="AQ234" s="20" t="str">
        <f t="shared" si="16"/>
        <v/>
      </c>
      <c r="AR234" s="21"/>
    </row>
    <row r="235" spans="2:44" ht="31.5" x14ac:dyDescent="0.5">
      <c r="B235" s="1"/>
      <c r="C235" s="15"/>
      <c r="D235" s="16"/>
      <c r="E235" s="15"/>
      <c r="F235" s="17"/>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4" t="s">
        <v>49</v>
      </c>
      <c r="AM235" s="5" t="str">
        <f t="shared" si="13"/>
        <v/>
      </c>
      <c r="AN235" s="5" t="str">
        <f t="shared" si="14"/>
        <v/>
      </c>
      <c r="AO235" s="18" t="str">
        <f t="shared" si="15"/>
        <v/>
      </c>
      <c r="AP235" s="19"/>
      <c r="AQ235" s="20" t="str">
        <f t="shared" si="16"/>
        <v/>
      </c>
      <c r="AR235" s="21"/>
    </row>
    <row r="236" spans="2:44" ht="31.5" x14ac:dyDescent="0.5">
      <c r="B236" s="1"/>
      <c r="C236" s="15"/>
      <c r="D236" s="16"/>
      <c r="E236" s="15"/>
      <c r="F236" s="17"/>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4" t="s">
        <v>49</v>
      </c>
      <c r="AM236" s="5" t="str">
        <f t="shared" si="13"/>
        <v/>
      </c>
      <c r="AN236" s="5" t="str">
        <f t="shared" si="14"/>
        <v/>
      </c>
      <c r="AO236" s="18" t="str">
        <f t="shared" si="15"/>
        <v/>
      </c>
      <c r="AP236" s="19"/>
      <c r="AQ236" s="20" t="str">
        <f t="shared" si="16"/>
        <v/>
      </c>
      <c r="AR236" s="21"/>
    </row>
    <row r="237" spans="2:44" ht="31.5" x14ac:dyDescent="0.5">
      <c r="B237" s="1"/>
      <c r="C237" s="15"/>
      <c r="D237" s="16"/>
      <c r="E237" s="15"/>
      <c r="F237" s="17"/>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4" t="s">
        <v>49</v>
      </c>
      <c r="AM237" s="5" t="str">
        <f t="shared" si="13"/>
        <v/>
      </c>
      <c r="AN237" s="5" t="str">
        <f t="shared" si="14"/>
        <v/>
      </c>
      <c r="AO237" s="18" t="str">
        <f t="shared" si="15"/>
        <v/>
      </c>
      <c r="AP237" s="19"/>
      <c r="AQ237" s="20" t="str">
        <f t="shared" si="16"/>
        <v/>
      </c>
      <c r="AR237" s="21"/>
    </row>
    <row r="238" spans="2:44" ht="31.5" x14ac:dyDescent="0.5">
      <c r="B238" s="1"/>
      <c r="C238" s="15"/>
      <c r="D238" s="16"/>
      <c r="E238" s="15"/>
      <c r="F238" s="17"/>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4" t="s">
        <v>49</v>
      </c>
      <c r="AM238" s="5" t="str">
        <f t="shared" si="13"/>
        <v/>
      </c>
      <c r="AN238" s="5" t="str">
        <f t="shared" si="14"/>
        <v/>
      </c>
      <c r="AO238" s="18" t="str">
        <f t="shared" si="15"/>
        <v/>
      </c>
      <c r="AP238" s="19"/>
      <c r="AQ238" s="20" t="str">
        <f t="shared" si="16"/>
        <v/>
      </c>
      <c r="AR238" s="21"/>
    </row>
    <row r="239" spans="2:44" ht="31.5" x14ac:dyDescent="0.5">
      <c r="B239" s="1"/>
      <c r="C239" s="15"/>
      <c r="D239" s="16"/>
      <c r="E239" s="15"/>
      <c r="F239" s="17"/>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4" t="s">
        <v>49</v>
      </c>
      <c r="AM239" s="5" t="str">
        <f t="shared" si="13"/>
        <v/>
      </c>
      <c r="AN239" s="5" t="str">
        <f t="shared" si="14"/>
        <v/>
      </c>
      <c r="AO239" s="18" t="str">
        <f t="shared" si="15"/>
        <v/>
      </c>
      <c r="AP239" s="19"/>
      <c r="AQ239" s="20" t="str">
        <f t="shared" si="16"/>
        <v/>
      </c>
      <c r="AR239" s="21"/>
    </row>
    <row r="240" spans="2:44" ht="31.5" x14ac:dyDescent="0.5">
      <c r="B240" s="1"/>
      <c r="C240" s="15"/>
      <c r="D240" s="16"/>
      <c r="E240" s="15"/>
      <c r="F240" s="17"/>
      <c r="G240" s="8"/>
      <c r="H240" s="8"/>
      <c r="I240" s="8"/>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4" t="s">
        <v>49</v>
      </c>
      <c r="AM240" s="5" t="str">
        <f t="shared" si="13"/>
        <v/>
      </c>
      <c r="AN240" s="5" t="str">
        <f t="shared" si="14"/>
        <v/>
      </c>
      <c r="AO240" s="18" t="str">
        <f t="shared" si="15"/>
        <v/>
      </c>
      <c r="AP240" s="19"/>
      <c r="AQ240" s="20" t="str">
        <f t="shared" si="16"/>
        <v/>
      </c>
      <c r="AR240" s="21"/>
    </row>
    <row r="241" spans="2:44" ht="31.5" x14ac:dyDescent="0.5">
      <c r="B241" s="1"/>
      <c r="C241" s="15"/>
      <c r="D241" s="16"/>
      <c r="E241" s="15"/>
      <c r="F241" s="17"/>
      <c r="G241" s="8"/>
      <c r="H241" s="8"/>
      <c r="I241" s="8"/>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4" t="s">
        <v>49</v>
      </c>
      <c r="AM241" s="5" t="str">
        <f t="shared" si="13"/>
        <v/>
      </c>
      <c r="AN241" s="5" t="str">
        <f t="shared" si="14"/>
        <v/>
      </c>
      <c r="AO241" s="18" t="str">
        <f t="shared" si="15"/>
        <v/>
      </c>
      <c r="AP241" s="19"/>
      <c r="AQ241" s="20" t="str">
        <f t="shared" si="16"/>
        <v/>
      </c>
      <c r="AR241" s="21"/>
    </row>
    <row r="242" spans="2:44" ht="31.5" x14ac:dyDescent="0.5">
      <c r="B242" s="1"/>
      <c r="C242" s="15"/>
      <c r="D242" s="16"/>
      <c r="E242" s="15"/>
      <c r="F242" s="17"/>
      <c r="G242" s="8"/>
      <c r="H242" s="8"/>
      <c r="I242" s="8"/>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4" t="s">
        <v>49</v>
      </c>
      <c r="AM242" s="5" t="str">
        <f t="shared" si="13"/>
        <v/>
      </c>
      <c r="AN242" s="5" t="str">
        <f t="shared" si="14"/>
        <v/>
      </c>
      <c r="AO242" s="18" t="str">
        <f t="shared" si="15"/>
        <v/>
      </c>
      <c r="AP242" s="19"/>
      <c r="AQ242" s="20" t="str">
        <f t="shared" si="16"/>
        <v/>
      </c>
      <c r="AR242" s="21"/>
    </row>
    <row r="243" spans="2:44" ht="31.5" x14ac:dyDescent="0.5">
      <c r="B243" s="1"/>
      <c r="C243" s="15"/>
      <c r="D243" s="16"/>
      <c r="E243" s="15"/>
      <c r="F243" s="17"/>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4" t="s">
        <v>49</v>
      </c>
      <c r="AM243" s="5" t="str">
        <f t="shared" ref="AM243:AM306" si="17">IF($B243="","",COUNTIF($G243:$AK243,"P"))</f>
        <v/>
      </c>
      <c r="AN243" s="5" t="str">
        <f t="shared" ref="AN243:AN306" si="18">IF($B243="","",COUNTIF($G243:$AK243,"AB"))</f>
        <v/>
      </c>
      <c r="AO243" s="18" t="str">
        <f t="shared" ref="AO243:AO306" si="19">IF($B243="","",SUMPRODUCT(--($G$11:$AK$11&lt;&gt;""),--($G$12:$AK$12&lt;&gt;"Sun")))</f>
        <v/>
      </c>
      <c r="AP243" s="19"/>
      <c r="AQ243" s="20" t="str">
        <f t="shared" ref="AQ243:AQ306" si="20">IF($B243="","",IF(AO243=0,"",AM243/AO243))</f>
        <v/>
      </c>
      <c r="AR243" s="21"/>
    </row>
    <row r="244" spans="2:44" ht="31.5" x14ac:dyDescent="0.5">
      <c r="B244" s="1"/>
      <c r="C244" s="15"/>
      <c r="D244" s="16"/>
      <c r="E244" s="15"/>
      <c r="F244" s="17"/>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4" t="s">
        <v>49</v>
      </c>
      <c r="AM244" s="5" t="str">
        <f t="shared" si="17"/>
        <v/>
      </c>
      <c r="AN244" s="5" t="str">
        <f t="shared" si="18"/>
        <v/>
      </c>
      <c r="AO244" s="18" t="str">
        <f t="shared" si="19"/>
        <v/>
      </c>
      <c r="AP244" s="19"/>
      <c r="AQ244" s="20" t="str">
        <f t="shared" si="20"/>
        <v/>
      </c>
      <c r="AR244" s="21"/>
    </row>
    <row r="245" spans="2:44" ht="31.5" x14ac:dyDescent="0.5">
      <c r="B245" s="1"/>
      <c r="C245" s="15"/>
      <c r="D245" s="16"/>
      <c r="E245" s="15"/>
      <c r="F245" s="17"/>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4" t="s">
        <v>49</v>
      </c>
      <c r="AM245" s="5" t="str">
        <f t="shared" si="17"/>
        <v/>
      </c>
      <c r="AN245" s="5" t="str">
        <f t="shared" si="18"/>
        <v/>
      </c>
      <c r="AO245" s="18" t="str">
        <f t="shared" si="19"/>
        <v/>
      </c>
      <c r="AP245" s="19"/>
      <c r="AQ245" s="20" t="str">
        <f t="shared" si="20"/>
        <v/>
      </c>
      <c r="AR245" s="21"/>
    </row>
    <row r="246" spans="2:44" ht="31.5" x14ac:dyDescent="0.5">
      <c r="B246" s="1"/>
      <c r="C246" s="15"/>
      <c r="D246" s="16"/>
      <c r="E246" s="15"/>
      <c r="F246" s="17"/>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4" t="s">
        <v>49</v>
      </c>
      <c r="AM246" s="5" t="str">
        <f t="shared" si="17"/>
        <v/>
      </c>
      <c r="AN246" s="5" t="str">
        <f t="shared" si="18"/>
        <v/>
      </c>
      <c r="AO246" s="18" t="str">
        <f t="shared" si="19"/>
        <v/>
      </c>
      <c r="AP246" s="19"/>
      <c r="AQ246" s="20" t="str">
        <f t="shared" si="20"/>
        <v/>
      </c>
      <c r="AR246" s="21"/>
    </row>
    <row r="247" spans="2:44" ht="31.5" x14ac:dyDescent="0.5">
      <c r="B247" s="1"/>
      <c r="C247" s="15"/>
      <c r="D247" s="16"/>
      <c r="E247" s="15"/>
      <c r="F247" s="17"/>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4" t="s">
        <v>49</v>
      </c>
      <c r="AM247" s="5" t="str">
        <f t="shared" si="17"/>
        <v/>
      </c>
      <c r="AN247" s="5" t="str">
        <f t="shared" si="18"/>
        <v/>
      </c>
      <c r="AO247" s="18" t="str">
        <f t="shared" si="19"/>
        <v/>
      </c>
      <c r="AP247" s="19"/>
      <c r="AQ247" s="20" t="str">
        <f t="shared" si="20"/>
        <v/>
      </c>
      <c r="AR247" s="21"/>
    </row>
    <row r="248" spans="2:44" ht="31.5" x14ac:dyDescent="0.5">
      <c r="B248" s="1"/>
      <c r="C248" s="15"/>
      <c r="D248" s="16"/>
      <c r="E248" s="15"/>
      <c r="F248" s="17"/>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4" t="s">
        <v>49</v>
      </c>
      <c r="AM248" s="5" t="str">
        <f t="shared" si="17"/>
        <v/>
      </c>
      <c r="AN248" s="5" t="str">
        <f t="shared" si="18"/>
        <v/>
      </c>
      <c r="AO248" s="18" t="str">
        <f t="shared" si="19"/>
        <v/>
      </c>
      <c r="AP248" s="19"/>
      <c r="AQ248" s="20" t="str">
        <f t="shared" si="20"/>
        <v/>
      </c>
      <c r="AR248" s="21"/>
    </row>
    <row r="249" spans="2:44" ht="31.5" x14ac:dyDescent="0.5">
      <c r="B249" s="1"/>
      <c r="C249" s="15"/>
      <c r="D249" s="16"/>
      <c r="E249" s="15"/>
      <c r="F249" s="17"/>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4" t="s">
        <v>49</v>
      </c>
      <c r="AM249" s="5" t="str">
        <f t="shared" si="17"/>
        <v/>
      </c>
      <c r="AN249" s="5" t="str">
        <f t="shared" si="18"/>
        <v/>
      </c>
      <c r="AO249" s="18" t="str">
        <f t="shared" si="19"/>
        <v/>
      </c>
      <c r="AP249" s="19"/>
      <c r="AQ249" s="20" t="str">
        <f t="shared" si="20"/>
        <v/>
      </c>
      <c r="AR249" s="21"/>
    </row>
    <row r="250" spans="2:44" ht="31.5" x14ac:dyDescent="0.5">
      <c r="B250" s="1"/>
      <c r="C250" s="15"/>
      <c r="D250" s="16"/>
      <c r="E250" s="15"/>
      <c r="F250" s="17"/>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4" t="s">
        <v>49</v>
      </c>
      <c r="AM250" s="5" t="str">
        <f t="shared" si="17"/>
        <v/>
      </c>
      <c r="AN250" s="5" t="str">
        <f t="shared" si="18"/>
        <v/>
      </c>
      <c r="AO250" s="18" t="str">
        <f t="shared" si="19"/>
        <v/>
      </c>
      <c r="AP250" s="19"/>
      <c r="AQ250" s="20" t="str">
        <f t="shared" si="20"/>
        <v/>
      </c>
      <c r="AR250" s="21"/>
    </row>
    <row r="251" spans="2:44" ht="31.5" x14ac:dyDescent="0.5">
      <c r="B251" s="1"/>
      <c r="C251" s="15"/>
      <c r="D251" s="16"/>
      <c r="E251" s="15"/>
      <c r="F251" s="17"/>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4" t="s">
        <v>49</v>
      </c>
      <c r="AM251" s="5" t="str">
        <f t="shared" si="17"/>
        <v/>
      </c>
      <c r="AN251" s="5" t="str">
        <f t="shared" si="18"/>
        <v/>
      </c>
      <c r="AO251" s="18" t="str">
        <f t="shared" si="19"/>
        <v/>
      </c>
      <c r="AP251" s="19"/>
      <c r="AQ251" s="20" t="str">
        <f t="shared" si="20"/>
        <v/>
      </c>
      <c r="AR251" s="21"/>
    </row>
    <row r="252" spans="2:44" ht="31.5" x14ac:dyDescent="0.5">
      <c r="B252" s="1"/>
      <c r="C252" s="15"/>
      <c r="D252" s="16"/>
      <c r="E252" s="15"/>
      <c r="F252" s="17"/>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4" t="s">
        <v>49</v>
      </c>
      <c r="AM252" s="5" t="str">
        <f t="shared" si="17"/>
        <v/>
      </c>
      <c r="AN252" s="5" t="str">
        <f t="shared" si="18"/>
        <v/>
      </c>
      <c r="AO252" s="18" t="str">
        <f t="shared" si="19"/>
        <v/>
      </c>
      <c r="AP252" s="19"/>
      <c r="AQ252" s="20" t="str">
        <f t="shared" si="20"/>
        <v/>
      </c>
      <c r="AR252" s="21"/>
    </row>
    <row r="253" spans="2:44" ht="31.5" x14ac:dyDescent="0.5">
      <c r="B253" s="1"/>
      <c r="C253" s="15"/>
      <c r="D253" s="16"/>
      <c r="E253" s="15"/>
      <c r="F253" s="17"/>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4" t="s">
        <v>49</v>
      </c>
      <c r="AM253" s="5" t="str">
        <f t="shared" si="17"/>
        <v/>
      </c>
      <c r="AN253" s="5" t="str">
        <f t="shared" si="18"/>
        <v/>
      </c>
      <c r="AO253" s="18" t="str">
        <f t="shared" si="19"/>
        <v/>
      </c>
      <c r="AP253" s="19"/>
      <c r="AQ253" s="20" t="str">
        <f t="shared" si="20"/>
        <v/>
      </c>
      <c r="AR253" s="21"/>
    </row>
    <row r="254" spans="2:44" ht="31.5" x14ac:dyDescent="0.5">
      <c r="B254" s="1"/>
      <c r="C254" s="15"/>
      <c r="D254" s="16"/>
      <c r="E254" s="15"/>
      <c r="F254" s="17"/>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4" t="s">
        <v>49</v>
      </c>
      <c r="AM254" s="5" t="str">
        <f t="shared" si="17"/>
        <v/>
      </c>
      <c r="AN254" s="5" t="str">
        <f t="shared" si="18"/>
        <v/>
      </c>
      <c r="AO254" s="18" t="str">
        <f t="shared" si="19"/>
        <v/>
      </c>
      <c r="AP254" s="19"/>
      <c r="AQ254" s="20" t="str">
        <f t="shared" si="20"/>
        <v/>
      </c>
      <c r="AR254" s="21"/>
    </row>
    <row r="255" spans="2:44" ht="31.5" x14ac:dyDescent="0.5">
      <c r="B255" s="1"/>
      <c r="C255" s="15"/>
      <c r="D255" s="16"/>
      <c r="E255" s="15"/>
      <c r="F255" s="17"/>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4" t="s">
        <v>49</v>
      </c>
      <c r="AM255" s="5" t="str">
        <f t="shared" si="17"/>
        <v/>
      </c>
      <c r="AN255" s="5" t="str">
        <f t="shared" si="18"/>
        <v/>
      </c>
      <c r="AO255" s="18" t="str">
        <f t="shared" si="19"/>
        <v/>
      </c>
      <c r="AP255" s="19"/>
      <c r="AQ255" s="20" t="str">
        <f t="shared" si="20"/>
        <v/>
      </c>
      <c r="AR255" s="21"/>
    </row>
    <row r="256" spans="2:44" ht="31.5" x14ac:dyDescent="0.5">
      <c r="B256" s="1"/>
      <c r="C256" s="15"/>
      <c r="D256" s="16"/>
      <c r="E256" s="15"/>
      <c r="F256" s="17"/>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4" t="s">
        <v>49</v>
      </c>
      <c r="AM256" s="5" t="str">
        <f t="shared" si="17"/>
        <v/>
      </c>
      <c r="AN256" s="5" t="str">
        <f t="shared" si="18"/>
        <v/>
      </c>
      <c r="AO256" s="18" t="str">
        <f t="shared" si="19"/>
        <v/>
      </c>
      <c r="AP256" s="19"/>
      <c r="AQ256" s="20" t="str">
        <f t="shared" si="20"/>
        <v/>
      </c>
      <c r="AR256" s="21"/>
    </row>
    <row r="257" spans="2:44" ht="31.5" x14ac:dyDescent="0.5">
      <c r="B257" s="1"/>
      <c r="C257" s="15"/>
      <c r="D257" s="16"/>
      <c r="E257" s="15"/>
      <c r="F257" s="17"/>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4" t="s">
        <v>49</v>
      </c>
      <c r="AM257" s="5" t="str">
        <f t="shared" si="17"/>
        <v/>
      </c>
      <c r="AN257" s="5" t="str">
        <f t="shared" si="18"/>
        <v/>
      </c>
      <c r="AO257" s="18" t="str">
        <f t="shared" si="19"/>
        <v/>
      </c>
      <c r="AP257" s="19"/>
      <c r="AQ257" s="20" t="str">
        <f t="shared" si="20"/>
        <v/>
      </c>
      <c r="AR257" s="21"/>
    </row>
    <row r="258" spans="2:44" ht="31.5" x14ac:dyDescent="0.5">
      <c r="B258" s="1"/>
      <c r="C258" s="15"/>
      <c r="D258" s="16"/>
      <c r="E258" s="15"/>
      <c r="F258" s="17"/>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4" t="s">
        <v>49</v>
      </c>
      <c r="AM258" s="5" t="str">
        <f t="shared" si="17"/>
        <v/>
      </c>
      <c r="AN258" s="5" t="str">
        <f t="shared" si="18"/>
        <v/>
      </c>
      <c r="AO258" s="18" t="str">
        <f t="shared" si="19"/>
        <v/>
      </c>
      <c r="AP258" s="19"/>
      <c r="AQ258" s="20" t="str">
        <f t="shared" si="20"/>
        <v/>
      </c>
      <c r="AR258" s="21"/>
    </row>
    <row r="259" spans="2:44" ht="31.5" x14ac:dyDescent="0.5">
      <c r="B259" s="1"/>
      <c r="C259" s="15"/>
      <c r="D259" s="16"/>
      <c r="E259" s="15"/>
      <c r="F259" s="17"/>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4" t="s">
        <v>49</v>
      </c>
      <c r="AM259" s="5" t="str">
        <f t="shared" si="17"/>
        <v/>
      </c>
      <c r="AN259" s="5" t="str">
        <f t="shared" si="18"/>
        <v/>
      </c>
      <c r="AO259" s="18" t="str">
        <f t="shared" si="19"/>
        <v/>
      </c>
      <c r="AP259" s="19"/>
      <c r="AQ259" s="20" t="str">
        <f t="shared" si="20"/>
        <v/>
      </c>
      <c r="AR259" s="21"/>
    </row>
    <row r="260" spans="2:44" ht="31.5" x14ac:dyDescent="0.5">
      <c r="B260" s="1"/>
      <c r="C260" s="15"/>
      <c r="D260" s="16"/>
      <c r="E260" s="15"/>
      <c r="F260" s="17"/>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4" t="s">
        <v>49</v>
      </c>
      <c r="AM260" s="5" t="str">
        <f t="shared" si="17"/>
        <v/>
      </c>
      <c r="AN260" s="5" t="str">
        <f t="shared" si="18"/>
        <v/>
      </c>
      <c r="AO260" s="18" t="str">
        <f t="shared" si="19"/>
        <v/>
      </c>
      <c r="AP260" s="19"/>
      <c r="AQ260" s="20" t="str">
        <f t="shared" si="20"/>
        <v/>
      </c>
      <c r="AR260" s="21"/>
    </row>
    <row r="261" spans="2:44" ht="31.5" x14ac:dyDescent="0.5">
      <c r="B261" s="1"/>
      <c r="C261" s="15"/>
      <c r="D261" s="16"/>
      <c r="E261" s="15"/>
      <c r="F261" s="17"/>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4" t="s">
        <v>49</v>
      </c>
      <c r="AM261" s="5" t="str">
        <f t="shared" si="17"/>
        <v/>
      </c>
      <c r="AN261" s="5" t="str">
        <f t="shared" si="18"/>
        <v/>
      </c>
      <c r="AO261" s="18" t="str">
        <f t="shared" si="19"/>
        <v/>
      </c>
      <c r="AP261" s="19"/>
      <c r="AQ261" s="20" t="str">
        <f t="shared" si="20"/>
        <v/>
      </c>
      <c r="AR261" s="21"/>
    </row>
    <row r="262" spans="2:44" ht="31.5" x14ac:dyDescent="0.5">
      <c r="B262" s="1"/>
      <c r="C262" s="15"/>
      <c r="D262" s="16"/>
      <c r="E262" s="15"/>
      <c r="F262" s="17"/>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4" t="s">
        <v>49</v>
      </c>
      <c r="AM262" s="5" t="str">
        <f t="shared" si="17"/>
        <v/>
      </c>
      <c r="AN262" s="5" t="str">
        <f t="shared" si="18"/>
        <v/>
      </c>
      <c r="AO262" s="18" t="str">
        <f t="shared" si="19"/>
        <v/>
      </c>
      <c r="AP262" s="19"/>
      <c r="AQ262" s="20" t="str">
        <f t="shared" si="20"/>
        <v/>
      </c>
      <c r="AR262" s="21"/>
    </row>
    <row r="263" spans="2:44" ht="31.5" x14ac:dyDescent="0.5">
      <c r="B263" s="1"/>
      <c r="C263" s="15"/>
      <c r="D263" s="16"/>
      <c r="E263" s="15"/>
      <c r="F263" s="17"/>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4" t="s">
        <v>49</v>
      </c>
      <c r="AM263" s="5" t="str">
        <f t="shared" si="17"/>
        <v/>
      </c>
      <c r="AN263" s="5" t="str">
        <f t="shared" si="18"/>
        <v/>
      </c>
      <c r="AO263" s="18" t="str">
        <f t="shared" si="19"/>
        <v/>
      </c>
      <c r="AP263" s="19"/>
      <c r="AQ263" s="20" t="str">
        <f t="shared" si="20"/>
        <v/>
      </c>
      <c r="AR263" s="21"/>
    </row>
    <row r="264" spans="2:44" ht="31.5" x14ac:dyDescent="0.5">
      <c r="B264" s="1"/>
      <c r="C264" s="15"/>
      <c r="D264" s="16"/>
      <c r="E264" s="15"/>
      <c r="F264" s="17"/>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4" t="s">
        <v>49</v>
      </c>
      <c r="AM264" s="5" t="str">
        <f t="shared" si="17"/>
        <v/>
      </c>
      <c r="AN264" s="5" t="str">
        <f t="shared" si="18"/>
        <v/>
      </c>
      <c r="AO264" s="18" t="str">
        <f t="shared" si="19"/>
        <v/>
      </c>
      <c r="AP264" s="19"/>
      <c r="AQ264" s="20" t="str">
        <f t="shared" si="20"/>
        <v/>
      </c>
      <c r="AR264" s="21"/>
    </row>
    <row r="265" spans="2:44" ht="31.5" x14ac:dyDescent="0.5">
      <c r="B265" s="1"/>
      <c r="C265" s="15"/>
      <c r="D265" s="16"/>
      <c r="E265" s="15"/>
      <c r="F265" s="17"/>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4" t="s">
        <v>49</v>
      </c>
      <c r="AM265" s="5" t="str">
        <f t="shared" si="17"/>
        <v/>
      </c>
      <c r="AN265" s="5" t="str">
        <f t="shared" si="18"/>
        <v/>
      </c>
      <c r="AO265" s="18" t="str">
        <f t="shared" si="19"/>
        <v/>
      </c>
      <c r="AP265" s="19"/>
      <c r="AQ265" s="20" t="str">
        <f t="shared" si="20"/>
        <v/>
      </c>
      <c r="AR265" s="21"/>
    </row>
    <row r="266" spans="2:44" ht="31.5" x14ac:dyDescent="0.5">
      <c r="B266" s="1"/>
      <c r="C266" s="15"/>
      <c r="D266" s="16"/>
      <c r="E266" s="15"/>
      <c r="F266" s="17"/>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4" t="s">
        <v>49</v>
      </c>
      <c r="AM266" s="5" t="str">
        <f t="shared" si="17"/>
        <v/>
      </c>
      <c r="AN266" s="5" t="str">
        <f t="shared" si="18"/>
        <v/>
      </c>
      <c r="AO266" s="18" t="str">
        <f t="shared" si="19"/>
        <v/>
      </c>
      <c r="AP266" s="19"/>
      <c r="AQ266" s="20" t="str">
        <f t="shared" si="20"/>
        <v/>
      </c>
      <c r="AR266" s="21"/>
    </row>
    <row r="267" spans="2:44" ht="31.5" x14ac:dyDescent="0.5">
      <c r="B267" s="1"/>
      <c r="C267" s="15"/>
      <c r="D267" s="16"/>
      <c r="E267" s="15"/>
      <c r="F267" s="17"/>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4" t="s">
        <v>49</v>
      </c>
      <c r="AM267" s="5" t="str">
        <f t="shared" si="17"/>
        <v/>
      </c>
      <c r="AN267" s="5" t="str">
        <f t="shared" si="18"/>
        <v/>
      </c>
      <c r="AO267" s="18" t="str">
        <f t="shared" si="19"/>
        <v/>
      </c>
      <c r="AP267" s="19"/>
      <c r="AQ267" s="20" t="str">
        <f t="shared" si="20"/>
        <v/>
      </c>
      <c r="AR267" s="21"/>
    </row>
    <row r="268" spans="2:44" ht="31.5" x14ac:dyDescent="0.5">
      <c r="B268" s="1"/>
      <c r="C268" s="15"/>
      <c r="D268" s="16"/>
      <c r="E268" s="15"/>
      <c r="F268" s="17"/>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4" t="s">
        <v>49</v>
      </c>
      <c r="AM268" s="5" t="str">
        <f t="shared" si="17"/>
        <v/>
      </c>
      <c r="AN268" s="5" t="str">
        <f t="shared" si="18"/>
        <v/>
      </c>
      <c r="AO268" s="18" t="str">
        <f t="shared" si="19"/>
        <v/>
      </c>
      <c r="AP268" s="19"/>
      <c r="AQ268" s="20" t="str">
        <f t="shared" si="20"/>
        <v/>
      </c>
      <c r="AR268" s="21"/>
    </row>
    <row r="269" spans="2:44" ht="31.5" x14ac:dyDescent="0.5">
      <c r="B269" s="1"/>
      <c r="C269" s="15"/>
      <c r="D269" s="16"/>
      <c r="E269" s="15"/>
      <c r="F269" s="17"/>
      <c r="G269" s="8"/>
      <c r="H269" s="8"/>
      <c r="I269" s="8"/>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4" t="s">
        <v>49</v>
      </c>
      <c r="AM269" s="5" t="str">
        <f t="shared" si="17"/>
        <v/>
      </c>
      <c r="AN269" s="5" t="str">
        <f t="shared" si="18"/>
        <v/>
      </c>
      <c r="AO269" s="18" t="str">
        <f t="shared" si="19"/>
        <v/>
      </c>
      <c r="AP269" s="19"/>
      <c r="AQ269" s="20" t="str">
        <f t="shared" si="20"/>
        <v/>
      </c>
      <c r="AR269" s="21"/>
    </row>
    <row r="270" spans="2:44" ht="31.5" x14ac:dyDescent="0.5">
      <c r="B270" s="1"/>
      <c r="C270" s="15"/>
      <c r="D270" s="16"/>
      <c r="E270" s="15"/>
      <c r="F270" s="17"/>
      <c r="G270" s="8"/>
      <c r="H270" s="8"/>
      <c r="I270" s="8"/>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4" t="s">
        <v>49</v>
      </c>
      <c r="AM270" s="5" t="str">
        <f t="shared" si="17"/>
        <v/>
      </c>
      <c r="AN270" s="5" t="str">
        <f t="shared" si="18"/>
        <v/>
      </c>
      <c r="AO270" s="18" t="str">
        <f t="shared" si="19"/>
        <v/>
      </c>
      <c r="AP270" s="19"/>
      <c r="AQ270" s="20" t="str">
        <f t="shared" si="20"/>
        <v/>
      </c>
      <c r="AR270" s="21"/>
    </row>
    <row r="271" spans="2:44" ht="31.5" x14ac:dyDescent="0.5">
      <c r="B271" s="1"/>
      <c r="C271" s="15"/>
      <c r="D271" s="16"/>
      <c r="E271" s="15"/>
      <c r="F271" s="17"/>
      <c r="G271" s="8"/>
      <c r="H271" s="8"/>
      <c r="I271" s="8"/>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4" t="s">
        <v>49</v>
      </c>
      <c r="AM271" s="5" t="str">
        <f t="shared" si="17"/>
        <v/>
      </c>
      <c r="AN271" s="5" t="str">
        <f t="shared" si="18"/>
        <v/>
      </c>
      <c r="AO271" s="18" t="str">
        <f t="shared" si="19"/>
        <v/>
      </c>
      <c r="AP271" s="19"/>
      <c r="AQ271" s="20" t="str">
        <f t="shared" si="20"/>
        <v/>
      </c>
      <c r="AR271" s="21"/>
    </row>
    <row r="272" spans="2:44" ht="31.5" x14ac:dyDescent="0.5">
      <c r="B272" s="1"/>
      <c r="C272" s="15"/>
      <c r="D272" s="16"/>
      <c r="E272" s="15"/>
      <c r="F272" s="17"/>
      <c r="G272" s="8"/>
      <c r="H272" s="8"/>
      <c r="I272" s="8"/>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4" t="s">
        <v>49</v>
      </c>
      <c r="AM272" s="5" t="str">
        <f t="shared" si="17"/>
        <v/>
      </c>
      <c r="AN272" s="5" t="str">
        <f t="shared" si="18"/>
        <v/>
      </c>
      <c r="AO272" s="18" t="str">
        <f t="shared" si="19"/>
        <v/>
      </c>
      <c r="AP272" s="19"/>
      <c r="AQ272" s="20" t="str">
        <f t="shared" si="20"/>
        <v/>
      </c>
      <c r="AR272" s="21"/>
    </row>
    <row r="273" spans="2:44" ht="31.5" x14ac:dyDescent="0.5">
      <c r="B273" s="1"/>
      <c r="C273" s="15"/>
      <c r="D273" s="16"/>
      <c r="E273" s="15"/>
      <c r="F273" s="17"/>
      <c r="G273" s="8"/>
      <c r="H273" s="8"/>
      <c r="I273" s="8"/>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4" t="s">
        <v>49</v>
      </c>
      <c r="AM273" s="5" t="str">
        <f t="shared" si="17"/>
        <v/>
      </c>
      <c r="AN273" s="5" t="str">
        <f t="shared" si="18"/>
        <v/>
      </c>
      <c r="AO273" s="18" t="str">
        <f t="shared" si="19"/>
        <v/>
      </c>
      <c r="AP273" s="19"/>
      <c r="AQ273" s="20" t="str">
        <f t="shared" si="20"/>
        <v/>
      </c>
      <c r="AR273" s="21"/>
    </row>
    <row r="274" spans="2:44" ht="31.5" x14ac:dyDescent="0.5">
      <c r="B274" s="1"/>
      <c r="C274" s="15"/>
      <c r="D274" s="16"/>
      <c r="E274" s="15"/>
      <c r="F274" s="17"/>
      <c r="G274" s="8"/>
      <c r="H274" s="8"/>
      <c r="I274" s="8"/>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4" t="s">
        <v>49</v>
      </c>
      <c r="AM274" s="5" t="str">
        <f t="shared" si="17"/>
        <v/>
      </c>
      <c r="AN274" s="5" t="str">
        <f t="shared" si="18"/>
        <v/>
      </c>
      <c r="AO274" s="18" t="str">
        <f t="shared" si="19"/>
        <v/>
      </c>
      <c r="AP274" s="19"/>
      <c r="AQ274" s="20" t="str">
        <f t="shared" si="20"/>
        <v/>
      </c>
      <c r="AR274" s="21"/>
    </row>
    <row r="275" spans="2:44" ht="31.5" x14ac:dyDescent="0.5">
      <c r="B275" s="1"/>
      <c r="C275" s="15"/>
      <c r="D275" s="16"/>
      <c r="E275" s="15"/>
      <c r="F275" s="17"/>
      <c r="G275" s="8"/>
      <c r="H275" s="8"/>
      <c r="I275" s="8"/>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4" t="s">
        <v>49</v>
      </c>
      <c r="AM275" s="5" t="str">
        <f t="shared" si="17"/>
        <v/>
      </c>
      <c r="AN275" s="5" t="str">
        <f t="shared" si="18"/>
        <v/>
      </c>
      <c r="AO275" s="18" t="str">
        <f t="shared" si="19"/>
        <v/>
      </c>
      <c r="AP275" s="19"/>
      <c r="AQ275" s="20" t="str">
        <f t="shared" si="20"/>
        <v/>
      </c>
      <c r="AR275" s="21"/>
    </row>
    <row r="276" spans="2:44" ht="31.5" x14ac:dyDescent="0.5">
      <c r="B276" s="1"/>
      <c r="C276" s="15"/>
      <c r="D276" s="16"/>
      <c r="E276" s="15"/>
      <c r="F276" s="17"/>
      <c r="G276" s="8"/>
      <c r="H276" s="8"/>
      <c r="I276" s="8"/>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4" t="s">
        <v>49</v>
      </c>
      <c r="AM276" s="5" t="str">
        <f t="shared" si="17"/>
        <v/>
      </c>
      <c r="AN276" s="5" t="str">
        <f t="shared" si="18"/>
        <v/>
      </c>
      <c r="AO276" s="18" t="str">
        <f t="shared" si="19"/>
        <v/>
      </c>
      <c r="AP276" s="19"/>
      <c r="AQ276" s="20" t="str">
        <f t="shared" si="20"/>
        <v/>
      </c>
      <c r="AR276" s="21"/>
    </row>
    <row r="277" spans="2:44" ht="31.5" x14ac:dyDescent="0.5">
      <c r="B277" s="1"/>
      <c r="C277" s="15"/>
      <c r="D277" s="16"/>
      <c r="E277" s="15"/>
      <c r="F277" s="17"/>
      <c r="G277" s="8"/>
      <c r="H277" s="8"/>
      <c r="I277" s="8"/>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4" t="s">
        <v>49</v>
      </c>
      <c r="AM277" s="5" t="str">
        <f t="shared" si="17"/>
        <v/>
      </c>
      <c r="AN277" s="5" t="str">
        <f t="shared" si="18"/>
        <v/>
      </c>
      <c r="AO277" s="18" t="str">
        <f t="shared" si="19"/>
        <v/>
      </c>
      <c r="AP277" s="19"/>
      <c r="AQ277" s="20" t="str">
        <f t="shared" si="20"/>
        <v/>
      </c>
      <c r="AR277" s="21"/>
    </row>
    <row r="278" spans="2:44" ht="31.5" x14ac:dyDescent="0.5">
      <c r="B278" s="1"/>
      <c r="C278" s="15"/>
      <c r="D278" s="16"/>
      <c r="E278" s="15"/>
      <c r="F278" s="17"/>
      <c r="G278" s="8"/>
      <c r="H278" s="8"/>
      <c r="I278" s="8"/>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4" t="s">
        <v>49</v>
      </c>
      <c r="AM278" s="5" t="str">
        <f t="shared" si="17"/>
        <v/>
      </c>
      <c r="AN278" s="5" t="str">
        <f t="shared" si="18"/>
        <v/>
      </c>
      <c r="AO278" s="18" t="str">
        <f t="shared" si="19"/>
        <v/>
      </c>
      <c r="AP278" s="19"/>
      <c r="AQ278" s="20" t="str">
        <f t="shared" si="20"/>
        <v/>
      </c>
      <c r="AR278" s="21"/>
    </row>
    <row r="279" spans="2:44" ht="31.5" x14ac:dyDescent="0.5">
      <c r="B279" s="1"/>
      <c r="C279" s="15"/>
      <c r="D279" s="16"/>
      <c r="E279" s="15"/>
      <c r="F279" s="17"/>
      <c r="G279" s="8"/>
      <c r="H279" s="8"/>
      <c r="I279" s="8"/>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4" t="s">
        <v>49</v>
      </c>
      <c r="AM279" s="5" t="str">
        <f t="shared" si="17"/>
        <v/>
      </c>
      <c r="AN279" s="5" t="str">
        <f t="shared" si="18"/>
        <v/>
      </c>
      <c r="AO279" s="18" t="str">
        <f t="shared" si="19"/>
        <v/>
      </c>
      <c r="AP279" s="19"/>
      <c r="AQ279" s="20" t="str">
        <f t="shared" si="20"/>
        <v/>
      </c>
      <c r="AR279" s="21"/>
    </row>
    <row r="280" spans="2:44" ht="31.5" x14ac:dyDescent="0.5">
      <c r="B280" s="1"/>
      <c r="C280" s="15"/>
      <c r="D280" s="16"/>
      <c r="E280" s="15"/>
      <c r="F280" s="17"/>
      <c r="G280" s="8"/>
      <c r="H280" s="8"/>
      <c r="I280" s="8"/>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4" t="s">
        <v>49</v>
      </c>
      <c r="AM280" s="5" t="str">
        <f t="shared" si="17"/>
        <v/>
      </c>
      <c r="AN280" s="5" t="str">
        <f t="shared" si="18"/>
        <v/>
      </c>
      <c r="AO280" s="18" t="str">
        <f t="shared" si="19"/>
        <v/>
      </c>
      <c r="AP280" s="19"/>
      <c r="AQ280" s="20" t="str">
        <f t="shared" si="20"/>
        <v/>
      </c>
      <c r="AR280" s="21"/>
    </row>
    <row r="281" spans="2:44" ht="31.5" x14ac:dyDescent="0.5">
      <c r="B281" s="1"/>
      <c r="C281" s="15"/>
      <c r="D281" s="16"/>
      <c r="E281" s="15"/>
      <c r="F281" s="17"/>
      <c r="G281" s="8"/>
      <c r="H281" s="8"/>
      <c r="I281" s="8"/>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4" t="s">
        <v>49</v>
      </c>
      <c r="AM281" s="5" t="str">
        <f t="shared" si="17"/>
        <v/>
      </c>
      <c r="AN281" s="5" t="str">
        <f t="shared" si="18"/>
        <v/>
      </c>
      <c r="AO281" s="18" t="str">
        <f t="shared" si="19"/>
        <v/>
      </c>
      <c r="AP281" s="19"/>
      <c r="AQ281" s="20" t="str">
        <f t="shared" si="20"/>
        <v/>
      </c>
      <c r="AR281" s="21"/>
    </row>
    <row r="282" spans="2:44" ht="31.5" x14ac:dyDescent="0.5">
      <c r="B282" s="1"/>
      <c r="C282" s="15"/>
      <c r="D282" s="16"/>
      <c r="E282" s="15"/>
      <c r="F282" s="17"/>
      <c r="G282" s="8"/>
      <c r="H282" s="8"/>
      <c r="I282" s="8"/>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4" t="s">
        <v>49</v>
      </c>
      <c r="AM282" s="5" t="str">
        <f t="shared" si="17"/>
        <v/>
      </c>
      <c r="AN282" s="5" t="str">
        <f t="shared" si="18"/>
        <v/>
      </c>
      <c r="AO282" s="18" t="str">
        <f t="shared" si="19"/>
        <v/>
      </c>
      <c r="AP282" s="19"/>
      <c r="AQ282" s="20" t="str">
        <f t="shared" si="20"/>
        <v/>
      </c>
      <c r="AR282" s="21"/>
    </row>
    <row r="283" spans="2:44" ht="31.5" x14ac:dyDescent="0.5">
      <c r="B283" s="1"/>
      <c r="C283" s="15"/>
      <c r="D283" s="16"/>
      <c r="E283" s="15"/>
      <c r="F283" s="17"/>
      <c r="G283" s="8"/>
      <c r="H283" s="8"/>
      <c r="I283" s="8"/>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4" t="s">
        <v>49</v>
      </c>
      <c r="AM283" s="5" t="str">
        <f t="shared" si="17"/>
        <v/>
      </c>
      <c r="AN283" s="5" t="str">
        <f t="shared" si="18"/>
        <v/>
      </c>
      <c r="AO283" s="18" t="str">
        <f t="shared" si="19"/>
        <v/>
      </c>
      <c r="AP283" s="19"/>
      <c r="AQ283" s="20" t="str">
        <f t="shared" si="20"/>
        <v/>
      </c>
      <c r="AR283" s="21"/>
    </row>
    <row r="284" spans="2:44" ht="31.5" x14ac:dyDescent="0.5">
      <c r="B284" s="1"/>
      <c r="C284" s="15"/>
      <c r="D284" s="16"/>
      <c r="E284" s="15"/>
      <c r="F284" s="17"/>
      <c r="G284" s="8"/>
      <c r="H284" s="8"/>
      <c r="I284" s="8"/>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4" t="s">
        <v>49</v>
      </c>
      <c r="AM284" s="5" t="str">
        <f t="shared" si="17"/>
        <v/>
      </c>
      <c r="AN284" s="5" t="str">
        <f t="shared" si="18"/>
        <v/>
      </c>
      <c r="AO284" s="18" t="str">
        <f t="shared" si="19"/>
        <v/>
      </c>
      <c r="AP284" s="19"/>
      <c r="AQ284" s="20" t="str">
        <f t="shared" si="20"/>
        <v/>
      </c>
      <c r="AR284" s="21"/>
    </row>
    <row r="285" spans="2:44" ht="31.5" x14ac:dyDescent="0.5">
      <c r="B285" s="1"/>
      <c r="C285" s="15"/>
      <c r="D285" s="16"/>
      <c r="E285" s="15"/>
      <c r="F285" s="17"/>
      <c r="G285" s="8"/>
      <c r="H285" s="8"/>
      <c r="I285" s="8"/>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4" t="s">
        <v>49</v>
      </c>
      <c r="AM285" s="5" t="str">
        <f t="shared" si="17"/>
        <v/>
      </c>
      <c r="AN285" s="5" t="str">
        <f t="shared" si="18"/>
        <v/>
      </c>
      <c r="AO285" s="18" t="str">
        <f t="shared" si="19"/>
        <v/>
      </c>
      <c r="AP285" s="19"/>
      <c r="AQ285" s="20" t="str">
        <f t="shared" si="20"/>
        <v/>
      </c>
      <c r="AR285" s="21"/>
    </row>
    <row r="286" spans="2:44" ht="31.5" x14ac:dyDescent="0.5">
      <c r="B286" s="1"/>
      <c r="C286" s="15"/>
      <c r="D286" s="16"/>
      <c r="E286" s="15"/>
      <c r="F286" s="17"/>
      <c r="G286" s="8"/>
      <c r="H286" s="8"/>
      <c r="I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4" t="s">
        <v>49</v>
      </c>
      <c r="AM286" s="5" t="str">
        <f t="shared" si="17"/>
        <v/>
      </c>
      <c r="AN286" s="5" t="str">
        <f t="shared" si="18"/>
        <v/>
      </c>
      <c r="AO286" s="18" t="str">
        <f t="shared" si="19"/>
        <v/>
      </c>
      <c r="AP286" s="19"/>
      <c r="AQ286" s="20" t="str">
        <f t="shared" si="20"/>
        <v/>
      </c>
      <c r="AR286" s="21"/>
    </row>
    <row r="287" spans="2:44" ht="31.5" x14ac:dyDescent="0.5">
      <c r="B287" s="1"/>
      <c r="C287" s="15"/>
      <c r="D287" s="16"/>
      <c r="E287" s="15"/>
      <c r="F287" s="17"/>
      <c r="G287" s="8"/>
      <c r="H287" s="8"/>
      <c r="I287" s="8"/>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4" t="s">
        <v>49</v>
      </c>
      <c r="AM287" s="5" t="str">
        <f t="shared" si="17"/>
        <v/>
      </c>
      <c r="AN287" s="5" t="str">
        <f t="shared" si="18"/>
        <v/>
      </c>
      <c r="AO287" s="18" t="str">
        <f t="shared" si="19"/>
        <v/>
      </c>
      <c r="AP287" s="19"/>
      <c r="AQ287" s="20" t="str">
        <f t="shared" si="20"/>
        <v/>
      </c>
      <c r="AR287" s="21"/>
    </row>
    <row r="288" spans="2:44" ht="31.5" x14ac:dyDescent="0.5">
      <c r="B288" s="1"/>
      <c r="C288" s="15"/>
      <c r="D288" s="16"/>
      <c r="E288" s="15"/>
      <c r="F288" s="17"/>
      <c r="G288" s="8"/>
      <c r="H288" s="8"/>
      <c r="I288" s="8"/>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4" t="s">
        <v>49</v>
      </c>
      <c r="AM288" s="5" t="str">
        <f t="shared" si="17"/>
        <v/>
      </c>
      <c r="AN288" s="5" t="str">
        <f t="shared" si="18"/>
        <v/>
      </c>
      <c r="AO288" s="18" t="str">
        <f t="shared" si="19"/>
        <v/>
      </c>
      <c r="AP288" s="19"/>
      <c r="AQ288" s="20" t="str">
        <f t="shared" si="20"/>
        <v/>
      </c>
      <c r="AR288" s="21"/>
    </row>
    <row r="289" spans="2:44" ht="31.5" x14ac:dyDescent="0.5">
      <c r="B289" s="1"/>
      <c r="C289" s="15"/>
      <c r="D289" s="16"/>
      <c r="E289" s="15"/>
      <c r="F289" s="17"/>
      <c r="G289" s="8"/>
      <c r="H289" s="8"/>
      <c r="I289" s="8"/>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4" t="s">
        <v>49</v>
      </c>
      <c r="AM289" s="5" t="str">
        <f t="shared" si="17"/>
        <v/>
      </c>
      <c r="AN289" s="5" t="str">
        <f t="shared" si="18"/>
        <v/>
      </c>
      <c r="AO289" s="18" t="str">
        <f t="shared" si="19"/>
        <v/>
      </c>
      <c r="AP289" s="19"/>
      <c r="AQ289" s="20" t="str">
        <f t="shared" si="20"/>
        <v/>
      </c>
      <c r="AR289" s="21"/>
    </row>
    <row r="290" spans="2:44" ht="31.5" x14ac:dyDescent="0.5">
      <c r="B290" s="1"/>
      <c r="C290" s="15"/>
      <c r="D290" s="16"/>
      <c r="E290" s="15"/>
      <c r="F290" s="17"/>
      <c r="G290" s="8"/>
      <c r="H290" s="8"/>
      <c r="I290" s="8"/>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4" t="s">
        <v>49</v>
      </c>
      <c r="AM290" s="5" t="str">
        <f t="shared" si="17"/>
        <v/>
      </c>
      <c r="AN290" s="5" t="str">
        <f t="shared" si="18"/>
        <v/>
      </c>
      <c r="AO290" s="18" t="str">
        <f t="shared" si="19"/>
        <v/>
      </c>
      <c r="AP290" s="19"/>
      <c r="AQ290" s="20" t="str">
        <f t="shared" si="20"/>
        <v/>
      </c>
      <c r="AR290" s="21"/>
    </row>
    <row r="291" spans="2:44" ht="31.5" x14ac:dyDescent="0.5">
      <c r="B291" s="1"/>
      <c r="C291" s="15"/>
      <c r="D291" s="16"/>
      <c r="E291" s="15"/>
      <c r="F291" s="17"/>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4" t="s">
        <v>49</v>
      </c>
      <c r="AM291" s="5" t="str">
        <f t="shared" si="17"/>
        <v/>
      </c>
      <c r="AN291" s="5" t="str">
        <f t="shared" si="18"/>
        <v/>
      </c>
      <c r="AO291" s="18" t="str">
        <f t="shared" si="19"/>
        <v/>
      </c>
      <c r="AP291" s="19"/>
      <c r="AQ291" s="20" t="str">
        <f t="shared" si="20"/>
        <v/>
      </c>
      <c r="AR291" s="21"/>
    </row>
    <row r="292" spans="2:44" ht="31.5" x14ac:dyDescent="0.5">
      <c r="B292" s="1"/>
      <c r="C292" s="15"/>
      <c r="D292" s="16"/>
      <c r="E292" s="15"/>
      <c r="F292" s="17"/>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4" t="s">
        <v>49</v>
      </c>
      <c r="AM292" s="5" t="str">
        <f t="shared" si="17"/>
        <v/>
      </c>
      <c r="AN292" s="5" t="str">
        <f t="shared" si="18"/>
        <v/>
      </c>
      <c r="AO292" s="18" t="str">
        <f t="shared" si="19"/>
        <v/>
      </c>
      <c r="AP292" s="19"/>
      <c r="AQ292" s="20" t="str">
        <f t="shared" si="20"/>
        <v/>
      </c>
      <c r="AR292" s="21"/>
    </row>
    <row r="293" spans="2:44" ht="31.5" x14ac:dyDescent="0.5">
      <c r="B293" s="1"/>
      <c r="C293" s="15"/>
      <c r="D293" s="16"/>
      <c r="E293" s="15"/>
      <c r="F293" s="17"/>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4" t="s">
        <v>49</v>
      </c>
      <c r="AM293" s="5" t="str">
        <f t="shared" si="17"/>
        <v/>
      </c>
      <c r="AN293" s="5" t="str">
        <f t="shared" si="18"/>
        <v/>
      </c>
      <c r="AO293" s="18" t="str">
        <f t="shared" si="19"/>
        <v/>
      </c>
      <c r="AP293" s="19"/>
      <c r="AQ293" s="20" t="str">
        <f t="shared" si="20"/>
        <v/>
      </c>
      <c r="AR293" s="21"/>
    </row>
    <row r="294" spans="2:44" ht="31.5" x14ac:dyDescent="0.5">
      <c r="B294" s="1"/>
      <c r="C294" s="15"/>
      <c r="D294" s="16"/>
      <c r="E294" s="15"/>
      <c r="F294" s="17"/>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4" t="s">
        <v>49</v>
      </c>
      <c r="AM294" s="5" t="str">
        <f t="shared" si="17"/>
        <v/>
      </c>
      <c r="AN294" s="5" t="str">
        <f t="shared" si="18"/>
        <v/>
      </c>
      <c r="AO294" s="18" t="str">
        <f t="shared" si="19"/>
        <v/>
      </c>
      <c r="AP294" s="19"/>
      <c r="AQ294" s="20" t="str">
        <f t="shared" si="20"/>
        <v/>
      </c>
      <c r="AR294" s="21"/>
    </row>
    <row r="295" spans="2:44" ht="31.5" x14ac:dyDescent="0.5">
      <c r="B295" s="1"/>
      <c r="C295" s="15"/>
      <c r="D295" s="16"/>
      <c r="E295" s="15"/>
      <c r="F295" s="17"/>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4" t="s">
        <v>49</v>
      </c>
      <c r="AM295" s="5" t="str">
        <f t="shared" si="17"/>
        <v/>
      </c>
      <c r="AN295" s="5" t="str">
        <f t="shared" si="18"/>
        <v/>
      </c>
      <c r="AO295" s="18" t="str">
        <f t="shared" si="19"/>
        <v/>
      </c>
      <c r="AP295" s="19"/>
      <c r="AQ295" s="20" t="str">
        <f t="shared" si="20"/>
        <v/>
      </c>
      <c r="AR295" s="21"/>
    </row>
    <row r="296" spans="2:44" ht="31.5" x14ac:dyDescent="0.5">
      <c r="B296" s="1"/>
      <c r="C296" s="15"/>
      <c r="D296" s="16"/>
      <c r="E296" s="15"/>
      <c r="F296" s="17"/>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4" t="s">
        <v>49</v>
      </c>
      <c r="AM296" s="5" t="str">
        <f t="shared" si="17"/>
        <v/>
      </c>
      <c r="AN296" s="5" t="str">
        <f t="shared" si="18"/>
        <v/>
      </c>
      <c r="AO296" s="18" t="str">
        <f t="shared" si="19"/>
        <v/>
      </c>
      <c r="AP296" s="19"/>
      <c r="AQ296" s="20" t="str">
        <f t="shared" si="20"/>
        <v/>
      </c>
      <c r="AR296" s="21"/>
    </row>
    <row r="297" spans="2:44" ht="31.5" x14ac:dyDescent="0.5">
      <c r="B297" s="1"/>
      <c r="C297" s="15"/>
      <c r="D297" s="16"/>
      <c r="E297" s="15"/>
      <c r="F297" s="17"/>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4" t="s">
        <v>49</v>
      </c>
      <c r="AM297" s="5" t="str">
        <f t="shared" si="17"/>
        <v/>
      </c>
      <c r="AN297" s="5" t="str">
        <f t="shared" si="18"/>
        <v/>
      </c>
      <c r="AO297" s="18" t="str">
        <f t="shared" si="19"/>
        <v/>
      </c>
      <c r="AP297" s="19"/>
      <c r="AQ297" s="20" t="str">
        <f t="shared" si="20"/>
        <v/>
      </c>
      <c r="AR297" s="21"/>
    </row>
    <row r="298" spans="2:44" ht="31.5" x14ac:dyDescent="0.5">
      <c r="B298" s="1"/>
      <c r="C298" s="15"/>
      <c r="D298" s="16"/>
      <c r="E298" s="15"/>
      <c r="F298" s="17"/>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4" t="s">
        <v>49</v>
      </c>
      <c r="AM298" s="5" t="str">
        <f t="shared" si="17"/>
        <v/>
      </c>
      <c r="AN298" s="5" t="str">
        <f t="shared" si="18"/>
        <v/>
      </c>
      <c r="AO298" s="18" t="str">
        <f t="shared" si="19"/>
        <v/>
      </c>
      <c r="AP298" s="19"/>
      <c r="AQ298" s="20" t="str">
        <f t="shared" si="20"/>
        <v/>
      </c>
      <c r="AR298" s="21"/>
    </row>
    <row r="299" spans="2:44" ht="31.5" x14ac:dyDescent="0.5">
      <c r="B299" s="1"/>
      <c r="C299" s="15"/>
      <c r="D299" s="16"/>
      <c r="E299" s="15"/>
      <c r="F299" s="17"/>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4" t="s">
        <v>49</v>
      </c>
      <c r="AM299" s="5" t="str">
        <f t="shared" si="17"/>
        <v/>
      </c>
      <c r="AN299" s="5" t="str">
        <f t="shared" si="18"/>
        <v/>
      </c>
      <c r="AO299" s="18" t="str">
        <f t="shared" si="19"/>
        <v/>
      </c>
      <c r="AP299" s="19"/>
      <c r="AQ299" s="20" t="str">
        <f t="shared" si="20"/>
        <v/>
      </c>
      <c r="AR299" s="21"/>
    </row>
    <row r="300" spans="2:44" ht="31.5" x14ac:dyDescent="0.5">
      <c r="B300" s="1"/>
      <c r="C300" s="15"/>
      <c r="D300" s="16"/>
      <c r="E300" s="15"/>
      <c r="F300" s="17"/>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4" t="s">
        <v>49</v>
      </c>
      <c r="AM300" s="5" t="str">
        <f t="shared" si="17"/>
        <v/>
      </c>
      <c r="AN300" s="5" t="str">
        <f t="shared" si="18"/>
        <v/>
      </c>
      <c r="AO300" s="18" t="str">
        <f t="shared" si="19"/>
        <v/>
      </c>
      <c r="AP300" s="19"/>
      <c r="AQ300" s="20" t="str">
        <f t="shared" si="20"/>
        <v/>
      </c>
      <c r="AR300" s="21"/>
    </row>
    <row r="301" spans="2:44" ht="31.5" x14ac:dyDescent="0.5">
      <c r="B301" s="1"/>
      <c r="C301" s="15"/>
      <c r="D301" s="16"/>
      <c r="E301" s="15"/>
      <c r="F301" s="17"/>
      <c r="G301" s="8"/>
      <c r="H301" s="8"/>
      <c r="I301" s="8"/>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4" t="s">
        <v>49</v>
      </c>
      <c r="AM301" s="5" t="str">
        <f t="shared" si="17"/>
        <v/>
      </c>
      <c r="AN301" s="5" t="str">
        <f t="shared" si="18"/>
        <v/>
      </c>
      <c r="AO301" s="18" t="str">
        <f t="shared" si="19"/>
        <v/>
      </c>
      <c r="AP301" s="19"/>
      <c r="AQ301" s="20" t="str">
        <f t="shared" si="20"/>
        <v/>
      </c>
      <c r="AR301" s="21"/>
    </row>
    <row r="302" spans="2:44" ht="31.5" x14ac:dyDescent="0.5">
      <c r="B302" s="1"/>
      <c r="C302" s="15"/>
      <c r="D302" s="16"/>
      <c r="E302" s="15"/>
      <c r="F302" s="17"/>
      <c r="G302" s="8"/>
      <c r="H302" s="8"/>
      <c r="I302" s="8"/>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4" t="s">
        <v>49</v>
      </c>
      <c r="AM302" s="5" t="str">
        <f t="shared" si="17"/>
        <v/>
      </c>
      <c r="AN302" s="5" t="str">
        <f t="shared" si="18"/>
        <v/>
      </c>
      <c r="AO302" s="18" t="str">
        <f t="shared" si="19"/>
        <v/>
      </c>
      <c r="AP302" s="19"/>
      <c r="AQ302" s="20" t="str">
        <f t="shared" si="20"/>
        <v/>
      </c>
      <c r="AR302" s="21"/>
    </row>
    <row r="303" spans="2:44" ht="31.5" x14ac:dyDescent="0.5">
      <c r="B303" s="1"/>
      <c r="C303" s="15"/>
      <c r="D303" s="16"/>
      <c r="E303" s="15"/>
      <c r="F303" s="17"/>
      <c r="G303" s="8"/>
      <c r="H303" s="8"/>
      <c r="I303" s="8"/>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4" t="s">
        <v>49</v>
      </c>
      <c r="AM303" s="5" t="str">
        <f t="shared" si="17"/>
        <v/>
      </c>
      <c r="AN303" s="5" t="str">
        <f t="shared" si="18"/>
        <v/>
      </c>
      <c r="AO303" s="18" t="str">
        <f t="shared" si="19"/>
        <v/>
      </c>
      <c r="AP303" s="19"/>
      <c r="AQ303" s="20" t="str">
        <f t="shared" si="20"/>
        <v/>
      </c>
      <c r="AR303" s="21"/>
    </row>
    <row r="304" spans="2:44" ht="31.5" x14ac:dyDescent="0.5">
      <c r="B304" s="1"/>
      <c r="C304" s="15"/>
      <c r="D304" s="16"/>
      <c r="E304" s="15"/>
      <c r="F304" s="17"/>
      <c r="G304" s="8"/>
      <c r="H304" s="8"/>
      <c r="I304" s="8"/>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4" t="s">
        <v>49</v>
      </c>
      <c r="AM304" s="5" t="str">
        <f t="shared" si="17"/>
        <v/>
      </c>
      <c r="AN304" s="5" t="str">
        <f t="shared" si="18"/>
        <v/>
      </c>
      <c r="AO304" s="18" t="str">
        <f t="shared" si="19"/>
        <v/>
      </c>
      <c r="AP304" s="19"/>
      <c r="AQ304" s="20" t="str">
        <f t="shared" si="20"/>
        <v/>
      </c>
      <c r="AR304" s="21"/>
    </row>
    <row r="305" spans="2:44" ht="31.5" x14ac:dyDescent="0.5">
      <c r="B305" s="1"/>
      <c r="C305" s="15"/>
      <c r="D305" s="16"/>
      <c r="E305" s="15"/>
      <c r="F305" s="17"/>
      <c r="G305" s="8"/>
      <c r="H305" s="8"/>
      <c r="I305" s="8"/>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4" t="s">
        <v>49</v>
      </c>
      <c r="AM305" s="5" t="str">
        <f t="shared" si="17"/>
        <v/>
      </c>
      <c r="AN305" s="5" t="str">
        <f t="shared" si="18"/>
        <v/>
      </c>
      <c r="AO305" s="18" t="str">
        <f t="shared" si="19"/>
        <v/>
      </c>
      <c r="AP305" s="19"/>
      <c r="AQ305" s="20" t="str">
        <f t="shared" si="20"/>
        <v/>
      </c>
      <c r="AR305" s="21"/>
    </row>
    <row r="306" spans="2:44" ht="31.5" x14ac:dyDescent="0.5">
      <c r="B306" s="1"/>
      <c r="C306" s="15"/>
      <c r="D306" s="16"/>
      <c r="E306" s="15"/>
      <c r="F306" s="17"/>
      <c r="G306" s="8"/>
      <c r="H306" s="8"/>
      <c r="I306" s="8"/>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4" t="s">
        <v>49</v>
      </c>
      <c r="AM306" s="5" t="str">
        <f t="shared" si="17"/>
        <v/>
      </c>
      <c r="AN306" s="5" t="str">
        <f t="shared" si="18"/>
        <v/>
      </c>
      <c r="AO306" s="18" t="str">
        <f t="shared" si="19"/>
        <v/>
      </c>
      <c r="AP306" s="19"/>
      <c r="AQ306" s="20" t="str">
        <f t="shared" si="20"/>
        <v/>
      </c>
      <c r="AR306" s="21"/>
    </row>
    <row r="307" spans="2:44" ht="31.5" x14ac:dyDescent="0.5">
      <c r="B307" s="1"/>
      <c r="C307" s="15"/>
      <c r="D307" s="16"/>
      <c r="E307" s="15"/>
      <c r="F307" s="17"/>
      <c r="G307" s="8"/>
      <c r="H307" s="8"/>
      <c r="I307" s="8"/>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4" t="s">
        <v>49</v>
      </c>
      <c r="AM307" s="5" t="str">
        <f t="shared" ref="AM307:AM370" si="21">IF($B307="","",COUNTIF($G307:$AK307,"P"))</f>
        <v/>
      </c>
      <c r="AN307" s="5" t="str">
        <f t="shared" ref="AN307:AN370" si="22">IF($B307="","",COUNTIF($G307:$AK307,"AB"))</f>
        <v/>
      </c>
      <c r="AO307" s="18" t="str">
        <f t="shared" ref="AO307:AO370" si="23">IF($B307="","",SUMPRODUCT(--($G$11:$AK$11&lt;&gt;""),--($G$12:$AK$12&lt;&gt;"Sun")))</f>
        <v/>
      </c>
      <c r="AP307" s="19"/>
      <c r="AQ307" s="20" t="str">
        <f t="shared" ref="AQ307:AQ370" si="24">IF($B307="","",IF(AO307=0,"",AM307/AO307))</f>
        <v/>
      </c>
      <c r="AR307" s="21"/>
    </row>
    <row r="308" spans="2:44" ht="31.5" x14ac:dyDescent="0.5">
      <c r="B308" s="1"/>
      <c r="C308" s="15"/>
      <c r="D308" s="16"/>
      <c r="E308" s="15"/>
      <c r="F308" s="17"/>
      <c r="G308" s="8"/>
      <c r="H308" s="8"/>
      <c r="I308" s="8"/>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4" t="s">
        <v>49</v>
      </c>
      <c r="AM308" s="5" t="str">
        <f t="shared" si="21"/>
        <v/>
      </c>
      <c r="AN308" s="5" t="str">
        <f t="shared" si="22"/>
        <v/>
      </c>
      <c r="AO308" s="18" t="str">
        <f t="shared" si="23"/>
        <v/>
      </c>
      <c r="AP308" s="19"/>
      <c r="AQ308" s="20" t="str">
        <f t="shared" si="24"/>
        <v/>
      </c>
      <c r="AR308" s="21"/>
    </row>
    <row r="309" spans="2:44" ht="31.5" x14ac:dyDescent="0.5">
      <c r="B309" s="1"/>
      <c r="C309" s="15"/>
      <c r="D309" s="16"/>
      <c r="E309" s="15"/>
      <c r="F309" s="17"/>
      <c r="G309" s="8"/>
      <c r="H309" s="8"/>
      <c r="I309" s="8"/>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4" t="s">
        <v>49</v>
      </c>
      <c r="AM309" s="5" t="str">
        <f t="shared" si="21"/>
        <v/>
      </c>
      <c r="AN309" s="5" t="str">
        <f t="shared" si="22"/>
        <v/>
      </c>
      <c r="AO309" s="18" t="str">
        <f t="shared" si="23"/>
        <v/>
      </c>
      <c r="AP309" s="19"/>
      <c r="AQ309" s="20" t="str">
        <f t="shared" si="24"/>
        <v/>
      </c>
      <c r="AR309" s="21"/>
    </row>
    <row r="310" spans="2:44" ht="31.5" x14ac:dyDescent="0.5">
      <c r="B310" s="1"/>
      <c r="C310" s="15"/>
      <c r="D310" s="16"/>
      <c r="E310" s="15"/>
      <c r="F310" s="17"/>
      <c r="G310" s="8"/>
      <c r="H310" s="8"/>
      <c r="I310" s="8"/>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4" t="s">
        <v>49</v>
      </c>
      <c r="AM310" s="5" t="str">
        <f t="shared" si="21"/>
        <v/>
      </c>
      <c r="AN310" s="5" t="str">
        <f t="shared" si="22"/>
        <v/>
      </c>
      <c r="AO310" s="18" t="str">
        <f t="shared" si="23"/>
        <v/>
      </c>
      <c r="AP310" s="19"/>
      <c r="AQ310" s="20" t="str">
        <f t="shared" si="24"/>
        <v/>
      </c>
      <c r="AR310" s="21"/>
    </row>
    <row r="311" spans="2:44" ht="31.5" x14ac:dyDescent="0.5">
      <c r="B311" s="1"/>
      <c r="C311" s="15"/>
      <c r="D311" s="16"/>
      <c r="E311" s="15"/>
      <c r="F311" s="17"/>
      <c r="G311" s="8"/>
      <c r="H311" s="8"/>
      <c r="I311" s="8"/>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4" t="s">
        <v>49</v>
      </c>
      <c r="AM311" s="5" t="str">
        <f t="shared" si="21"/>
        <v/>
      </c>
      <c r="AN311" s="5" t="str">
        <f t="shared" si="22"/>
        <v/>
      </c>
      <c r="AO311" s="18" t="str">
        <f t="shared" si="23"/>
        <v/>
      </c>
      <c r="AP311" s="19"/>
      <c r="AQ311" s="20" t="str">
        <f t="shared" si="24"/>
        <v/>
      </c>
      <c r="AR311" s="21"/>
    </row>
    <row r="312" spans="2:44" ht="31.5" x14ac:dyDescent="0.5">
      <c r="B312" s="1"/>
      <c r="C312" s="15"/>
      <c r="D312" s="16"/>
      <c r="E312" s="15"/>
      <c r="F312" s="17"/>
      <c r="G312" s="8"/>
      <c r="H312" s="8"/>
      <c r="I312" s="8"/>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4" t="s">
        <v>49</v>
      </c>
      <c r="AM312" s="5" t="str">
        <f t="shared" si="21"/>
        <v/>
      </c>
      <c r="AN312" s="5" t="str">
        <f t="shared" si="22"/>
        <v/>
      </c>
      <c r="AO312" s="18" t="str">
        <f t="shared" si="23"/>
        <v/>
      </c>
      <c r="AP312" s="19"/>
      <c r="AQ312" s="20" t="str">
        <f t="shared" si="24"/>
        <v/>
      </c>
      <c r="AR312" s="21"/>
    </row>
    <row r="313" spans="2:44" ht="31.5" x14ac:dyDescent="0.5">
      <c r="B313" s="1"/>
      <c r="C313" s="15"/>
      <c r="D313" s="16"/>
      <c r="E313" s="15"/>
      <c r="F313" s="17"/>
      <c r="G313" s="8"/>
      <c r="H313" s="8"/>
      <c r="I313" s="8"/>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4" t="s">
        <v>49</v>
      </c>
      <c r="AM313" s="5" t="str">
        <f t="shared" si="21"/>
        <v/>
      </c>
      <c r="AN313" s="5" t="str">
        <f t="shared" si="22"/>
        <v/>
      </c>
      <c r="AO313" s="18" t="str">
        <f t="shared" si="23"/>
        <v/>
      </c>
      <c r="AP313" s="19"/>
      <c r="AQ313" s="20" t="str">
        <f t="shared" si="24"/>
        <v/>
      </c>
      <c r="AR313" s="21"/>
    </row>
    <row r="314" spans="2:44" ht="31.5" x14ac:dyDescent="0.5">
      <c r="B314" s="1"/>
      <c r="C314" s="15"/>
      <c r="D314" s="16"/>
      <c r="E314" s="15"/>
      <c r="F314" s="17"/>
      <c r="G314" s="8"/>
      <c r="H314" s="8"/>
      <c r="I314" s="8"/>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4" t="s">
        <v>49</v>
      </c>
      <c r="AM314" s="5" t="str">
        <f t="shared" si="21"/>
        <v/>
      </c>
      <c r="AN314" s="5" t="str">
        <f t="shared" si="22"/>
        <v/>
      </c>
      <c r="AO314" s="18" t="str">
        <f t="shared" si="23"/>
        <v/>
      </c>
      <c r="AP314" s="19"/>
      <c r="AQ314" s="20" t="str">
        <f t="shared" si="24"/>
        <v/>
      </c>
      <c r="AR314" s="21"/>
    </row>
    <row r="315" spans="2:44" ht="31.5" x14ac:dyDescent="0.5">
      <c r="B315" s="1"/>
      <c r="C315" s="15"/>
      <c r="D315" s="16"/>
      <c r="E315" s="15"/>
      <c r="F315" s="17"/>
      <c r="G315" s="8"/>
      <c r="H315" s="8"/>
      <c r="I315" s="8"/>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4" t="s">
        <v>49</v>
      </c>
      <c r="AM315" s="5" t="str">
        <f t="shared" si="21"/>
        <v/>
      </c>
      <c r="AN315" s="5" t="str">
        <f t="shared" si="22"/>
        <v/>
      </c>
      <c r="AO315" s="18" t="str">
        <f t="shared" si="23"/>
        <v/>
      </c>
      <c r="AP315" s="19"/>
      <c r="AQ315" s="20" t="str">
        <f t="shared" si="24"/>
        <v/>
      </c>
      <c r="AR315" s="21"/>
    </row>
    <row r="316" spans="2:44" ht="31.5" x14ac:dyDescent="0.5">
      <c r="B316" s="1"/>
      <c r="C316" s="15"/>
      <c r="D316" s="16"/>
      <c r="E316" s="15"/>
      <c r="F316" s="17"/>
      <c r="G316" s="8"/>
      <c r="H316" s="8"/>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4" t="s">
        <v>49</v>
      </c>
      <c r="AM316" s="5" t="str">
        <f t="shared" si="21"/>
        <v/>
      </c>
      <c r="AN316" s="5" t="str">
        <f t="shared" si="22"/>
        <v/>
      </c>
      <c r="AO316" s="18" t="str">
        <f t="shared" si="23"/>
        <v/>
      </c>
      <c r="AP316" s="19"/>
      <c r="AQ316" s="20" t="str">
        <f t="shared" si="24"/>
        <v/>
      </c>
      <c r="AR316" s="21"/>
    </row>
    <row r="317" spans="2:44" ht="31.5" x14ac:dyDescent="0.5">
      <c r="B317" s="1"/>
      <c r="C317" s="15"/>
      <c r="D317" s="16"/>
      <c r="E317" s="15"/>
      <c r="F317" s="17"/>
      <c r="G317" s="8"/>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4" t="s">
        <v>49</v>
      </c>
      <c r="AM317" s="5" t="str">
        <f t="shared" si="21"/>
        <v/>
      </c>
      <c r="AN317" s="5" t="str">
        <f t="shared" si="22"/>
        <v/>
      </c>
      <c r="AO317" s="18" t="str">
        <f t="shared" si="23"/>
        <v/>
      </c>
      <c r="AP317" s="19"/>
      <c r="AQ317" s="20" t="str">
        <f t="shared" si="24"/>
        <v/>
      </c>
      <c r="AR317" s="21"/>
    </row>
    <row r="318" spans="2:44" ht="31.5" x14ac:dyDescent="0.5">
      <c r="B318" s="1"/>
      <c r="C318" s="15"/>
      <c r="D318" s="16"/>
      <c r="E318" s="15"/>
      <c r="F318" s="17"/>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4" t="s">
        <v>49</v>
      </c>
      <c r="AM318" s="5" t="str">
        <f t="shared" si="21"/>
        <v/>
      </c>
      <c r="AN318" s="5" t="str">
        <f t="shared" si="22"/>
        <v/>
      </c>
      <c r="AO318" s="18" t="str">
        <f t="shared" si="23"/>
        <v/>
      </c>
      <c r="AP318" s="19"/>
      <c r="AQ318" s="20" t="str">
        <f t="shared" si="24"/>
        <v/>
      </c>
      <c r="AR318" s="21"/>
    </row>
    <row r="319" spans="2:44" ht="31.5" x14ac:dyDescent="0.5">
      <c r="B319" s="1"/>
      <c r="C319" s="15"/>
      <c r="D319" s="16"/>
      <c r="E319" s="15"/>
      <c r="F319" s="17"/>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4" t="s">
        <v>49</v>
      </c>
      <c r="AM319" s="5" t="str">
        <f t="shared" si="21"/>
        <v/>
      </c>
      <c r="AN319" s="5" t="str">
        <f t="shared" si="22"/>
        <v/>
      </c>
      <c r="AO319" s="18" t="str">
        <f t="shared" si="23"/>
        <v/>
      </c>
      <c r="AP319" s="19"/>
      <c r="AQ319" s="20" t="str">
        <f t="shared" si="24"/>
        <v/>
      </c>
      <c r="AR319" s="21"/>
    </row>
    <row r="320" spans="2:44" ht="31.5" x14ac:dyDescent="0.5">
      <c r="B320" s="1"/>
      <c r="C320" s="15"/>
      <c r="D320" s="16"/>
      <c r="E320" s="15"/>
      <c r="F320" s="17"/>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4" t="s">
        <v>49</v>
      </c>
      <c r="AM320" s="5" t="str">
        <f t="shared" si="21"/>
        <v/>
      </c>
      <c r="AN320" s="5" t="str">
        <f t="shared" si="22"/>
        <v/>
      </c>
      <c r="AO320" s="18" t="str">
        <f t="shared" si="23"/>
        <v/>
      </c>
      <c r="AP320" s="19"/>
      <c r="AQ320" s="20" t="str">
        <f t="shared" si="24"/>
        <v/>
      </c>
      <c r="AR320" s="21"/>
    </row>
    <row r="321" spans="2:44" ht="31.5" x14ac:dyDescent="0.5">
      <c r="B321" s="1"/>
      <c r="C321" s="15"/>
      <c r="D321" s="16"/>
      <c r="E321" s="15"/>
      <c r="F321" s="17"/>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4" t="s">
        <v>49</v>
      </c>
      <c r="AM321" s="5" t="str">
        <f t="shared" si="21"/>
        <v/>
      </c>
      <c r="AN321" s="5" t="str">
        <f t="shared" si="22"/>
        <v/>
      </c>
      <c r="AO321" s="18" t="str">
        <f t="shared" si="23"/>
        <v/>
      </c>
      <c r="AP321" s="19"/>
      <c r="AQ321" s="20" t="str">
        <f t="shared" si="24"/>
        <v/>
      </c>
      <c r="AR321" s="21"/>
    </row>
    <row r="322" spans="2:44" ht="31.5" x14ac:dyDescent="0.5">
      <c r="B322" s="1"/>
      <c r="C322" s="15"/>
      <c r="D322" s="16"/>
      <c r="E322" s="15"/>
      <c r="F322" s="17"/>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4" t="s">
        <v>49</v>
      </c>
      <c r="AM322" s="5" t="str">
        <f t="shared" si="21"/>
        <v/>
      </c>
      <c r="AN322" s="5" t="str">
        <f t="shared" si="22"/>
        <v/>
      </c>
      <c r="AO322" s="18" t="str">
        <f t="shared" si="23"/>
        <v/>
      </c>
      <c r="AP322" s="19"/>
      <c r="AQ322" s="20" t="str">
        <f t="shared" si="24"/>
        <v/>
      </c>
      <c r="AR322" s="21"/>
    </row>
    <row r="323" spans="2:44" ht="31.5" x14ac:dyDescent="0.5">
      <c r="B323" s="1"/>
      <c r="C323" s="15"/>
      <c r="D323" s="16"/>
      <c r="E323" s="15"/>
      <c r="F323" s="17"/>
      <c r="G323" s="8"/>
      <c r="H323" s="8"/>
      <c r="I323" s="8"/>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4" t="s">
        <v>49</v>
      </c>
      <c r="AM323" s="5" t="str">
        <f t="shared" si="21"/>
        <v/>
      </c>
      <c r="AN323" s="5" t="str">
        <f t="shared" si="22"/>
        <v/>
      </c>
      <c r="AO323" s="18" t="str">
        <f t="shared" si="23"/>
        <v/>
      </c>
      <c r="AP323" s="19"/>
      <c r="AQ323" s="20" t="str">
        <f t="shared" si="24"/>
        <v/>
      </c>
      <c r="AR323" s="21"/>
    </row>
    <row r="324" spans="2:44" ht="31.5" x14ac:dyDescent="0.5">
      <c r="B324" s="1"/>
      <c r="C324" s="15"/>
      <c r="D324" s="16"/>
      <c r="E324" s="15"/>
      <c r="F324" s="17"/>
      <c r="G324" s="8"/>
      <c r="H324" s="8"/>
      <c r="I324" s="8"/>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4" t="s">
        <v>49</v>
      </c>
      <c r="AM324" s="5" t="str">
        <f t="shared" si="21"/>
        <v/>
      </c>
      <c r="AN324" s="5" t="str">
        <f t="shared" si="22"/>
        <v/>
      </c>
      <c r="AO324" s="18" t="str">
        <f t="shared" si="23"/>
        <v/>
      </c>
      <c r="AP324" s="19"/>
      <c r="AQ324" s="20" t="str">
        <f t="shared" si="24"/>
        <v/>
      </c>
      <c r="AR324" s="21"/>
    </row>
    <row r="325" spans="2:44" ht="31.5" x14ac:dyDescent="0.5">
      <c r="B325" s="1"/>
      <c r="C325" s="15"/>
      <c r="D325" s="16"/>
      <c r="E325" s="15"/>
      <c r="F325" s="17"/>
      <c r="G325" s="8"/>
      <c r="H325" s="8"/>
      <c r="I325" s="8"/>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4" t="s">
        <v>49</v>
      </c>
      <c r="AM325" s="5" t="str">
        <f t="shared" si="21"/>
        <v/>
      </c>
      <c r="AN325" s="5" t="str">
        <f t="shared" si="22"/>
        <v/>
      </c>
      <c r="AO325" s="18" t="str">
        <f t="shared" si="23"/>
        <v/>
      </c>
      <c r="AP325" s="19"/>
      <c r="AQ325" s="20" t="str">
        <f t="shared" si="24"/>
        <v/>
      </c>
      <c r="AR325" s="21"/>
    </row>
    <row r="326" spans="2:44" ht="31.5" x14ac:dyDescent="0.5">
      <c r="B326" s="1"/>
      <c r="C326" s="15"/>
      <c r="D326" s="16"/>
      <c r="E326" s="15"/>
      <c r="F326" s="17"/>
      <c r="G326" s="8"/>
      <c r="H326" s="8"/>
      <c r="I326" s="8"/>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4" t="s">
        <v>49</v>
      </c>
      <c r="AM326" s="5" t="str">
        <f t="shared" si="21"/>
        <v/>
      </c>
      <c r="AN326" s="5" t="str">
        <f t="shared" si="22"/>
        <v/>
      </c>
      <c r="AO326" s="18" t="str">
        <f t="shared" si="23"/>
        <v/>
      </c>
      <c r="AP326" s="19"/>
      <c r="AQ326" s="20" t="str">
        <f t="shared" si="24"/>
        <v/>
      </c>
      <c r="AR326" s="21"/>
    </row>
    <row r="327" spans="2:44" ht="31.5" x14ac:dyDescent="0.5">
      <c r="B327" s="1"/>
      <c r="C327" s="15"/>
      <c r="D327" s="16"/>
      <c r="E327" s="15"/>
      <c r="F327" s="17"/>
      <c r="G327" s="8"/>
      <c r="H327" s="8"/>
      <c r="I327" s="8"/>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4" t="s">
        <v>49</v>
      </c>
      <c r="AM327" s="5" t="str">
        <f t="shared" si="21"/>
        <v/>
      </c>
      <c r="AN327" s="5" t="str">
        <f t="shared" si="22"/>
        <v/>
      </c>
      <c r="AO327" s="18" t="str">
        <f t="shared" si="23"/>
        <v/>
      </c>
      <c r="AP327" s="19"/>
      <c r="AQ327" s="20" t="str">
        <f t="shared" si="24"/>
        <v/>
      </c>
      <c r="AR327" s="21"/>
    </row>
    <row r="328" spans="2:44" ht="31.5" x14ac:dyDescent="0.5">
      <c r="B328" s="1"/>
      <c r="C328" s="15"/>
      <c r="D328" s="16"/>
      <c r="E328" s="15"/>
      <c r="F328" s="17"/>
      <c r="G328" s="8"/>
      <c r="H328" s="8"/>
      <c r="I328" s="8"/>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4" t="s">
        <v>49</v>
      </c>
      <c r="AM328" s="5" t="str">
        <f t="shared" si="21"/>
        <v/>
      </c>
      <c r="AN328" s="5" t="str">
        <f t="shared" si="22"/>
        <v/>
      </c>
      <c r="AO328" s="18" t="str">
        <f t="shared" si="23"/>
        <v/>
      </c>
      <c r="AP328" s="19"/>
      <c r="AQ328" s="20" t="str">
        <f t="shared" si="24"/>
        <v/>
      </c>
      <c r="AR328" s="21"/>
    </row>
    <row r="329" spans="2:44" ht="31.5" x14ac:dyDescent="0.5">
      <c r="B329" s="1"/>
      <c r="C329" s="15"/>
      <c r="D329" s="16"/>
      <c r="E329" s="15"/>
      <c r="F329" s="17"/>
      <c r="G329" s="8"/>
      <c r="H329" s="8"/>
      <c r="I329" s="8"/>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4" t="s">
        <v>49</v>
      </c>
      <c r="AM329" s="5" t="str">
        <f t="shared" si="21"/>
        <v/>
      </c>
      <c r="AN329" s="5" t="str">
        <f t="shared" si="22"/>
        <v/>
      </c>
      <c r="AO329" s="18" t="str">
        <f t="shared" si="23"/>
        <v/>
      </c>
      <c r="AP329" s="19"/>
      <c r="AQ329" s="20" t="str">
        <f t="shared" si="24"/>
        <v/>
      </c>
      <c r="AR329" s="21"/>
    </row>
    <row r="330" spans="2:44" ht="31.5" x14ac:dyDescent="0.5">
      <c r="B330" s="1"/>
      <c r="C330" s="15"/>
      <c r="D330" s="16"/>
      <c r="E330" s="15"/>
      <c r="F330" s="17"/>
      <c r="G330" s="8"/>
      <c r="H330" s="8"/>
      <c r="I330" s="8"/>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4" t="s">
        <v>49</v>
      </c>
      <c r="AM330" s="5" t="str">
        <f t="shared" si="21"/>
        <v/>
      </c>
      <c r="AN330" s="5" t="str">
        <f t="shared" si="22"/>
        <v/>
      </c>
      <c r="AO330" s="18" t="str">
        <f t="shared" si="23"/>
        <v/>
      </c>
      <c r="AP330" s="19"/>
      <c r="AQ330" s="20" t="str">
        <f t="shared" si="24"/>
        <v/>
      </c>
      <c r="AR330" s="21"/>
    </row>
    <row r="331" spans="2:44" ht="31.5" x14ac:dyDescent="0.5">
      <c r="B331" s="1"/>
      <c r="C331" s="15"/>
      <c r="D331" s="16"/>
      <c r="E331" s="15"/>
      <c r="F331" s="17"/>
      <c r="G331" s="8"/>
      <c r="H331" s="8"/>
      <c r="I331" s="8"/>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4" t="s">
        <v>49</v>
      </c>
      <c r="AM331" s="5" t="str">
        <f t="shared" si="21"/>
        <v/>
      </c>
      <c r="AN331" s="5" t="str">
        <f t="shared" si="22"/>
        <v/>
      </c>
      <c r="AO331" s="18" t="str">
        <f t="shared" si="23"/>
        <v/>
      </c>
      <c r="AP331" s="19"/>
      <c r="AQ331" s="20" t="str">
        <f t="shared" si="24"/>
        <v/>
      </c>
      <c r="AR331" s="21"/>
    </row>
    <row r="332" spans="2:44" ht="31.5" x14ac:dyDescent="0.5">
      <c r="B332" s="1"/>
      <c r="C332" s="15"/>
      <c r="D332" s="16"/>
      <c r="E332" s="15"/>
      <c r="F332" s="17"/>
      <c r="G332" s="8"/>
      <c r="H332" s="8"/>
      <c r="I332" s="8"/>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4" t="s">
        <v>49</v>
      </c>
      <c r="AM332" s="5" t="str">
        <f t="shared" si="21"/>
        <v/>
      </c>
      <c r="AN332" s="5" t="str">
        <f t="shared" si="22"/>
        <v/>
      </c>
      <c r="AO332" s="18" t="str">
        <f t="shared" si="23"/>
        <v/>
      </c>
      <c r="AP332" s="19"/>
      <c r="AQ332" s="20" t="str">
        <f t="shared" si="24"/>
        <v/>
      </c>
      <c r="AR332" s="21"/>
    </row>
    <row r="333" spans="2:44" ht="31.5" x14ac:dyDescent="0.5">
      <c r="B333" s="1"/>
      <c r="C333" s="15"/>
      <c r="D333" s="16"/>
      <c r="E333" s="15"/>
      <c r="F333" s="17"/>
      <c r="G333" s="8"/>
      <c r="H333" s="8"/>
      <c r="I333" s="8"/>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4" t="s">
        <v>49</v>
      </c>
      <c r="AM333" s="5" t="str">
        <f t="shared" si="21"/>
        <v/>
      </c>
      <c r="AN333" s="5" t="str">
        <f t="shared" si="22"/>
        <v/>
      </c>
      <c r="AO333" s="18" t="str">
        <f t="shared" si="23"/>
        <v/>
      </c>
      <c r="AP333" s="19"/>
      <c r="AQ333" s="20" t="str">
        <f t="shared" si="24"/>
        <v/>
      </c>
      <c r="AR333" s="21"/>
    </row>
    <row r="334" spans="2:44" ht="31.5" x14ac:dyDescent="0.5">
      <c r="B334" s="1"/>
      <c r="C334" s="15"/>
      <c r="D334" s="16"/>
      <c r="E334" s="15"/>
      <c r="F334" s="17"/>
      <c r="G334" s="8"/>
      <c r="H334" s="8"/>
      <c r="I334" s="8"/>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4" t="s">
        <v>49</v>
      </c>
      <c r="AM334" s="5" t="str">
        <f t="shared" si="21"/>
        <v/>
      </c>
      <c r="AN334" s="5" t="str">
        <f t="shared" si="22"/>
        <v/>
      </c>
      <c r="AO334" s="18" t="str">
        <f t="shared" si="23"/>
        <v/>
      </c>
      <c r="AP334" s="19"/>
      <c r="AQ334" s="20" t="str">
        <f t="shared" si="24"/>
        <v/>
      </c>
      <c r="AR334" s="21"/>
    </row>
    <row r="335" spans="2:44" ht="31.5" x14ac:dyDescent="0.5">
      <c r="B335" s="1"/>
      <c r="C335" s="15"/>
      <c r="D335" s="16"/>
      <c r="E335" s="15"/>
      <c r="F335" s="17"/>
      <c r="G335" s="8"/>
      <c r="H335" s="8"/>
      <c r="I335" s="8"/>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4" t="s">
        <v>49</v>
      </c>
      <c r="AM335" s="5" t="str">
        <f t="shared" si="21"/>
        <v/>
      </c>
      <c r="AN335" s="5" t="str">
        <f t="shared" si="22"/>
        <v/>
      </c>
      <c r="AO335" s="18" t="str">
        <f t="shared" si="23"/>
        <v/>
      </c>
      <c r="AP335" s="19"/>
      <c r="AQ335" s="20" t="str">
        <f t="shared" si="24"/>
        <v/>
      </c>
      <c r="AR335" s="21"/>
    </row>
    <row r="336" spans="2:44" ht="31.5" x14ac:dyDescent="0.5">
      <c r="B336" s="1"/>
      <c r="C336" s="15"/>
      <c r="D336" s="16"/>
      <c r="E336" s="15"/>
      <c r="F336" s="17"/>
      <c r="G336" s="8"/>
      <c r="H336" s="8"/>
      <c r="I336" s="8"/>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4" t="s">
        <v>49</v>
      </c>
      <c r="AM336" s="5" t="str">
        <f t="shared" si="21"/>
        <v/>
      </c>
      <c r="AN336" s="5" t="str">
        <f t="shared" si="22"/>
        <v/>
      </c>
      <c r="AO336" s="18" t="str">
        <f t="shared" si="23"/>
        <v/>
      </c>
      <c r="AP336" s="19"/>
      <c r="AQ336" s="20" t="str">
        <f t="shared" si="24"/>
        <v/>
      </c>
      <c r="AR336" s="21"/>
    </row>
    <row r="337" spans="2:44" ht="31.5" x14ac:dyDescent="0.5">
      <c r="B337" s="1"/>
      <c r="C337" s="15"/>
      <c r="D337" s="16"/>
      <c r="E337" s="15"/>
      <c r="F337" s="17"/>
      <c r="G337" s="8"/>
      <c r="H337" s="8"/>
      <c r="I337" s="8"/>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4" t="s">
        <v>49</v>
      </c>
      <c r="AM337" s="5" t="str">
        <f t="shared" si="21"/>
        <v/>
      </c>
      <c r="AN337" s="5" t="str">
        <f t="shared" si="22"/>
        <v/>
      </c>
      <c r="AO337" s="18" t="str">
        <f t="shared" si="23"/>
        <v/>
      </c>
      <c r="AP337" s="19"/>
      <c r="AQ337" s="20" t="str">
        <f t="shared" si="24"/>
        <v/>
      </c>
      <c r="AR337" s="21"/>
    </row>
    <row r="338" spans="2:44" ht="31.5" x14ac:dyDescent="0.5">
      <c r="B338" s="1"/>
      <c r="C338" s="15"/>
      <c r="D338" s="16"/>
      <c r="E338" s="15"/>
      <c r="F338" s="17"/>
      <c r="G338" s="8"/>
      <c r="H338" s="8"/>
      <c r="I338" s="8"/>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4" t="s">
        <v>49</v>
      </c>
      <c r="AM338" s="5" t="str">
        <f t="shared" si="21"/>
        <v/>
      </c>
      <c r="AN338" s="5" t="str">
        <f t="shared" si="22"/>
        <v/>
      </c>
      <c r="AO338" s="18" t="str">
        <f t="shared" si="23"/>
        <v/>
      </c>
      <c r="AP338" s="19"/>
      <c r="AQ338" s="20" t="str">
        <f t="shared" si="24"/>
        <v/>
      </c>
      <c r="AR338" s="21"/>
    </row>
    <row r="339" spans="2:44" ht="31.5" x14ac:dyDescent="0.5">
      <c r="B339" s="1"/>
      <c r="C339" s="15"/>
      <c r="D339" s="16"/>
      <c r="E339" s="15"/>
      <c r="F339" s="17"/>
      <c r="G339" s="8"/>
      <c r="H339" s="8"/>
      <c r="I339" s="8"/>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4" t="s">
        <v>49</v>
      </c>
      <c r="AM339" s="5" t="str">
        <f t="shared" si="21"/>
        <v/>
      </c>
      <c r="AN339" s="5" t="str">
        <f t="shared" si="22"/>
        <v/>
      </c>
      <c r="AO339" s="18" t="str">
        <f t="shared" si="23"/>
        <v/>
      </c>
      <c r="AP339" s="19"/>
      <c r="AQ339" s="20" t="str">
        <f t="shared" si="24"/>
        <v/>
      </c>
      <c r="AR339" s="21"/>
    </row>
    <row r="340" spans="2:44" ht="31.5" x14ac:dyDescent="0.5">
      <c r="B340" s="1"/>
      <c r="C340" s="15"/>
      <c r="D340" s="16"/>
      <c r="E340" s="15"/>
      <c r="F340" s="17"/>
      <c r="G340" s="8"/>
      <c r="H340" s="8"/>
      <c r="I340" s="8"/>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4" t="s">
        <v>49</v>
      </c>
      <c r="AM340" s="5" t="str">
        <f t="shared" si="21"/>
        <v/>
      </c>
      <c r="AN340" s="5" t="str">
        <f t="shared" si="22"/>
        <v/>
      </c>
      <c r="AO340" s="18" t="str">
        <f t="shared" si="23"/>
        <v/>
      </c>
      <c r="AP340" s="19"/>
      <c r="AQ340" s="20" t="str">
        <f t="shared" si="24"/>
        <v/>
      </c>
      <c r="AR340" s="21"/>
    </row>
    <row r="341" spans="2:44" ht="31.5" x14ac:dyDescent="0.5">
      <c r="B341" s="1"/>
      <c r="C341" s="15"/>
      <c r="D341" s="16"/>
      <c r="E341" s="15"/>
      <c r="F341" s="17"/>
      <c r="G341" s="8"/>
      <c r="H341" s="8"/>
      <c r="I341" s="8"/>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4" t="s">
        <v>49</v>
      </c>
      <c r="AM341" s="5" t="str">
        <f t="shared" si="21"/>
        <v/>
      </c>
      <c r="AN341" s="5" t="str">
        <f t="shared" si="22"/>
        <v/>
      </c>
      <c r="AO341" s="18" t="str">
        <f t="shared" si="23"/>
        <v/>
      </c>
      <c r="AP341" s="19"/>
      <c r="AQ341" s="20" t="str">
        <f t="shared" si="24"/>
        <v/>
      </c>
      <c r="AR341" s="21"/>
    </row>
    <row r="342" spans="2:44" ht="31.5" x14ac:dyDescent="0.5">
      <c r="B342" s="1"/>
      <c r="C342" s="15"/>
      <c r="D342" s="16"/>
      <c r="E342" s="15"/>
      <c r="F342" s="17"/>
      <c r="G342" s="8"/>
      <c r="H342" s="8"/>
      <c r="I342" s="8"/>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4" t="s">
        <v>49</v>
      </c>
      <c r="AM342" s="5" t="str">
        <f t="shared" si="21"/>
        <v/>
      </c>
      <c r="AN342" s="5" t="str">
        <f t="shared" si="22"/>
        <v/>
      </c>
      <c r="AO342" s="18" t="str">
        <f t="shared" si="23"/>
        <v/>
      </c>
      <c r="AP342" s="19"/>
      <c r="AQ342" s="20" t="str">
        <f t="shared" si="24"/>
        <v/>
      </c>
      <c r="AR342" s="21"/>
    </row>
    <row r="343" spans="2:44" ht="31.5" x14ac:dyDescent="0.5">
      <c r="B343" s="1"/>
      <c r="C343" s="15"/>
      <c r="D343" s="16"/>
      <c r="E343" s="15"/>
      <c r="F343" s="17"/>
      <c r="G343" s="8"/>
      <c r="H343" s="8"/>
      <c r="I343" s="8"/>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4" t="s">
        <v>49</v>
      </c>
      <c r="AM343" s="5" t="str">
        <f t="shared" si="21"/>
        <v/>
      </c>
      <c r="AN343" s="5" t="str">
        <f t="shared" si="22"/>
        <v/>
      </c>
      <c r="AO343" s="18" t="str">
        <f t="shared" si="23"/>
        <v/>
      </c>
      <c r="AP343" s="19"/>
      <c r="AQ343" s="20" t="str">
        <f t="shared" si="24"/>
        <v/>
      </c>
      <c r="AR343" s="21"/>
    </row>
    <row r="344" spans="2:44" ht="31.5" x14ac:dyDescent="0.5">
      <c r="B344" s="1"/>
      <c r="C344" s="15"/>
      <c r="D344" s="16"/>
      <c r="E344" s="15"/>
      <c r="F344" s="17"/>
      <c r="G344" s="8"/>
      <c r="H344" s="8"/>
      <c r="I344" s="8"/>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4" t="s">
        <v>49</v>
      </c>
      <c r="AM344" s="5" t="str">
        <f t="shared" si="21"/>
        <v/>
      </c>
      <c r="AN344" s="5" t="str">
        <f t="shared" si="22"/>
        <v/>
      </c>
      <c r="AO344" s="18" t="str">
        <f t="shared" si="23"/>
        <v/>
      </c>
      <c r="AP344" s="19"/>
      <c r="AQ344" s="20" t="str">
        <f t="shared" si="24"/>
        <v/>
      </c>
      <c r="AR344" s="21"/>
    </row>
    <row r="345" spans="2:44" ht="31.5" x14ac:dyDescent="0.5">
      <c r="B345" s="1"/>
      <c r="C345" s="15"/>
      <c r="D345" s="16"/>
      <c r="E345" s="15"/>
      <c r="F345" s="17"/>
      <c r="G345" s="8"/>
      <c r="H345" s="8"/>
      <c r="I345" s="8"/>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4" t="s">
        <v>49</v>
      </c>
      <c r="AM345" s="5" t="str">
        <f t="shared" si="21"/>
        <v/>
      </c>
      <c r="AN345" s="5" t="str">
        <f t="shared" si="22"/>
        <v/>
      </c>
      <c r="AO345" s="18" t="str">
        <f t="shared" si="23"/>
        <v/>
      </c>
      <c r="AP345" s="19"/>
      <c r="AQ345" s="20" t="str">
        <f t="shared" si="24"/>
        <v/>
      </c>
      <c r="AR345" s="21"/>
    </row>
    <row r="346" spans="2:44" ht="31.5" x14ac:dyDescent="0.5">
      <c r="B346" s="1"/>
      <c r="C346" s="15"/>
      <c r="D346" s="16"/>
      <c r="E346" s="15"/>
      <c r="F346" s="17"/>
      <c r="G346" s="8"/>
      <c r="H346" s="8"/>
      <c r="I346" s="8"/>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4" t="s">
        <v>49</v>
      </c>
      <c r="AM346" s="5" t="str">
        <f t="shared" si="21"/>
        <v/>
      </c>
      <c r="AN346" s="5" t="str">
        <f t="shared" si="22"/>
        <v/>
      </c>
      <c r="AO346" s="18" t="str">
        <f t="shared" si="23"/>
        <v/>
      </c>
      <c r="AP346" s="19"/>
      <c r="AQ346" s="20" t="str">
        <f t="shared" si="24"/>
        <v/>
      </c>
      <c r="AR346" s="21"/>
    </row>
    <row r="347" spans="2:44" ht="31.5" x14ac:dyDescent="0.5">
      <c r="B347" s="1"/>
      <c r="C347" s="15"/>
      <c r="D347" s="16"/>
      <c r="E347" s="15"/>
      <c r="F347" s="17"/>
      <c r="G347" s="8"/>
      <c r="H347" s="8"/>
      <c r="I347" s="8"/>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4" t="s">
        <v>49</v>
      </c>
      <c r="AM347" s="5" t="str">
        <f t="shared" si="21"/>
        <v/>
      </c>
      <c r="AN347" s="5" t="str">
        <f t="shared" si="22"/>
        <v/>
      </c>
      <c r="AO347" s="18" t="str">
        <f t="shared" si="23"/>
        <v/>
      </c>
      <c r="AP347" s="19"/>
      <c r="AQ347" s="20" t="str">
        <f t="shared" si="24"/>
        <v/>
      </c>
      <c r="AR347" s="21"/>
    </row>
    <row r="348" spans="2:44" ht="31.5" x14ac:dyDescent="0.5">
      <c r="B348" s="1"/>
      <c r="C348" s="15"/>
      <c r="D348" s="16"/>
      <c r="E348" s="15"/>
      <c r="F348" s="17"/>
      <c r="G348" s="8"/>
      <c r="H348" s="8"/>
      <c r="I348" s="8"/>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4" t="s">
        <v>49</v>
      </c>
      <c r="AM348" s="5" t="str">
        <f t="shared" si="21"/>
        <v/>
      </c>
      <c r="AN348" s="5" t="str">
        <f t="shared" si="22"/>
        <v/>
      </c>
      <c r="AO348" s="18" t="str">
        <f t="shared" si="23"/>
        <v/>
      </c>
      <c r="AP348" s="19"/>
      <c r="AQ348" s="20" t="str">
        <f t="shared" si="24"/>
        <v/>
      </c>
      <c r="AR348" s="21"/>
    </row>
    <row r="349" spans="2:44" ht="31.5" x14ac:dyDescent="0.5">
      <c r="B349" s="1"/>
      <c r="C349" s="15"/>
      <c r="D349" s="16"/>
      <c r="E349" s="15"/>
      <c r="F349" s="17"/>
      <c r="G349" s="8"/>
      <c r="H349" s="8"/>
      <c r="I349" s="8"/>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4" t="s">
        <v>49</v>
      </c>
      <c r="AM349" s="5" t="str">
        <f t="shared" si="21"/>
        <v/>
      </c>
      <c r="AN349" s="5" t="str">
        <f t="shared" si="22"/>
        <v/>
      </c>
      <c r="AO349" s="18" t="str">
        <f t="shared" si="23"/>
        <v/>
      </c>
      <c r="AP349" s="19"/>
      <c r="AQ349" s="20" t="str">
        <f t="shared" si="24"/>
        <v/>
      </c>
      <c r="AR349" s="21"/>
    </row>
    <row r="350" spans="2:44" ht="31.5" x14ac:dyDescent="0.5">
      <c r="B350" s="1"/>
      <c r="C350" s="15"/>
      <c r="D350" s="16"/>
      <c r="E350" s="15"/>
      <c r="F350" s="17"/>
      <c r="G350" s="8"/>
      <c r="H350" s="8"/>
      <c r="I350" s="8"/>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4" t="s">
        <v>49</v>
      </c>
      <c r="AM350" s="5" t="str">
        <f t="shared" si="21"/>
        <v/>
      </c>
      <c r="AN350" s="5" t="str">
        <f t="shared" si="22"/>
        <v/>
      </c>
      <c r="AO350" s="18" t="str">
        <f t="shared" si="23"/>
        <v/>
      </c>
      <c r="AP350" s="19"/>
      <c r="AQ350" s="20" t="str">
        <f t="shared" si="24"/>
        <v/>
      </c>
      <c r="AR350" s="21"/>
    </row>
    <row r="351" spans="2:44" ht="31.5" x14ac:dyDescent="0.5">
      <c r="B351" s="1"/>
      <c r="C351" s="15"/>
      <c r="D351" s="16"/>
      <c r="E351" s="15"/>
      <c r="F351" s="17"/>
      <c r="G351" s="8"/>
      <c r="H351" s="8"/>
      <c r="I351" s="8"/>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4" t="s">
        <v>49</v>
      </c>
      <c r="AM351" s="5" t="str">
        <f t="shared" si="21"/>
        <v/>
      </c>
      <c r="AN351" s="5" t="str">
        <f t="shared" si="22"/>
        <v/>
      </c>
      <c r="AO351" s="18" t="str">
        <f t="shared" si="23"/>
        <v/>
      </c>
      <c r="AP351" s="19"/>
      <c r="AQ351" s="20" t="str">
        <f t="shared" si="24"/>
        <v/>
      </c>
      <c r="AR351" s="21"/>
    </row>
    <row r="352" spans="2:44" ht="31.5" x14ac:dyDescent="0.5">
      <c r="B352" s="1"/>
      <c r="C352" s="15"/>
      <c r="D352" s="16"/>
      <c r="E352" s="15"/>
      <c r="F352" s="17"/>
      <c r="G352" s="8"/>
      <c r="H352" s="8"/>
      <c r="I352" s="8"/>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4" t="s">
        <v>49</v>
      </c>
      <c r="AM352" s="5" t="str">
        <f t="shared" si="21"/>
        <v/>
      </c>
      <c r="AN352" s="5" t="str">
        <f t="shared" si="22"/>
        <v/>
      </c>
      <c r="AO352" s="18" t="str">
        <f t="shared" si="23"/>
        <v/>
      </c>
      <c r="AP352" s="19"/>
      <c r="AQ352" s="20" t="str">
        <f t="shared" si="24"/>
        <v/>
      </c>
      <c r="AR352" s="21"/>
    </row>
    <row r="353" spans="2:44" ht="31.5" x14ac:dyDescent="0.5">
      <c r="B353" s="1"/>
      <c r="C353" s="15"/>
      <c r="D353" s="16"/>
      <c r="E353" s="15"/>
      <c r="F353" s="17"/>
      <c r="G353" s="8"/>
      <c r="H353" s="8"/>
      <c r="I353" s="8"/>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4" t="s">
        <v>49</v>
      </c>
      <c r="AM353" s="5" t="str">
        <f t="shared" si="21"/>
        <v/>
      </c>
      <c r="AN353" s="5" t="str">
        <f t="shared" si="22"/>
        <v/>
      </c>
      <c r="AO353" s="18" t="str">
        <f t="shared" si="23"/>
        <v/>
      </c>
      <c r="AP353" s="19"/>
      <c r="AQ353" s="20" t="str">
        <f t="shared" si="24"/>
        <v/>
      </c>
      <c r="AR353" s="21"/>
    </row>
    <row r="354" spans="2:44" ht="31.5" x14ac:dyDescent="0.5">
      <c r="B354" s="1"/>
      <c r="C354" s="15"/>
      <c r="D354" s="16"/>
      <c r="E354" s="15"/>
      <c r="F354" s="17"/>
      <c r="G354" s="8"/>
      <c r="H354" s="8"/>
      <c r="I354" s="8"/>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4" t="s">
        <v>49</v>
      </c>
      <c r="AM354" s="5" t="str">
        <f t="shared" si="21"/>
        <v/>
      </c>
      <c r="AN354" s="5" t="str">
        <f t="shared" si="22"/>
        <v/>
      </c>
      <c r="AO354" s="18" t="str">
        <f t="shared" si="23"/>
        <v/>
      </c>
      <c r="AP354" s="19"/>
      <c r="AQ354" s="20" t="str">
        <f t="shared" si="24"/>
        <v/>
      </c>
      <c r="AR354" s="21"/>
    </row>
    <row r="355" spans="2:44" ht="31.5" x14ac:dyDescent="0.5">
      <c r="B355" s="1"/>
      <c r="C355" s="15"/>
      <c r="D355" s="16"/>
      <c r="E355" s="15"/>
      <c r="F355" s="17"/>
      <c r="G355" s="8"/>
      <c r="H355" s="8"/>
      <c r="I355" s="8"/>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4" t="s">
        <v>49</v>
      </c>
      <c r="AM355" s="5" t="str">
        <f t="shared" si="21"/>
        <v/>
      </c>
      <c r="AN355" s="5" t="str">
        <f t="shared" si="22"/>
        <v/>
      </c>
      <c r="AO355" s="18" t="str">
        <f t="shared" si="23"/>
        <v/>
      </c>
      <c r="AP355" s="19"/>
      <c r="AQ355" s="20" t="str">
        <f t="shared" si="24"/>
        <v/>
      </c>
      <c r="AR355" s="21"/>
    </row>
    <row r="356" spans="2:44" ht="31.5" x14ac:dyDescent="0.5">
      <c r="B356" s="1"/>
      <c r="C356" s="15"/>
      <c r="D356" s="16"/>
      <c r="E356" s="15"/>
      <c r="F356" s="17"/>
      <c r="G356" s="8"/>
      <c r="H356" s="8"/>
      <c r="I356" s="8"/>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4" t="s">
        <v>49</v>
      </c>
      <c r="AM356" s="5" t="str">
        <f t="shared" si="21"/>
        <v/>
      </c>
      <c r="AN356" s="5" t="str">
        <f t="shared" si="22"/>
        <v/>
      </c>
      <c r="AO356" s="18" t="str">
        <f t="shared" si="23"/>
        <v/>
      </c>
      <c r="AP356" s="19"/>
      <c r="AQ356" s="20" t="str">
        <f t="shared" si="24"/>
        <v/>
      </c>
      <c r="AR356" s="21"/>
    </row>
    <row r="357" spans="2:44" ht="31.5" x14ac:dyDescent="0.5">
      <c r="B357" s="1"/>
      <c r="C357" s="15"/>
      <c r="D357" s="16"/>
      <c r="E357" s="15"/>
      <c r="F357" s="17"/>
      <c r="G357" s="8"/>
      <c r="H357" s="8"/>
      <c r="I357" s="8"/>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4" t="s">
        <v>49</v>
      </c>
      <c r="AM357" s="5" t="str">
        <f t="shared" si="21"/>
        <v/>
      </c>
      <c r="AN357" s="5" t="str">
        <f t="shared" si="22"/>
        <v/>
      </c>
      <c r="AO357" s="18" t="str">
        <f t="shared" si="23"/>
        <v/>
      </c>
      <c r="AP357" s="19"/>
      <c r="AQ357" s="20" t="str">
        <f t="shared" si="24"/>
        <v/>
      </c>
      <c r="AR357" s="21"/>
    </row>
    <row r="358" spans="2:44" ht="31.5" x14ac:dyDescent="0.5">
      <c r="B358" s="1"/>
      <c r="C358" s="15"/>
      <c r="D358" s="16"/>
      <c r="E358" s="15"/>
      <c r="F358" s="17"/>
      <c r="G358" s="8"/>
      <c r="H358" s="8"/>
      <c r="I358" s="8"/>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4" t="s">
        <v>49</v>
      </c>
      <c r="AM358" s="5" t="str">
        <f t="shared" si="21"/>
        <v/>
      </c>
      <c r="AN358" s="5" t="str">
        <f t="shared" si="22"/>
        <v/>
      </c>
      <c r="AO358" s="18" t="str">
        <f t="shared" si="23"/>
        <v/>
      </c>
      <c r="AP358" s="19"/>
      <c r="AQ358" s="20" t="str">
        <f t="shared" si="24"/>
        <v/>
      </c>
      <c r="AR358" s="21"/>
    </row>
    <row r="359" spans="2:44" ht="31.5" x14ac:dyDescent="0.5">
      <c r="B359" s="1"/>
      <c r="C359" s="15"/>
      <c r="D359" s="16"/>
      <c r="E359" s="15"/>
      <c r="F359" s="17"/>
      <c r="G359" s="8"/>
      <c r="H359" s="8"/>
      <c r="I359" s="8"/>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4" t="s">
        <v>49</v>
      </c>
      <c r="AM359" s="5" t="str">
        <f t="shared" si="21"/>
        <v/>
      </c>
      <c r="AN359" s="5" t="str">
        <f t="shared" si="22"/>
        <v/>
      </c>
      <c r="AO359" s="18" t="str">
        <f t="shared" si="23"/>
        <v/>
      </c>
      <c r="AP359" s="19"/>
      <c r="AQ359" s="20" t="str">
        <f t="shared" si="24"/>
        <v/>
      </c>
      <c r="AR359" s="21"/>
    </row>
    <row r="360" spans="2:44" ht="31.5" x14ac:dyDescent="0.5">
      <c r="B360" s="1"/>
      <c r="C360" s="15"/>
      <c r="D360" s="16"/>
      <c r="E360" s="15"/>
      <c r="F360" s="17"/>
      <c r="G360" s="8"/>
      <c r="H360" s="8"/>
      <c r="I360" s="8"/>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4" t="s">
        <v>49</v>
      </c>
      <c r="AM360" s="5" t="str">
        <f t="shared" si="21"/>
        <v/>
      </c>
      <c r="AN360" s="5" t="str">
        <f t="shared" si="22"/>
        <v/>
      </c>
      <c r="AO360" s="18" t="str">
        <f t="shared" si="23"/>
        <v/>
      </c>
      <c r="AP360" s="19"/>
      <c r="AQ360" s="20" t="str">
        <f t="shared" si="24"/>
        <v/>
      </c>
      <c r="AR360" s="21"/>
    </row>
    <row r="361" spans="2:44" ht="31.5" x14ac:dyDescent="0.5">
      <c r="B361" s="1"/>
      <c r="C361" s="15"/>
      <c r="D361" s="16"/>
      <c r="E361" s="15"/>
      <c r="F361" s="17"/>
      <c r="G361" s="8"/>
      <c r="H361" s="8"/>
      <c r="I361" s="8"/>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4" t="s">
        <v>49</v>
      </c>
      <c r="AM361" s="5" t="str">
        <f t="shared" si="21"/>
        <v/>
      </c>
      <c r="AN361" s="5" t="str">
        <f t="shared" si="22"/>
        <v/>
      </c>
      <c r="AO361" s="18" t="str">
        <f t="shared" si="23"/>
        <v/>
      </c>
      <c r="AP361" s="19"/>
      <c r="AQ361" s="20" t="str">
        <f t="shared" si="24"/>
        <v/>
      </c>
      <c r="AR361" s="21"/>
    </row>
    <row r="362" spans="2:44" ht="31.5" x14ac:dyDescent="0.5">
      <c r="B362" s="1"/>
      <c r="C362" s="15"/>
      <c r="D362" s="16"/>
      <c r="E362" s="15"/>
      <c r="F362" s="17"/>
      <c r="G362" s="8"/>
      <c r="H362" s="8"/>
      <c r="I362" s="8"/>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4" t="s">
        <v>49</v>
      </c>
      <c r="AM362" s="5" t="str">
        <f t="shared" si="21"/>
        <v/>
      </c>
      <c r="AN362" s="5" t="str">
        <f t="shared" si="22"/>
        <v/>
      </c>
      <c r="AO362" s="18" t="str">
        <f t="shared" si="23"/>
        <v/>
      </c>
      <c r="AP362" s="19"/>
      <c r="AQ362" s="20" t="str">
        <f t="shared" si="24"/>
        <v/>
      </c>
      <c r="AR362" s="21"/>
    </row>
    <row r="363" spans="2:44" ht="31.5" x14ac:dyDescent="0.5">
      <c r="B363" s="1"/>
      <c r="C363" s="15"/>
      <c r="D363" s="16"/>
      <c r="E363" s="15"/>
      <c r="F363" s="17"/>
      <c r="G363" s="8"/>
      <c r="H363" s="8"/>
      <c r="I363" s="8"/>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4" t="s">
        <v>49</v>
      </c>
      <c r="AM363" s="5" t="str">
        <f t="shared" si="21"/>
        <v/>
      </c>
      <c r="AN363" s="5" t="str">
        <f t="shared" si="22"/>
        <v/>
      </c>
      <c r="AO363" s="18" t="str">
        <f t="shared" si="23"/>
        <v/>
      </c>
      <c r="AP363" s="19"/>
      <c r="AQ363" s="20" t="str">
        <f t="shared" si="24"/>
        <v/>
      </c>
      <c r="AR363" s="21"/>
    </row>
    <row r="364" spans="2:44" ht="31.5" x14ac:dyDescent="0.5">
      <c r="B364" s="1"/>
      <c r="C364" s="15"/>
      <c r="D364" s="16"/>
      <c r="E364" s="15"/>
      <c r="F364" s="17"/>
      <c r="G364" s="8"/>
      <c r="H364" s="8"/>
      <c r="I364" s="8"/>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4" t="s">
        <v>49</v>
      </c>
      <c r="AM364" s="5" t="str">
        <f t="shared" si="21"/>
        <v/>
      </c>
      <c r="AN364" s="5" t="str">
        <f t="shared" si="22"/>
        <v/>
      </c>
      <c r="AO364" s="18" t="str">
        <f t="shared" si="23"/>
        <v/>
      </c>
      <c r="AP364" s="19"/>
      <c r="AQ364" s="20" t="str">
        <f t="shared" si="24"/>
        <v/>
      </c>
      <c r="AR364" s="21"/>
    </row>
    <row r="365" spans="2:44" ht="31.5" x14ac:dyDescent="0.5">
      <c r="B365" s="1"/>
      <c r="C365" s="15"/>
      <c r="D365" s="16"/>
      <c r="E365" s="15"/>
      <c r="F365" s="17"/>
      <c r="G365" s="8"/>
      <c r="H365" s="8"/>
      <c r="I365" s="8"/>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4" t="s">
        <v>49</v>
      </c>
      <c r="AM365" s="5" t="str">
        <f t="shared" si="21"/>
        <v/>
      </c>
      <c r="AN365" s="5" t="str">
        <f t="shared" si="22"/>
        <v/>
      </c>
      <c r="AO365" s="18" t="str">
        <f t="shared" si="23"/>
        <v/>
      </c>
      <c r="AP365" s="19"/>
      <c r="AQ365" s="20" t="str">
        <f t="shared" si="24"/>
        <v/>
      </c>
      <c r="AR365" s="21"/>
    </row>
    <row r="366" spans="2:44" ht="31.5" x14ac:dyDescent="0.5">
      <c r="B366" s="1"/>
      <c r="C366" s="15"/>
      <c r="D366" s="16"/>
      <c r="E366" s="15"/>
      <c r="F366" s="17"/>
      <c r="G366" s="8"/>
      <c r="H366" s="8"/>
      <c r="I366" s="8"/>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4" t="s">
        <v>49</v>
      </c>
      <c r="AM366" s="5" t="str">
        <f t="shared" si="21"/>
        <v/>
      </c>
      <c r="AN366" s="5" t="str">
        <f t="shared" si="22"/>
        <v/>
      </c>
      <c r="AO366" s="18" t="str">
        <f t="shared" si="23"/>
        <v/>
      </c>
      <c r="AP366" s="19"/>
      <c r="AQ366" s="20" t="str">
        <f t="shared" si="24"/>
        <v/>
      </c>
      <c r="AR366" s="21"/>
    </row>
    <row r="367" spans="2:44" ht="31.5" x14ac:dyDescent="0.5">
      <c r="B367" s="1"/>
      <c r="C367" s="15"/>
      <c r="D367" s="16"/>
      <c r="E367" s="15"/>
      <c r="F367" s="17"/>
      <c r="G367" s="8"/>
      <c r="H367" s="8"/>
      <c r="I367" s="8"/>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4" t="s">
        <v>49</v>
      </c>
      <c r="AM367" s="5" t="str">
        <f t="shared" si="21"/>
        <v/>
      </c>
      <c r="AN367" s="5" t="str">
        <f t="shared" si="22"/>
        <v/>
      </c>
      <c r="AO367" s="18" t="str">
        <f t="shared" si="23"/>
        <v/>
      </c>
      <c r="AP367" s="19"/>
      <c r="AQ367" s="20" t="str">
        <f t="shared" si="24"/>
        <v/>
      </c>
      <c r="AR367" s="21"/>
    </row>
    <row r="368" spans="2:44" ht="31.5" x14ac:dyDescent="0.5">
      <c r="B368" s="1"/>
      <c r="C368" s="15"/>
      <c r="D368" s="16"/>
      <c r="E368" s="15"/>
      <c r="F368" s="17"/>
      <c r="G368" s="8"/>
      <c r="H368" s="8"/>
      <c r="I368" s="8"/>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4" t="s">
        <v>49</v>
      </c>
      <c r="AM368" s="5" t="str">
        <f t="shared" si="21"/>
        <v/>
      </c>
      <c r="AN368" s="5" t="str">
        <f t="shared" si="22"/>
        <v/>
      </c>
      <c r="AO368" s="18" t="str">
        <f t="shared" si="23"/>
        <v/>
      </c>
      <c r="AP368" s="19"/>
      <c r="AQ368" s="20" t="str">
        <f t="shared" si="24"/>
        <v/>
      </c>
      <c r="AR368" s="21"/>
    </row>
    <row r="369" spans="2:44" ht="31.5" x14ac:dyDescent="0.5">
      <c r="B369" s="1"/>
      <c r="C369" s="15"/>
      <c r="D369" s="16"/>
      <c r="E369" s="15"/>
      <c r="F369" s="17"/>
      <c r="G369" s="8"/>
      <c r="H369" s="8"/>
      <c r="I369" s="8"/>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4" t="s">
        <v>49</v>
      </c>
      <c r="AM369" s="5" t="str">
        <f t="shared" si="21"/>
        <v/>
      </c>
      <c r="AN369" s="5" t="str">
        <f t="shared" si="22"/>
        <v/>
      </c>
      <c r="AO369" s="18" t="str">
        <f t="shared" si="23"/>
        <v/>
      </c>
      <c r="AP369" s="19"/>
      <c r="AQ369" s="20" t="str">
        <f t="shared" si="24"/>
        <v/>
      </c>
      <c r="AR369" s="21"/>
    </row>
    <row r="370" spans="2:44" ht="31.5" x14ac:dyDescent="0.5">
      <c r="B370" s="1"/>
      <c r="C370" s="15"/>
      <c r="D370" s="16"/>
      <c r="E370" s="15"/>
      <c r="F370" s="17"/>
      <c r="G370" s="8"/>
      <c r="H370" s="8"/>
      <c r="I370" s="8"/>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4" t="s">
        <v>49</v>
      </c>
      <c r="AM370" s="5" t="str">
        <f t="shared" si="21"/>
        <v/>
      </c>
      <c r="AN370" s="5" t="str">
        <f t="shared" si="22"/>
        <v/>
      </c>
      <c r="AO370" s="18" t="str">
        <f t="shared" si="23"/>
        <v/>
      </c>
      <c r="AP370" s="19"/>
      <c r="AQ370" s="20" t="str">
        <f t="shared" si="24"/>
        <v/>
      </c>
      <c r="AR370" s="21"/>
    </row>
    <row r="371" spans="2:44" ht="31.5" x14ac:dyDescent="0.5">
      <c r="B371" s="1"/>
      <c r="C371" s="15"/>
      <c r="D371" s="16"/>
      <c r="E371" s="15"/>
      <c r="F371" s="17"/>
      <c r="G371" s="8"/>
      <c r="H371" s="8"/>
      <c r="I371" s="8"/>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4" t="s">
        <v>49</v>
      </c>
      <c r="AM371" s="5" t="str">
        <f t="shared" ref="AM371:AM434" si="25">IF($B371="","",COUNTIF($G371:$AK371,"P"))</f>
        <v/>
      </c>
      <c r="AN371" s="5" t="str">
        <f t="shared" ref="AN371:AN434" si="26">IF($B371="","",COUNTIF($G371:$AK371,"AB"))</f>
        <v/>
      </c>
      <c r="AO371" s="18" t="str">
        <f t="shared" ref="AO371:AO434" si="27">IF($B371="","",SUMPRODUCT(--($G$11:$AK$11&lt;&gt;""),--($G$12:$AK$12&lt;&gt;"Sun")))</f>
        <v/>
      </c>
      <c r="AP371" s="19"/>
      <c r="AQ371" s="20" t="str">
        <f t="shared" ref="AQ371:AQ434" si="28">IF($B371="","",IF(AO371=0,"",AM371/AO371))</f>
        <v/>
      </c>
      <c r="AR371" s="21"/>
    </row>
    <row r="372" spans="2:44" ht="31.5" x14ac:dyDescent="0.5">
      <c r="B372" s="1"/>
      <c r="C372" s="15"/>
      <c r="D372" s="16"/>
      <c r="E372" s="15"/>
      <c r="F372" s="17"/>
      <c r="G372" s="8"/>
      <c r="H372" s="8"/>
      <c r="I372" s="8"/>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4" t="s">
        <v>49</v>
      </c>
      <c r="AM372" s="5" t="str">
        <f t="shared" si="25"/>
        <v/>
      </c>
      <c r="AN372" s="5" t="str">
        <f t="shared" si="26"/>
        <v/>
      </c>
      <c r="AO372" s="18" t="str">
        <f t="shared" si="27"/>
        <v/>
      </c>
      <c r="AP372" s="19"/>
      <c r="AQ372" s="20" t="str">
        <f t="shared" si="28"/>
        <v/>
      </c>
      <c r="AR372" s="21"/>
    </row>
    <row r="373" spans="2:44" ht="31.5" x14ac:dyDescent="0.5">
      <c r="B373" s="1"/>
      <c r="C373" s="15"/>
      <c r="D373" s="16"/>
      <c r="E373" s="15"/>
      <c r="F373" s="17"/>
      <c r="G373" s="8"/>
      <c r="H373" s="8"/>
      <c r="I373" s="8"/>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4" t="s">
        <v>49</v>
      </c>
      <c r="AM373" s="5" t="str">
        <f t="shared" si="25"/>
        <v/>
      </c>
      <c r="AN373" s="5" t="str">
        <f t="shared" si="26"/>
        <v/>
      </c>
      <c r="AO373" s="18" t="str">
        <f t="shared" si="27"/>
        <v/>
      </c>
      <c r="AP373" s="19"/>
      <c r="AQ373" s="20" t="str">
        <f t="shared" si="28"/>
        <v/>
      </c>
      <c r="AR373" s="21"/>
    </row>
    <row r="374" spans="2:44" ht="31.5" x14ac:dyDescent="0.5">
      <c r="B374" s="1"/>
      <c r="C374" s="15"/>
      <c r="D374" s="16"/>
      <c r="E374" s="15"/>
      <c r="F374" s="17"/>
      <c r="G374" s="8"/>
      <c r="H374" s="8"/>
      <c r="I374" s="8"/>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4" t="s">
        <v>49</v>
      </c>
      <c r="AM374" s="5" t="str">
        <f t="shared" si="25"/>
        <v/>
      </c>
      <c r="AN374" s="5" t="str">
        <f t="shared" si="26"/>
        <v/>
      </c>
      <c r="AO374" s="18" t="str">
        <f t="shared" si="27"/>
        <v/>
      </c>
      <c r="AP374" s="19"/>
      <c r="AQ374" s="20" t="str">
        <f t="shared" si="28"/>
        <v/>
      </c>
      <c r="AR374" s="21"/>
    </row>
    <row r="375" spans="2:44" ht="31.5" x14ac:dyDescent="0.5">
      <c r="B375" s="1"/>
      <c r="C375" s="15"/>
      <c r="D375" s="16"/>
      <c r="E375" s="15"/>
      <c r="F375" s="17"/>
      <c r="G375" s="8"/>
      <c r="H375" s="8"/>
      <c r="I375" s="8"/>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4" t="s">
        <v>49</v>
      </c>
      <c r="AM375" s="5" t="str">
        <f t="shared" si="25"/>
        <v/>
      </c>
      <c r="AN375" s="5" t="str">
        <f t="shared" si="26"/>
        <v/>
      </c>
      <c r="AO375" s="18" t="str">
        <f t="shared" si="27"/>
        <v/>
      </c>
      <c r="AP375" s="19"/>
      <c r="AQ375" s="20" t="str">
        <f t="shared" si="28"/>
        <v/>
      </c>
      <c r="AR375" s="21"/>
    </row>
    <row r="376" spans="2:44" ht="31.5" x14ac:dyDescent="0.5">
      <c r="B376" s="1"/>
      <c r="C376" s="15"/>
      <c r="D376" s="16"/>
      <c r="E376" s="15"/>
      <c r="F376" s="17"/>
      <c r="G376" s="8"/>
      <c r="H376" s="8"/>
      <c r="I376" s="8"/>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4" t="s">
        <v>49</v>
      </c>
      <c r="AM376" s="5" t="str">
        <f t="shared" si="25"/>
        <v/>
      </c>
      <c r="AN376" s="5" t="str">
        <f t="shared" si="26"/>
        <v/>
      </c>
      <c r="AO376" s="18" t="str">
        <f t="shared" si="27"/>
        <v/>
      </c>
      <c r="AP376" s="19"/>
      <c r="AQ376" s="20" t="str">
        <f t="shared" si="28"/>
        <v/>
      </c>
      <c r="AR376" s="21"/>
    </row>
    <row r="377" spans="2:44" ht="31.5" x14ac:dyDescent="0.5">
      <c r="B377" s="1"/>
      <c r="C377" s="15"/>
      <c r="D377" s="16"/>
      <c r="E377" s="15"/>
      <c r="F377" s="17"/>
      <c r="G377" s="8"/>
      <c r="H377" s="8"/>
      <c r="I377" s="8"/>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4" t="s">
        <v>49</v>
      </c>
      <c r="AM377" s="5" t="str">
        <f t="shared" si="25"/>
        <v/>
      </c>
      <c r="AN377" s="5" t="str">
        <f t="shared" si="26"/>
        <v/>
      </c>
      <c r="AO377" s="18" t="str">
        <f t="shared" si="27"/>
        <v/>
      </c>
      <c r="AP377" s="19"/>
      <c r="AQ377" s="20" t="str">
        <f t="shared" si="28"/>
        <v/>
      </c>
      <c r="AR377" s="21"/>
    </row>
    <row r="378" spans="2:44" ht="31.5" x14ac:dyDescent="0.5">
      <c r="B378" s="1"/>
      <c r="C378" s="15"/>
      <c r="D378" s="16"/>
      <c r="E378" s="15"/>
      <c r="F378" s="17"/>
      <c r="G378" s="8"/>
      <c r="H378" s="8"/>
      <c r="I378" s="8"/>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4" t="s">
        <v>49</v>
      </c>
      <c r="AM378" s="5" t="str">
        <f t="shared" si="25"/>
        <v/>
      </c>
      <c r="AN378" s="5" t="str">
        <f t="shared" si="26"/>
        <v/>
      </c>
      <c r="AO378" s="18" t="str">
        <f t="shared" si="27"/>
        <v/>
      </c>
      <c r="AP378" s="19"/>
      <c r="AQ378" s="20" t="str">
        <f t="shared" si="28"/>
        <v/>
      </c>
      <c r="AR378" s="21"/>
    </row>
    <row r="379" spans="2:44" ht="31.5" x14ac:dyDescent="0.5">
      <c r="B379" s="1"/>
      <c r="C379" s="15"/>
      <c r="D379" s="16"/>
      <c r="E379" s="15"/>
      <c r="F379" s="17"/>
      <c r="G379" s="8"/>
      <c r="H379" s="8"/>
      <c r="I379" s="8"/>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4" t="s">
        <v>49</v>
      </c>
      <c r="AM379" s="5" t="str">
        <f t="shared" si="25"/>
        <v/>
      </c>
      <c r="AN379" s="5" t="str">
        <f t="shared" si="26"/>
        <v/>
      </c>
      <c r="AO379" s="18" t="str">
        <f t="shared" si="27"/>
        <v/>
      </c>
      <c r="AP379" s="19"/>
      <c r="AQ379" s="20" t="str">
        <f t="shared" si="28"/>
        <v/>
      </c>
      <c r="AR379" s="21"/>
    </row>
    <row r="380" spans="2:44" ht="31.5" x14ac:dyDescent="0.5">
      <c r="B380" s="1"/>
      <c r="C380" s="15"/>
      <c r="D380" s="16"/>
      <c r="E380" s="15"/>
      <c r="F380" s="17"/>
      <c r="G380" s="8"/>
      <c r="H380" s="8"/>
      <c r="I380" s="8"/>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4" t="s">
        <v>49</v>
      </c>
      <c r="AM380" s="5" t="str">
        <f t="shared" si="25"/>
        <v/>
      </c>
      <c r="AN380" s="5" t="str">
        <f t="shared" si="26"/>
        <v/>
      </c>
      <c r="AO380" s="18" t="str">
        <f t="shared" si="27"/>
        <v/>
      </c>
      <c r="AP380" s="19"/>
      <c r="AQ380" s="20" t="str">
        <f t="shared" si="28"/>
        <v/>
      </c>
      <c r="AR380" s="21"/>
    </row>
    <row r="381" spans="2:44" ht="31.5" x14ac:dyDescent="0.5">
      <c r="B381" s="1"/>
      <c r="C381" s="15"/>
      <c r="D381" s="16"/>
      <c r="E381" s="15"/>
      <c r="F381" s="17"/>
      <c r="G381" s="8"/>
      <c r="H381" s="8"/>
      <c r="I381" s="8"/>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4" t="s">
        <v>49</v>
      </c>
      <c r="AM381" s="5" t="str">
        <f t="shared" si="25"/>
        <v/>
      </c>
      <c r="AN381" s="5" t="str">
        <f t="shared" si="26"/>
        <v/>
      </c>
      <c r="AO381" s="18" t="str">
        <f t="shared" si="27"/>
        <v/>
      </c>
      <c r="AP381" s="19"/>
      <c r="AQ381" s="20" t="str">
        <f t="shared" si="28"/>
        <v/>
      </c>
      <c r="AR381" s="21"/>
    </row>
    <row r="382" spans="2:44" ht="31.5" x14ac:dyDescent="0.5">
      <c r="B382" s="1"/>
      <c r="C382" s="15"/>
      <c r="D382" s="16"/>
      <c r="E382" s="15"/>
      <c r="F382" s="17"/>
      <c r="G382" s="8"/>
      <c r="H382" s="8"/>
      <c r="I382" s="8"/>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4" t="s">
        <v>49</v>
      </c>
      <c r="AM382" s="5" t="str">
        <f t="shared" si="25"/>
        <v/>
      </c>
      <c r="AN382" s="5" t="str">
        <f t="shared" si="26"/>
        <v/>
      </c>
      <c r="AO382" s="18" t="str">
        <f t="shared" si="27"/>
        <v/>
      </c>
      <c r="AP382" s="19"/>
      <c r="AQ382" s="20" t="str">
        <f t="shared" si="28"/>
        <v/>
      </c>
      <c r="AR382" s="21"/>
    </row>
    <row r="383" spans="2:44" ht="31.5" x14ac:dyDescent="0.5">
      <c r="B383" s="1"/>
      <c r="C383" s="15"/>
      <c r="D383" s="16"/>
      <c r="E383" s="15"/>
      <c r="F383" s="17"/>
      <c r="G383" s="8"/>
      <c r="H383" s="8"/>
      <c r="I383" s="8"/>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4" t="s">
        <v>49</v>
      </c>
      <c r="AM383" s="5" t="str">
        <f t="shared" si="25"/>
        <v/>
      </c>
      <c r="AN383" s="5" t="str">
        <f t="shared" si="26"/>
        <v/>
      </c>
      <c r="AO383" s="18" t="str">
        <f t="shared" si="27"/>
        <v/>
      </c>
      <c r="AP383" s="19"/>
      <c r="AQ383" s="20" t="str">
        <f t="shared" si="28"/>
        <v/>
      </c>
      <c r="AR383" s="21"/>
    </row>
    <row r="384" spans="2:44" ht="31.5" x14ac:dyDescent="0.5">
      <c r="B384" s="1"/>
      <c r="C384" s="15"/>
      <c r="D384" s="16"/>
      <c r="E384" s="15"/>
      <c r="F384" s="17"/>
      <c r="G384" s="8"/>
      <c r="H384" s="8"/>
      <c r="I384" s="8"/>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4" t="s">
        <v>49</v>
      </c>
      <c r="AM384" s="5" t="str">
        <f t="shared" si="25"/>
        <v/>
      </c>
      <c r="AN384" s="5" t="str">
        <f t="shared" si="26"/>
        <v/>
      </c>
      <c r="AO384" s="18" t="str">
        <f t="shared" si="27"/>
        <v/>
      </c>
      <c r="AP384" s="19"/>
      <c r="AQ384" s="20" t="str">
        <f t="shared" si="28"/>
        <v/>
      </c>
      <c r="AR384" s="21"/>
    </row>
    <row r="385" spans="2:44" ht="31.5" x14ac:dyDescent="0.5">
      <c r="B385" s="1"/>
      <c r="C385" s="15"/>
      <c r="D385" s="16"/>
      <c r="E385" s="15"/>
      <c r="F385" s="17"/>
      <c r="G385" s="8"/>
      <c r="H385" s="8"/>
      <c r="I385" s="8"/>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4" t="s">
        <v>49</v>
      </c>
      <c r="AM385" s="5" t="str">
        <f t="shared" si="25"/>
        <v/>
      </c>
      <c r="AN385" s="5" t="str">
        <f t="shared" si="26"/>
        <v/>
      </c>
      <c r="AO385" s="18" t="str">
        <f t="shared" si="27"/>
        <v/>
      </c>
      <c r="AP385" s="19"/>
      <c r="AQ385" s="20" t="str">
        <f t="shared" si="28"/>
        <v/>
      </c>
      <c r="AR385" s="21"/>
    </row>
    <row r="386" spans="2:44" ht="31.5" x14ac:dyDescent="0.5">
      <c r="B386" s="1"/>
      <c r="C386" s="15"/>
      <c r="D386" s="16"/>
      <c r="E386" s="15"/>
      <c r="F386" s="17"/>
      <c r="G386" s="8"/>
      <c r="H386" s="8"/>
      <c r="I386" s="8"/>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4" t="s">
        <v>49</v>
      </c>
      <c r="AM386" s="5" t="str">
        <f t="shared" si="25"/>
        <v/>
      </c>
      <c r="AN386" s="5" t="str">
        <f t="shared" si="26"/>
        <v/>
      </c>
      <c r="AO386" s="18" t="str">
        <f t="shared" si="27"/>
        <v/>
      </c>
      <c r="AP386" s="19"/>
      <c r="AQ386" s="20" t="str">
        <f t="shared" si="28"/>
        <v/>
      </c>
      <c r="AR386" s="21"/>
    </row>
    <row r="387" spans="2:44" ht="31.5" x14ac:dyDescent="0.5">
      <c r="B387" s="1"/>
      <c r="C387" s="15"/>
      <c r="D387" s="16"/>
      <c r="E387" s="15"/>
      <c r="F387" s="17"/>
      <c r="G387" s="8"/>
      <c r="H387" s="8"/>
      <c r="I387" s="8"/>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4" t="s">
        <v>49</v>
      </c>
      <c r="AM387" s="5" t="str">
        <f t="shared" si="25"/>
        <v/>
      </c>
      <c r="AN387" s="5" t="str">
        <f t="shared" si="26"/>
        <v/>
      </c>
      <c r="AO387" s="18" t="str">
        <f t="shared" si="27"/>
        <v/>
      </c>
      <c r="AP387" s="19"/>
      <c r="AQ387" s="20" t="str">
        <f t="shared" si="28"/>
        <v/>
      </c>
      <c r="AR387" s="21"/>
    </row>
    <row r="388" spans="2:44" ht="31.5" x14ac:dyDescent="0.5">
      <c r="B388" s="1"/>
      <c r="C388" s="15"/>
      <c r="D388" s="16"/>
      <c r="E388" s="15"/>
      <c r="F388" s="17"/>
      <c r="G388" s="8"/>
      <c r="H388" s="8"/>
      <c r="I388" s="8"/>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4" t="s">
        <v>49</v>
      </c>
      <c r="AM388" s="5" t="str">
        <f t="shared" si="25"/>
        <v/>
      </c>
      <c r="AN388" s="5" t="str">
        <f t="shared" si="26"/>
        <v/>
      </c>
      <c r="AO388" s="18" t="str">
        <f t="shared" si="27"/>
        <v/>
      </c>
      <c r="AP388" s="19"/>
      <c r="AQ388" s="20" t="str">
        <f t="shared" si="28"/>
        <v/>
      </c>
      <c r="AR388" s="21"/>
    </row>
    <row r="389" spans="2:44" ht="31.5" x14ac:dyDescent="0.5">
      <c r="B389" s="1"/>
      <c r="C389" s="15"/>
      <c r="D389" s="16"/>
      <c r="E389" s="15"/>
      <c r="F389" s="17"/>
      <c r="G389" s="8"/>
      <c r="H389" s="8"/>
      <c r="I389" s="8"/>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4" t="s">
        <v>49</v>
      </c>
      <c r="AM389" s="5" t="str">
        <f t="shared" si="25"/>
        <v/>
      </c>
      <c r="AN389" s="5" t="str">
        <f t="shared" si="26"/>
        <v/>
      </c>
      <c r="AO389" s="18" t="str">
        <f t="shared" si="27"/>
        <v/>
      </c>
      <c r="AP389" s="19"/>
      <c r="AQ389" s="20" t="str">
        <f t="shared" si="28"/>
        <v/>
      </c>
      <c r="AR389" s="21"/>
    </row>
    <row r="390" spans="2:44" ht="31.5" x14ac:dyDescent="0.5">
      <c r="B390" s="1"/>
      <c r="C390" s="15"/>
      <c r="D390" s="16"/>
      <c r="E390" s="15"/>
      <c r="F390" s="17"/>
      <c r="G390" s="8"/>
      <c r="H390" s="8"/>
      <c r="I390" s="8"/>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4" t="s">
        <v>49</v>
      </c>
      <c r="AM390" s="5" t="str">
        <f t="shared" si="25"/>
        <v/>
      </c>
      <c r="AN390" s="5" t="str">
        <f t="shared" si="26"/>
        <v/>
      </c>
      <c r="AO390" s="18" t="str">
        <f t="shared" si="27"/>
        <v/>
      </c>
      <c r="AP390" s="19"/>
      <c r="AQ390" s="20" t="str">
        <f t="shared" si="28"/>
        <v/>
      </c>
      <c r="AR390" s="21"/>
    </row>
    <row r="391" spans="2:44" ht="31.5" x14ac:dyDescent="0.5">
      <c r="B391" s="1"/>
      <c r="C391" s="15"/>
      <c r="D391" s="16"/>
      <c r="E391" s="15"/>
      <c r="F391" s="17"/>
      <c r="G391" s="8"/>
      <c r="H391" s="8"/>
      <c r="I391" s="8"/>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4" t="s">
        <v>49</v>
      </c>
      <c r="AM391" s="5" t="str">
        <f t="shared" si="25"/>
        <v/>
      </c>
      <c r="AN391" s="5" t="str">
        <f t="shared" si="26"/>
        <v/>
      </c>
      <c r="AO391" s="18" t="str">
        <f t="shared" si="27"/>
        <v/>
      </c>
      <c r="AP391" s="19"/>
      <c r="AQ391" s="20" t="str">
        <f t="shared" si="28"/>
        <v/>
      </c>
      <c r="AR391" s="21"/>
    </row>
    <row r="392" spans="2:44" ht="31.5" x14ac:dyDescent="0.5">
      <c r="B392" s="1"/>
      <c r="C392" s="15"/>
      <c r="D392" s="16"/>
      <c r="E392" s="15"/>
      <c r="F392" s="17"/>
      <c r="G392" s="8"/>
      <c r="H392" s="8"/>
      <c r="I392" s="8"/>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4" t="s">
        <v>49</v>
      </c>
      <c r="AM392" s="5" t="str">
        <f t="shared" si="25"/>
        <v/>
      </c>
      <c r="AN392" s="5" t="str">
        <f t="shared" si="26"/>
        <v/>
      </c>
      <c r="AO392" s="18" t="str">
        <f t="shared" si="27"/>
        <v/>
      </c>
      <c r="AP392" s="19"/>
      <c r="AQ392" s="20" t="str">
        <f t="shared" si="28"/>
        <v/>
      </c>
      <c r="AR392" s="21"/>
    </row>
    <row r="393" spans="2:44" ht="31.5" x14ac:dyDescent="0.5">
      <c r="B393" s="1"/>
      <c r="C393" s="15"/>
      <c r="D393" s="16"/>
      <c r="E393" s="15"/>
      <c r="F393" s="17"/>
      <c r="G393" s="8"/>
      <c r="H393" s="8"/>
      <c r="I393" s="8"/>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4" t="s">
        <v>49</v>
      </c>
      <c r="AM393" s="5" t="str">
        <f t="shared" si="25"/>
        <v/>
      </c>
      <c r="AN393" s="5" t="str">
        <f t="shared" si="26"/>
        <v/>
      </c>
      <c r="AO393" s="18" t="str">
        <f t="shared" si="27"/>
        <v/>
      </c>
      <c r="AP393" s="19"/>
      <c r="AQ393" s="20" t="str">
        <f t="shared" si="28"/>
        <v/>
      </c>
      <c r="AR393" s="21"/>
    </row>
    <row r="394" spans="2:44" ht="31.5" x14ac:dyDescent="0.5">
      <c r="B394" s="1"/>
      <c r="C394" s="15"/>
      <c r="D394" s="16"/>
      <c r="E394" s="15"/>
      <c r="F394" s="17"/>
      <c r="G394" s="8"/>
      <c r="H394" s="8"/>
      <c r="I394" s="8"/>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4" t="s">
        <v>49</v>
      </c>
      <c r="AM394" s="5" t="str">
        <f t="shared" si="25"/>
        <v/>
      </c>
      <c r="AN394" s="5" t="str">
        <f t="shared" si="26"/>
        <v/>
      </c>
      <c r="AO394" s="18" t="str">
        <f t="shared" si="27"/>
        <v/>
      </c>
      <c r="AP394" s="19"/>
      <c r="AQ394" s="20" t="str">
        <f t="shared" si="28"/>
        <v/>
      </c>
      <c r="AR394" s="21"/>
    </row>
    <row r="395" spans="2:44" ht="31.5" x14ac:dyDescent="0.5">
      <c r="B395" s="1"/>
      <c r="C395" s="15"/>
      <c r="D395" s="16"/>
      <c r="E395" s="15"/>
      <c r="F395" s="17"/>
      <c r="G395" s="8"/>
      <c r="H395" s="8"/>
      <c r="I395" s="8"/>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4" t="s">
        <v>49</v>
      </c>
      <c r="AM395" s="5" t="str">
        <f t="shared" si="25"/>
        <v/>
      </c>
      <c r="AN395" s="5" t="str">
        <f t="shared" si="26"/>
        <v/>
      </c>
      <c r="AO395" s="18" t="str">
        <f t="shared" si="27"/>
        <v/>
      </c>
      <c r="AP395" s="19"/>
      <c r="AQ395" s="20" t="str">
        <f t="shared" si="28"/>
        <v/>
      </c>
      <c r="AR395" s="21"/>
    </row>
    <row r="396" spans="2:44" ht="31.5" x14ac:dyDescent="0.5">
      <c r="B396" s="1"/>
      <c r="C396" s="15"/>
      <c r="D396" s="16"/>
      <c r="E396" s="15"/>
      <c r="F396" s="17"/>
      <c r="G396" s="8"/>
      <c r="H396" s="8"/>
      <c r="I396" s="8"/>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4" t="s">
        <v>49</v>
      </c>
      <c r="AM396" s="5" t="str">
        <f t="shared" si="25"/>
        <v/>
      </c>
      <c r="AN396" s="5" t="str">
        <f t="shared" si="26"/>
        <v/>
      </c>
      <c r="AO396" s="18" t="str">
        <f t="shared" si="27"/>
        <v/>
      </c>
      <c r="AP396" s="19"/>
      <c r="AQ396" s="20" t="str">
        <f t="shared" si="28"/>
        <v/>
      </c>
      <c r="AR396" s="21"/>
    </row>
    <row r="397" spans="2:44" ht="31.5" x14ac:dyDescent="0.5">
      <c r="B397" s="1"/>
      <c r="C397" s="15"/>
      <c r="D397" s="16"/>
      <c r="E397" s="15"/>
      <c r="F397" s="17"/>
      <c r="G397" s="8"/>
      <c r="H397" s="8"/>
      <c r="I397" s="8"/>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4" t="s">
        <v>49</v>
      </c>
      <c r="AM397" s="5" t="str">
        <f t="shared" si="25"/>
        <v/>
      </c>
      <c r="AN397" s="5" t="str">
        <f t="shared" si="26"/>
        <v/>
      </c>
      <c r="AO397" s="18" t="str">
        <f t="shared" si="27"/>
        <v/>
      </c>
      <c r="AP397" s="19"/>
      <c r="AQ397" s="20" t="str">
        <f t="shared" si="28"/>
        <v/>
      </c>
      <c r="AR397" s="21"/>
    </row>
    <row r="398" spans="2:44" ht="31.5" x14ac:dyDescent="0.5">
      <c r="B398" s="1"/>
      <c r="C398" s="15"/>
      <c r="D398" s="16"/>
      <c r="E398" s="15"/>
      <c r="F398" s="17"/>
      <c r="G398" s="8"/>
      <c r="H398" s="8"/>
      <c r="I398" s="8"/>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4" t="s">
        <v>49</v>
      </c>
      <c r="AM398" s="5" t="str">
        <f t="shared" si="25"/>
        <v/>
      </c>
      <c r="AN398" s="5" t="str">
        <f t="shared" si="26"/>
        <v/>
      </c>
      <c r="AO398" s="18" t="str">
        <f t="shared" si="27"/>
        <v/>
      </c>
      <c r="AP398" s="19"/>
      <c r="AQ398" s="20" t="str">
        <f t="shared" si="28"/>
        <v/>
      </c>
      <c r="AR398" s="21"/>
    </row>
    <row r="399" spans="2:44" ht="31.5" x14ac:dyDescent="0.5">
      <c r="B399" s="1"/>
      <c r="C399" s="15"/>
      <c r="D399" s="16"/>
      <c r="E399" s="15"/>
      <c r="F399" s="17"/>
      <c r="G399" s="8"/>
      <c r="H399" s="8"/>
      <c r="I399" s="8"/>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4" t="s">
        <v>49</v>
      </c>
      <c r="AM399" s="5" t="str">
        <f t="shared" si="25"/>
        <v/>
      </c>
      <c r="AN399" s="5" t="str">
        <f t="shared" si="26"/>
        <v/>
      </c>
      <c r="AO399" s="18" t="str">
        <f t="shared" si="27"/>
        <v/>
      </c>
      <c r="AP399" s="19"/>
      <c r="AQ399" s="20" t="str">
        <f t="shared" si="28"/>
        <v/>
      </c>
      <c r="AR399" s="21"/>
    </row>
    <row r="400" spans="2:44" ht="31.5" x14ac:dyDescent="0.5">
      <c r="B400" s="1"/>
      <c r="C400" s="15"/>
      <c r="D400" s="16"/>
      <c r="E400" s="15"/>
      <c r="F400" s="17"/>
      <c r="G400" s="8"/>
      <c r="H400" s="8"/>
      <c r="I400" s="8"/>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4" t="s">
        <v>49</v>
      </c>
      <c r="AM400" s="5" t="str">
        <f t="shared" si="25"/>
        <v/>
      </c>
      <c r="AN400" s="5" t="str">
        <f t="shared" si="26"/>
        <v/>
      </c>
      <c r="AO400" s="18" t="str">
        <f t="shared" si="27"/>
        <v/>
      </c>
      <c r="AP400" s="19"/>
      <c r="AQ400" s="20" t="str">
        <f t="shared" si="28"/>
        <v/>
      </c>
      <c r="AR400" s="21"/>
    </row>
    <row r="401" spans="2:44" ht="31.5" x14ac:dyDescent="0.5">
      <c r="B401" s="1"/>
      <c r="C401" s="15"/>
      <c r="D401" s="16"/>
      <c r="E401" s="15"/>
      <c r="F401" s="17"/>
      <c r="G401" s="8"/>
      <c r="H401" s="8"/>
      <c r="I401" s="8"/>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4" t="s">
        <v>49</v>
      </c>
      <c r="AM401" s="5" t="str">
        <f t="shared" si="25"/>
        <v/>
      </c>
      <c r="AN401" s="5" t="str">
        <f t="shared" si="26"/>
        <v/>
      </c>
      <c r="AO401" s="18" t="str">
        <f t="shared" si="27"/>
        <v/>
      </c>
      <c r="AP401" s="19"/>
      <c r="AQ401" s="20" t="str">
        <f t="shared" si="28"/>
        <v/>
      </c>
      <c r="AR401" s="21"/>
    </row>
    <row r="402" spans="2:44" ht="31.5" x14ac:dyDescent="0.5">
      <c r="B402" s="1"/>
      <c r="C402" s="15"/>
      <c r="D402" s="16"/>
      <c r="E402" s="15"/>
      <c r="F402" s="17"/>
      <c r="G402" s="8"/>
      <c r="H402" s="8"/>
      <c r="I402" s="8"/>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4" t="s">
        <v>49</v>
      </c>
      <c r="AM402" s="5" t="str">
        <f t="shared" si="25"/>
        <v/>
      </c>
      <c r="AN402" s="5" t="str">
        <f t="shared" si="26"/>
        <v/>
      </c>
      <c r="AO402" s="18" t="str">
        <f t="shared" si="27"/>
        <v/>
      </c>
      <c r="AP402" s="19"/>
      <c r="AQ402" s="20" t="str">
        <f t="shared" si="28"/>
        <v/>
      </c>
      <c r="AR402" s="21"/>
    </row>
    <row r="403" spans="2:44" ht="31.5" x14ac:dyDescent="0.5">
      <c r="B403" s="1"/>
      <c r="C403" s="15"/>
      <c r="D403" s="16"/>
      <c r="E403" s="15"/>
      <c r="F403" s="17"/>
      <c r="G403" s="8"/>
      <c r="H403" s="8"/>
      <c r="I403" s="8"/>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4" t="s">
        <v>49</v>
      </c>
      <c r="AM403" s="5" t="str">
        <f t="shared" si="25"/>
        <v/>
      </c>
      <c r="AN403" s="5" t="str">
        <f t="shared" si="26"/>
        <v/>
      </c>
      <c r="AO403" s="18" t="str">
        <f t="shared" si="27"/>
        <v/>
      </c>
      <c r="AP403" s="19"/>
      <c r="AQ403" s="20" t="str">
        <f t="shared" si="28"/>
        <v/>
      </c>
      <c r="AR403" s="21"/>
    </row>
    <row r="404" spans="2:44" ht="31.5" x14ac:dyDescent="0.5">
      <c r="B404" s="1"/>
      <c r="C404" s="15"/>
      <c r="D404" s="16"/>
      <c r="E404" s="15"/>
      <c r="F404" s="17"/>
      <c r="G404" s="8"/>
      <c r="H404" s="8"/>
      <c r="I404" s="8"/>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4" t="s">
        <v>49</v>
      </c>
      <c r="AM404" s="5" t="str">
        <f t="shared" si="25"/>
        <v/>
      </c>
      <c r="AN404" s="5" t="str">
        <f t="shared" si="26"/>
        <v/>
      </c>
      <c r="AO404" s="18" t="str">
        <f t="shared" si="27"/>
        <v/>
      </c>
      <c r="AP404" s="19"/>
      <c r="AQ404" s="20" t="str">
        <f t="shared" si="28"/>
        <v/>
      </c>
      <c r="AR404" s="21"/>
    </row>
    <row r="405" spans="2:44" ht="31.5" x14ac:dyDescent="0.5">
      <c r="B405" s="1"/>
      <c r="C405" s="15"/>
      <c r="D405" s="16"/>
      <c r="E405" s="15"/>
      <c r="F405" s="17"/>
      <c r="G405" s="8"/>
      <c r="H405" s="8"/>
      <c r="I405" s="8"/>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4" t="s">
        <v>49</v>
      </c>
      <c r="AM405" s="5" t="str">
        <f t="shared" si="25"/>
        <v/>
      </c>
      <c r="AN405" s="5" t="str">
        <f t="shared" si="26"/>
        <v/>
      </c>
      <c r="AO405" s="18" t="str">
        <f t="shared" si="27"/>
        <v/>
      </c>
      <c r="AP405" s="19"/>
      <c r="AQ405" s="20" t="str">
        <f t="shared" si="28"/>
        <v/>
      </c>
      <c r="AR405" s="21"/>
    </row>
    <row r="406" spans="2:44" ht="31.5" x14ac:dyDescent="0.5">
      <c r="B406" s="1"/>
      <c r="C406" s="15"/>
      <c r="D406" s="16"/>
      <c r="E406" s="15"/>
      <c r="F406" s="17"/>
      <c r="G406" s="8"/>
      <c r="H406" s="8"/>
      <c r="I406" s="8"/>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4" t="s">
        <v>49</v>
      </c>
      <c r="AM406" s="5" t="str">
        <f t="shared" si="25"/>
        <v/>
      </c>
      <c r="AN406" s="5" t="str">
        <f t="shared" si="26"/>
        <v/>
      </c>
      <c r="AO406" s="18" t="str">
        <f t="shared" si="27"/>
        <v/>
      </c>
      <c r="AP406" s="19"/>
      <c r="AQ406" s="20" t="str">
        <f t="shared" si="28"/>
        <v/>
      </c>
      <c r="AR406" s="21"/>
    </row>
    <row r="407" spans="2:44" ht="31.5" x14ac:dyDescent="0.5">
      <c r="B407" s="1"/>
      <c r="C407" s="15"/>
      <c r="D407" s="16"/>
      <c r="E407" s="15"/>
      <c r="F407" s="17"/>
      <c r="G407" s="8"/>
      <c r="H407" s="8"/>
      <c r="I407" s="8"/>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4" t="s">
        <v>49</v>
      </c>
      <c r="AM407" s="5" t="str">
        <f t="shared" si="25"/>
        <v/>
      </c>
      <c r="AN407" s="5" t="str">
        <f t="shared" si="26"/>
        <v/>
      </c>
      <c r="AO407" s="18" t="str">
        <f t="shared" si="27"/>
        <v/>
      </c>
      <c r="AP407" s="19"/>
      <c r="AQ407" s="20" t="str">
        <f t="shared" si="28"/>
        <v/>
      </c>
      <c r="AR407" s="21"/>
    </row>
    <row r="408" spans="2:44" ht="31.5" x14ac:dyDescent="0.5">
      <c r="B408" s="1"/>
      <c r="C408" s="15"/>
      <c r="D408" s="16"/>
      <c r="E408" s="15"/>
      <c r="F408" s="17"/>
      <c r="G408" s="8"/>
      <c r="H408" s="8"/>
      <c r="I408" s="8"/>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4" t="s">
        <v>49</v>
      </c>
      <c r="AM408" s="5" t="str">
        <f t="shared" si="25"/>
        <v/>
      </c>
      <c r="AN408" s="5" t="str">
        <f t="shared" si="26"/>
        <v/>
      </c>
      <c r="AO408" s="18" t="str">
        <f t="shared" si="27"/>
        <v/>
      </c>
      <c r="AP408" s="19"/>
      <c r="AQ408" s="20" t="str">
        <f t="shared" si="28"/>
        <v/>
      </c>
      <c r="AR408" s="21"/>
    </row>
    <row r="409" spans="2:44" ht="31.5" x14ac:dyDescent="0.5">
      <c r="B409" s="1"/>
      <c r="C409" s="15"/>
      <c r="D409" s="16"/>
      <c r="E409" s="15"/>
      <c r="F409" s="17"/>
      <c r="G409" s="8"/>
      <c r="H409" s="8"/>
      <c r="I409" s="8"/>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4" t="s">
        <v>49</v>
      </c>
      <c r="AM409" s="5" t="str">
        <f t="shared" si="25"/>
        <v/>
      </c>
      <c r="AN409" s="5" t="str">
        <f t="shared" si="26"/>
        <v/>
      </c>
      <c r="AO409" s="18" t="str">
        <f t="shared" si="27"/>
        <v/>
      </c>
      <c r="AP409" s="19"/>
      <c r="AQ409" s="20" t="str">
        <f t="shared" si="28"/>
        <v/>
      </c>
      <c r="AR409" s="21"/>
    </row>
    <row r="410" spans="2:44" ht="31.5" x14ac:dyDescent="0.5">
      <c r="B410" s="1"/>
      <c r="C410" s="15"/>
      <c r="D410" s="16"/>
      <c r="E410" s="15"/>
      <c r="F410" s="17"/>
      <c r="G410" s="8"/>
      <c r="H410" s="8"/>
      <c r="I410" s="8"/>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4" t="s">
        <v>49</v>
      </c>
      <c r="AM410" s="5" t="str">
        <f t="shared" si="25"/>
        <v/>
      </c>
      <c r="AN410" s="5" t="str">
        <f t="shared" si="26"/>
        <v/>
      </c>
      <c r="AO410" s="18" t="str">
        <f t="shared" si="27"/>
        <v/>
      </c>
      <c r="AP410" s="19"/>
      <c r="AQ410" s="20" t="str">
        <f t="shared" si="28"/>
        <v/>
      </c>
      <c r="AR410" s="21"/>
    </row>
    <row r="411" spans="2:44" ht="31.5" x14ac:dyDescent="0.5">
      <c r="B411" s="1"/>
      <c r="C411" s="15"/>
      <c r="D411" s="16"/>
      <c r="E411" s="15"/>
      <c r="F411" s="17"/>
      <c r="G411" s="8"/>
      <c r="H411" s="8"/>
      <c r="I411" s="8"/>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4" t="s">
        <v>49</v>
      </c>
      <c r="AM411" s="5" t="str">
        <f t="shared" si="25"/>
        <v/>
      </c>
      <c r="AN411" s="5" t="str">
        <f t="shared" si="26"/>
        <v/>
      </c>
      <c r="AO411" s="18" t="str">
        <f t="shared" si="27"/>
        <v/>
      </c>
      <c r="AP411" s="19"/>
      <c r="AQ411" s="20" t="str">
        <f t="shared" si="28"/>
        <v/>
      </c>
      <c r="AR411" s="21"/>
    </row>
    <row r="412" spans="2:44" ht="31.5" x14ac:dyDescent="0.5">
      <c r="B412" s="1"/>
      <c r="C412" s="15"/>
      <c r="D412" s="16"/>
      <c r="E412" s="15"/>
      <c r="F412" s="17"/>
      <c r="G412" s="8"/>
      <c r="H412" s="8"/>
      <c r="I412" s="8"/>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4" t="s">
        <v>49</v>
      </c>
      <c r="AM412" s="5" t="str">
        <f t="shared" si="25"/>
        <v/>
      </c>
      <c r="AN412" s="5" t="str">
        <f t="shared" si="26"/>
        <v/>
      </c>
      <c r="AO412" s="18" t="str">
        <f t="shared" si="27"/>
        <v/>
      </c>
      <c r="AP412" s="19"/>
      <c r="AQ412" s="20" t="str">
        <f t="shared" si="28"/>
        <v/>
      </c>
      <c r="AR412" s="21"/>
    </row>
    <row r="413" spans="2:44" ht="31.5" x14ac:dyDescent="0.5">
      <c r="B413" s="1"/>
      <c r="C413" s="15"/>
      <c r="D413" s="16"/>
      <c r="E413" s="15"/>
      <c r="F413" s="17"/>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4" t="s">
        <v>49</v>
      </c>
      <c r="AM413" s="5" t="str">
        <f t="shared" si="25"/>
        <v/>
      </c>
      <c r="AN413" s="5" t="str">
        <f t="shared" si="26"/>
        <v/>
      </c>
      <c r="AO413" s="18" t="str">
        <f t="shared" si="27"/>
        <v/>
      </c>
      <c r="AP413" s="19"/>
      <c r="AQ413" s="20" t="str">
        <f t="shared" si="28"/>
        <v/>
      </c>
      <c r="AR413" s="21"/>
    </row>
    <row r="414" spans="2:44" ht="31.5" x14ac:dyDescent="0.5">
      <c r="B414" s="1"/>
      <c r="C414" s="15"/>
      <c r="D414" s="16"/>
      <c r="E414" s="15"/>
      <c r="F414" s="17"/>
      <c r="G414" s="8"/>
      <c r="H414" s="8"/>
      <c r="I414" s="8"/>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4" t="s">
        <v>49</v>
      </c>
      <c r="AM414" s="5" t="str">
        <f t="shared" si="25"/>
        <v/>
      </c>
      <c r="AN414" s="5" t="str">
        <f t="shared" si="26"/>
        <v/>
      </c>
      <c r="AO414" s="18" t="str">
        <f t="shared" si="27"/>
        <v/>
      </c>
      <c r="AP414" s="19"/>
      <c r="AQ414" s="20" t="str">
        <f t="shared" si="28"/>
        <v/>
      </c>
      <c r="AR414" s="21"/>
    </row>
    <row r="415" spans="2:44" ht="31.5" x14ac:dyDescent="0.5">
      <c r="B415" s="1"/>
      <c r="C415" s="15"/>
      <c r="D415" s="16"/>
      <c r="E415" s="15"/>
      <c r="F415" s="17"/>
      <c r="G415" s="8"/>
      <c r="H415" s="8"/>
      <c r="I415" s="8"/>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4" t="s">
        <v>49</v>
      </c>
      <c r="AM415" s="5" t="str">
        <f t="shared" si="25"/>
        <v/>
      </c>
      <c r="AN415" s="5" t="str">
        <f t="shared" si="26"/>
        <v/>
      </c>
      <c r="AO415" s="18" t="str">
        <f t="shared" si="27"/>
        <v/>
      </c>
      <c r="AP415" s="19"/>
      <c r="AQ415" s="20" t="str">
        <f t="shared" si="28"/>
        <v/>
      </c>
      <c r="AR415" s="21"/>
    </row>
    <row r="416" spans="2:44" ht="31.5" x14ac:dyDescent="0.5">
      <c r="B416" s="1"/>
      <c r="C416" s="15"/>
      <c r="D416" s="16"/>
      <c r="E416" s="15"/>
      <c r="F416" s="17"/>
      <c r="G416" s="8"/>
      <c r="H416" s="8"/>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4" t="s">
        <v>49</v>
      </c>
      <c r="AM416" s="5" t="str">
        <f t="shared" si="25"/>
        <v/>
      </c>
      <c r="AN416" s="5" t="str">
        <f t="shared" si="26"/>
        <v/>
      </c>
      <c r="AO416" s="18" t="str">
        <f t="shared" si="27"/>
        <v/>
      </c>
      <c r="AP416" s="19"/>
      <c r="AQ416" s="20" t="str">
        <f t="shared" si="28"/>
        <v/>
      </c>
      <c r="AR416" s="21"/>
    </row>
    <row r="417" spans="2:44" ht="31.5" x14ac:dyDescent="0.5">
      <c r="B417" s="1"/>
      <c r="C417" s="15"/>
      <c r="D417" s="16"/>
      <c r="E417" s="15"/>
      <c r="F417" s="17"/>
      <c r="G417" s="8"/>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4" t="s">
        <v>49</v>
      </c>
      <c r="AM417" s="5" t="str">
        <f t="shared" si="25"/>
        <v/>
      </c>
      <c r="AN417" s="5" t="str">
        <f t="shared" si="26"/>
        <v/>
      </c>
      <c r="AO417" s="18" t="str">
        <f t="shared" si="27"/>
        <v/>
      </c>
      <c r="AP417" s="19"/>
      <c r="AQ417" s="20" t="str">
        <f t="shared" si="28"/>
        <v/>
      </c>
      <c r="AR417" s="21"/>
    </row>
    <row r="418" spans="2:44" ht="31.5" x14ac:dyDescent="0.5">
      <c r="B418" s="1"/>
      <c r="C418" s="15"/>
      <c r="D418" s="16"/>
      <c r="E418" s="15"/>
      <c r="F418" s="17"/>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4" t="s">
        <v>49</v>
      </c>
      <c r="AM418" s="5" t="str">
        <f t="shared" si="25"/>
        <v/>
      </c>
      <c r="AN418" s="5" t="str">
        <f t="shared" si="26"/>
        <v/>
      </c>
      <c r="AO418" s="18" t="str">
        <f t="shared" si="27"/>
        <v/>
      </c>
      <c r="AP418" s="19"/>
      <c r="AQ418" s="20" t="str">
        <f t="shared" si="28"/>
        <v/>
      </c>
      <c r="AR418" s="21"/>
    </row>
    <row r="419" spans="2:44" ht="31.5" x14ac:dyDescent="0.5">
      <c r="B419" s="1"/>
      <c r="C419" s="15"/>
      <c r="D419" s="16"/>
      <c r="E419" s="15"/>
      <c r="F419" s="17"/>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4" t="s">
        <v>49</v>
      </c>
      <c r="AM419" s="5" t="str">
        <f t="shared" si="25"/>
        <v/>
      </c>
      <c r="AN419" s="5" t="str">
        <f t="shared" si="26"/>
        <v/>
      </c>
      <c r="AO419" s="18" t="str">
        <f t="shared" si="27"/>
        <v/>
      </c>
      <c r="AP419" s="19"/>
      <c r="AQ419" s="20" t="str">
        <f t="shared" si="28"/>
        <v/>
      </c>
      <c r="AR419" s="21"/>
    </row>
    <row r="420" spans="2:44" ht="31.5" x14ac:dyDescent="0.5">
      <c r="B420" s="1"/>
      <c r="C420" s="15"/>
      <c r="D420" s="16"/>
      <c r="E420" s="15"/>
      <c r="F420" s="17"/>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4" t="s">
        <v>49</v>
      </c>
      <c r="AM420" s="5" t="str">
        <f t="shared" si="25"/>
        <v/>
      </c>
      <c r="AN420" s="5" t="str">
        <f t="shared" si="26"/>
        <v/>
      </c>
      <c r="AO420" s="18" t="str">
        <f t="shared" si="27"/>
        <v/>
      </c>
      <c r="AP420" s="19"/>
      <c r="AQ420" s="20" t="str">
        <f t="shared" si="28"/>
        <v/>
      </c>
      <c r="AR420" s="21"/>
    </row>
    <row r="421" spans="2:44" ht="31.5" x14ac:dyDescent="0.5">
      <c r="B421" s="1"/>
      <c r="C421" s="15"/>
      <c r="D421" s="16"/>
      <c r="E421" s="15"/>
      <c r="F421" s="17"/>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4" t="s">
        <v>49</v>
      </c>
      <c r="AM421" s="5" t="str">
        <f t="shared" si="25"/>
        <v/>
      </c>
      <c r="AN421" s="5" t="str">
        <f t="shared" si="26"/>
        <v/>
      </c>
      <c r="AO421" s="18" t="str">
        <f t="shared" si="27"/>
        <v/>
      </c>
      <c r="AP421" s="19"/>
      <c r="AQ421" s="20" t="str">
        <f t="shared" si="28"/>
        <v/>
      </c>
      <c r="AR421" s="21"/>
    </row>
    <row r="422" spans="2:44" ht="31.5" x14ac:dyDescent="0.5">
      <c r="B422" s="1"/>
      <c r="C422" s="15"/>
      <c r="D422" s="16"/>
      <c r="E422" s="15"/>
      <c r="F422" s="17"/>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4" t="s">
        <v>49</v>
      </c>
      <c r="AM422" s="5" t="str">
        <f t="shared" si="25"/>
        <v/>
      </c>
      <c r="AN422" s="5" t="str">
        <f t="shared" si="26"/>
        <v/>
      </c>
      <c r="AO422" s="18" t="str">
        <f t="shared" si="27"/>
        <v/>
      </c>
      <c r="AP422" s="19"/>
      <c r="AQ422" s="20" t="str">
        <f t="shared" si="28"/>
        <v/>
      </c>
      <c r="AR422" s="21"/>
    </row>
    <row r="423" spans="2:44" ht="31.5" x14ac:dyDescent="0.5">
      <c r="B423" s="1"/>
      <c r="C423" s="15"/>
      <c r="D423" s="16"/>
      <c r="E423" s="15"/>
      <c r="F423" s="17"/>
      <c r="G423" s="8"/>
      <c r="H423" s="8"/>
      <c r="I423" s="8"/>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4" t="s">
        <v>49</v>
      </c>
      <c r="AM423" s="5" t="str">
        <f t="shared" si="25"/>
        <v/>
      </c>
      <c r="AN423" s="5" t="str">
        <f t="shared" si="26"/>
        <v/>
      </c>
      <c r="AO423" s="18" t="str">
        <f t="shared" si="27"/>
        <v/>
      </c>
      <c r="AP423" s="19"/>
      <c r="AQ423" s="20" t="str">
        <f t="shared" si="28"/>
        <v/>
      </c>
      <c r="AR423" s="21"/>
    </row>
    <row r="424" spans="2:44" ht="31.5" x14ac:dyDescent="0.5">
      <c r="B424" s="1"/>
      <c r="C424" s="15"/>
      <c r="D424" s="16"/>
      <c r="E424" s="15"/>
      <c r="F424" s="17"/>
      <c r="G424" s="8"/>
      <c r="H424" s="8"/>
      <c r="I424" s="8"/>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4" t="s">
        <v>49</v>
      </c>
      <c r="AM424" s="5" t="str">
        <f t="shared" si="25"/>
        <v/>
      </c>
      <c r="AN424" s="5" t="str">
        <f t="shared" si="26"/>
        <v/>
      </c>
      <c r="AO424" s="18" t="str">
        <f t="shared" si="27"/>
        <v/>
      </c>
      <c r="AP424" s="19"/>
      <c r="AQ424" s="20" t="str">
        <f t="shared" si="28"/>
        <v/>
      </c>
      <c r="AR424" s="21"/>
    </row>
    <row r="425" spans="2:44" ht="31.5" x14ac:dyDescent="0.5">
      <c r="B425" s="1"/>
      <c r="C425" s="15"/>
      <c r="D425" s="16"/>
      <c r="E425" s="15"/>
      <c r="F425" s="17"/>
      <c r="G425" s="8"/>
      <c r="H425" s="8"/>
      <c r="I425" s="8"/>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4" t="s">
        <v>49</v>
      </c>
      <c r="AM425" s="5" t="str">
        <f t="shared" si="25"/>
        <v/>
      </c>
      <c r="AN425" s="5" t="str">
        <f t="shared" si="26"/>
        <v/>
      </c>
      <c r="AO425" s="18" t="str">
        <f t="shared" si="27"/>
        <v/>
      </c>
      <c r="AP425" s="19"/>
      <c r="AQ425" s="20" t="str">
        <f t="shared" si="28"/>
        <v/>
      </c>
      <c r="AR425" s="21"/>
    </row>
    <row r="426" spans="2:44" ht="31.5" x14ac:dyDescent="0.5">
      <c r="B426" s="1"/>
      <c r="C426" s="15"/>
      <c r="D426" s="16"/>
      <c r="E426" s="15"/>
      <c r="F426" s="17"/>
      <c r="G426" s="8"/>
      <c r="H426" s="8"/>
      <c r="I426" s="8"/>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4" t="s">
        <v>49</v>
      </c>
      <c r="AM426" s="5" t="str">
        <f t="shared" si="25"/>
        <v/>
      </c>
      <c r="AN426" s="5" t="str">
        <f t="shared" si="26"/>
        <v/>
      </c>
      <c r="AO426" s="18" t="str">
        <f t="shared" si="27"/>
        <v/>
      </c>
      <c r="AP426" s="19"/>
      <c r="AQ426" s="20" t="str">
        <f t="shared" si="28"/>
        <v/>
      </c>
      <c r="AR426" s="21"/>
    </row>
    <row r="427" spans="2:44" ht="31.5" x14ac:dyDescent="0.5">
      <c r="B427" s="1"/>
      <c r="C427" s="15"/>
      <c r="D427" s="16"/>
      <c r="E427" s="15"/>
      <c r="F427" s="17"/>
      <c r="G427" s="8"/>
      <c r="H427" s="8"/>
      <c r="I427" s="8"/>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4" t="s">
        <v>49</v>
      </c>
      <c r="AM427" s="5" t="str">
        <f t="shared" si="25"/>
        <v/>
      </c>
      <c r="AN427" s="5" t="str">
        <f t="shared" si="26"/>
        <v/>
      </c>
      <c r="AO427" s="18" t="str">
        <f t="shared" si="27"/>
        <v/>
      </c>
      <c r="AP427" s="19"/>
      <c r="AQ427" s="20" t="str">
        <f t="shared" si="28"/>
        <v/>
      </c>
      <c r="AR427" s="21"/>
    </row>
    <row r="428" spans="2:44" ht="31.5" x14ac:dyDescent="0.5">
      <c r="B428" s="1"/>
      <c r="C428" s="15"/>
      <c r="D428" s="16"/>
      <c r="E428" s="15"/>
      <c r="F428" s="17"/>
      <c r="G428" s="8"/>
      <c r="H428" s="8"/>
      <c r="I428" s="8"/>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4" t="s">
        <v>49</v>
      </c>
      <c r="AM428" s="5" t="str">
        <f t="shared" si="25"/>
        <v/>
      </c>
      <c r="AN428" s="5" t="str">
        <f t="shared" si="26"/>
        <v/>
      </c>
      <c r="AO428" s="18" t="str">
        <f t="shared" si="27"/>
        <v/>
      </c>
      <c r="AP428" s="19"/>
      <c r="AQ428" s="20" t="str">
        <f t="shared" si="28"/>
        <v/>
      </c>
      <c r="AR428" s="21"/>
    </row>
    <row r="429" spans="2:44" ht="31.5" x14ac:dyDescent="0.5">
      <c r="B429" s="1"/>
      <c r="C429" s="15"/>
      <c r="D429" s="16"/>
      <c r="E429" s="15"/>
      <c r="F429" s="17"/>
      <c r="G429" s="8"/>
      <c r="H429" s="8"/>
      <c r="I429" s="8"/>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4" t="s">
        <v>49</v>
      </c>
      <c r="AM429" s="5" t="str">
        <f t="shared" si="25"/>
        <v/>
      </c>
      <c r="AN429" s="5" t="str">
        <f t="shared" si="26"/>
        <v/>
      </c>
      <c r="AO429" s="18" t="str">
        <f t="shared" si="27"/>
        <v/>
      </c>
      <c r="AP429" s="19"/>
      <c r="AQ429" s="20" t="str">
        <f t="shared" si="28"/>
        <v/>
      </c>
      <c r="AR429" s="21"/>
    </row>
    <row r="430" spans="2:44" ht="31.5" x14ac:dyDescent="0.5">
      <c r="B430" s="1"/>
      <c r="C430" s="15"/>
      <c r="D430" s="16"/>
      <c r="E430" s="15"/>
      <c r="F430" s="17"/>
      <c r="G430" s="8"/>
      <c r="H430" s="8"/>
      <c r="I430" s="8"/>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4" t="s">
        <v>49</v>
      </c>
      <c r="AM430" s="5" t="str">
        <f t="shared" si="25"/>
        <v/>
      </c>
      <c r="AN430" s="5" t="str">
        <f t="shared" si="26"/>
        <v/>
      </c>
      <c r="AO430" s="18" t="str">
        <f t="shared" si="27"/>
        <v/>
      </c>
      <c r="AP430" s="19"/>
      <c r="AQ430" s="20" t="str">
        <f t="shared" si="28"/>
        <v/>
      </c>
      <c r="AR430" s="21"/>
    </row>
    <row r="431" spans="2:44" ht="31.5" x14ac:dyDescent="0.5">
      <c r="B431" s="1"/>
      <c r="C431" s="15"/>
      <c r="D431" s="16"/>
      <c r="E431" s="15"/>
      <c r="F431" s="17"/>
      <c r="G431" s="8"/>
      <c r="H431" s="8"/>
      <c r="I431" s="8"/>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4" t="s">
        <v>49</v>
      </c>
      <c r="AM431" s="5" t="str">
        <f t="shared" si="25"/>
        <v/>
      </c>
      <c r="AN431" s="5" t="str">
        <f t="shared" si="26"/>
        <v/>
      </c>
      <c r="AO431" s="18" t="str">
        <f t="shared" si="27"/>
        <v/>
      </c>
      <c r="AP431" s="19"/>
      <c r="AQ431" s="20" t="str">
        <f t="shared" si="28"/>
        <v/>
      </c>
      <c r="AR431" s="21"/>
    </row>
    <row r="432" spans="2:44" ht="31.5" x14ac:dyDescent="0.5">
      <c r="B432" s="1"/>
      <c r="C432" s="15"/>
      <c r="D432" s="16"/>
      <c r="E432" s="15"/>
      <c r="F432" s="17"/>
      <c r="G432" s="8"/>
      <c r="H432" s="8"/>
      <c r="I432" s="8"/>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4" t="s">
        <v>49</v>
      </c>
      <c r="AM432" s="5" t="str">
        <f t="shared" si="25"/>
        <v/>
      </c>
      <c r="AN432" s="5" t="str">
        <f t="shared" si="26"/>
        <v/>
      </c>
      <c r="AO432" s="18" t="str">
        <f t="shared" si="27"/>
        <v/>
      </c>
      <c r="AP432" s="19"/>
      <c r="AQ432" s="20" t="str">
        <f t="shared" si="28"/>
        <v/>
      </c>
      <c r="AR432" s="21"/>
    </row>
    <row r="433" spans="2:44" ht="31.5" x14ac:dyDescent="0.5">
      <c r="B433" s="1"/>
      <c r="C433" s="15"/>
      <c r="D433" s="16"/>
      <c r="E433" s="15"/>
      <c r="F433" s="17"/>
      <c r="G433" s="8"/>
      <c r="H433" s="8"/>
      <c r="I433" s="8"/>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4" t="s">
        <v>49</v>
      </c>
      <c r="AM433" s="5" t="str">
        <f t="shared" si="25"/>
        <v/>
      </c>
      <c r="AN433" s="5" t="str">
        <f t="shared" si="26"/>
        <v/>
      </c>
      <c r="AO433" s="18" t="str">
        <f t="shared" si="27"/>
        <v/>
      </c>
      <c r="AP433" s="19"/>
      <c r="AQ433" s="20" t="str">
        <f t="shared" si="28"/>
        <v/>
      </c>
      <c r="AR433" s="21"/>
    </row>
    <row r="434" spans="2:44" ht="31.5" x14ac:dyDescent="0.5">
      <c r="B434" s="1"/>
      <c r="C434" s="15"/>
      <c r="D434" s="16"/>
      <c r="E434" s="15"/>
      <c r="F434" s="17"/>
      <c r="G434" s="8"/>
      <c r="H434" s="8"/>
      <c r="I434" s="8"/>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4" t="s">
        <v>49</v>
      </c>
      <c r="AM434" s="5" t="str">
        <f t="shared" si="25"/>
        <v/>
      </c>
      <c r="AN434" s="5" t="str">
        <f t="shared" si="26"/>
        <v/>
      </c>
      <c r="AO434" s="18" t="str">
        <f t="shared" si="27"/>
        <v/>
      </c>
      <c r="AP434" s="19"/>
      <c r="AQ434" s="20" t="str">
        <f t="shared" si="28"/>
        <v/>
      </c>
      <c r="AR434" s="21"/>
    </row>
    <row r="435" spans="2:44" ht="31.5" x14ac:dyDescent="0.5">
      <c r="B435" s="1"/>
      <c r="C435" s="15"/>
      <c r="D435" s="16"/>
      <c r="E435" s="15"/>
      <c r="F435" s="17"/>
      <c r="G435" s="8"/>
      <c r="H435" s="8"/>
      <c r="I435" s="8"/>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4" t="s">
        <v>49</v>
      </c>
      <c r="AM435" s="5" t="str">
        <f t="shared" ref="AM435:AM498" si="29">IF($B435="","",COUNTIF($G435:$AK435,"P"))</f>
        <v/>
      </c>
      <c r="AN435" s="5" t="str">
        <f t="shared" ref="AN435:AN498" si="30">IF($B435="","",COUNTIF($G435:$AK435,"AB"))</f>
        <v/>
      </c>
      <c r="AO435" s="18" t="str">
        <f t="shared" ref="AO435:AO498" si="31">IF($B435="","",SUMPRODUCT(--($G$11:$AK$11&lt;&gt;""),--($G$12:$AK$12&lt;&gt;"Sun")))</f>
        <v/>
      </c>
      <c r="AP435" s="19"/>
      <c r="AQ435" s="20" t="str">
        <f t="shared" ref="AQ435:AQ498" si="32">IF($B435="","",IF(AO435=0,"",AM435/AO435))</f>
        <v/>
      </c>
      <c r="AR435" s="21"/>
    </row>
    <row r="436" spans="2:44" ht="31.5" x14ac:dyDescent="0.5">
      <c r="B436" s="1"/>
      <c r="C436" s="15"/>
      <c r="D436" s="16"/>
      <c r="E436" s="15"/>
      <c r="F436" s="17"/>
      <c r="G436" s="8"/>
      <c r="H436" s="8"/>
      <c r="I436" s="8"/>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4" t="s">
        <v>49</v>
      </c>
      <c r="AM436" s="5" t="str">
        <f t="shared" si="29"/>
        <v/>
      </c>
      <c r="AN436" s="5" t="str">
        <f t="shared" si="30"/>
        <v/>
      </c>
      <c r="AO436" s="18" t="str">
        <f t="shared" si="31"/>
        <v/>
      </c>
      <c r="AP436" s="19"/>
      <c r="AQ436" s="20" t="str">
        <f t="shared" si="32"/>
        <v/>
      </c>
      <c r="AR436" s="21"/>
    </row>
    <row r="437" spans="2:44" ht="31.5" x14ac:dyDescent="0.5">
      <c r="B437" s="1"/>
      <c r="C437" s="15"/>
      <c r="D437" s="16"/>
      <c r="E437" s="15"/>
      <c r="F437" s="17"/>
      <c r="G437" s="8"/>
      <c r="H437" s="8"/>
      <c r="I437" s="8"/>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4" t="s">
        <v>49</v>
      </c>
      <c r="AM437" s="5" t="str">
        <f t="shared" si="29"/>
        <v/>
      </c>
      <c r="AN437" s="5" t="str">
        <f t="shared" si="30"/>
        <v/>
      </c>
      <c r="AO437" s="18" t="str">
        <f t="shared" si="31"/>
        <v/>
      </c>
      <c r="AP437" s="19"/>
      <c r="AQ437" s="20" t="str">
        <f t="shared" si="32"/>
        <v/>
      </c>
      <c r="AR437" s="21"/>
    </row>
    <row r="438" spans="2:44" ht="31.5" x14ac:dyDescent="0.5">
      <c r="B438" s="1"/>
      <c r="C438" s="15"/>
      <c r="D438" s="16"/>
      <c r="E438" s="15"/>
      <c r="F438" s="17"/>
      <c r="G438" s="8"/>
      <c r="H438" s="8"/>
      <c r="I438" s="8"/>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4" t="s">
        <v>49</v>
      </c>
      <c r="AM438" s="5" t="str">
        <f t="shared" si="29"/>
        <v/>
      </c>
      <c r="AN438" s="5" t="str">
        <f t="shared" si="30"/>
        <v/>
      </c>
      <c r="AO438" s="18" t="str">
        <f t="shared" si="31"/>
        <v/>
      </c>
      <c r="AP438" s="19"/>
      <c r="AQ438" s="20" t="str">
        <f t="shared" si="32"/>
        <v/>
      </c>
      <c r="AR438" s="21"/>
    </row>
    <row r="439" spans="2:44" ht="31.5" x14ac:dyDescent="0.5">
      <c r="B439" s="1"/>
      <c r="C439" s="15"/>
      <c r="D439" s="16"/>
      <c r="E439" s="15"/>
      <c r="F439" s="17"/>
      <c r="G439" s="8"/>
      <c r="H439" s="8"/>
      <c r="I439" s="8"/>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4" t="s">
        <v>49</v>
      </c>
      <c r="AM439" s="5" t="str">
        <f t="shared" si="29"/>
        <v/>
      </c>
      <c r="AN439" s="5" t="str">
        <f t="shared" si="30"/>
        <v/>
      </c>
      <c r="AO439" s="18" t="str">
        <f t="shared" si="31"/>
        <v/>
      </c>
      <c r="AP439" s="19"/>
      <c r="AQ439" s="20" t="str">
        <f t="shared" si="32"/>
        <v/>
      </c>
      <c r="AR439" s="21"/>
    </row>
    <row r="440" spans="2:44" ht="31.5" x14ac:dyDescent="0.5">
      <c r="B440" s="1"/>
      <c r="C440" s="15"/>
      <c r="D440" s="16"/>
      <c r="E440" s="15"/>
      <c r="F440" s="17"/>
      <c r="G440" s="8"/>
      <c r="H440" s="8"/>
      <c r="I440" s="8"/>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4" t="s">
        <v>49</v>
      </c>
      <c r="AM440" s="5" t="str">
        <f t="shared" si="29"/>
        <v/>
      </c>
      <c r="AN440" s="5" t="str">
        <f t="shared" si="30"/>
        <v/>
      </c>
      <c r="AO440" s="18" t="str">
        <f t="shared" si="31"/>
        <v/>
      </c>
      <c r="AP440" s="19"/>
      <c r="AQ440" s="20" t="str">
        <f t="shared" si="32"/>
        <v/>
      </c>
      <c r="AR440" s="21"/>
    </row>
    <row r="441" spans="2:44" ht="31.5" x14ac:dyDescent="0.5">
      <c r="B441" s="1"/>
      <c r="C441" s="15"/>
      <c r="D441" s="16"/>
      <c r="E441" s="15"/>
      <c r="F441" s="17"/>
      <c r="G441" s="8"/>
      <c r="H441" s="8"/>
      <c r="I441" s="8"/>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4" t="s">
        <v>49</v>
      </c>
      <c r="AM441" s="5" t="str">
        <f t="shared" si="29"/>
        <v/>
      </c>
      <c r="AN441" s="5" t="str">
        <f t="shared" si="30"/>
        <v/>
      </c>
      <c r="AO441" s="18" t="str">
        <f t="shared" si="31"/>
        <v/>
      </c>
      <c r="AP441" s="19"/>
      <c r="AQ441" s="20" t="str">
        <f t="shared" si="32"/>
        <v/>
      </c>
      <c r="AR441" s="21"/>
    </row>
    <row r="442" spans="2:44" ht="31.5" x14ac:dyDescent="0.5">
      <c r="B442" s="1"/>
      <c r="C442" s="15"/>
      <c r="D442" s="16"/>
      <c r="E442" s="15"/>
      <c r="F442" s="17"/>
      <c r="G442" s="8"/>
      <c r="H442" s="8"/>
      <c r="I442" s="8"/>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4" t="s">
        <v>49</v>
      </c>
      <c r="AM442" s="5" t="str">
        <f t="shared" si="29"/>
        <v/>
      </c>
      <c r="AN442" s="5" t="str">
        <f t="shared" si="30"/>
        <v/>
      </c>
      <c r="AO442" s="18" t="str">
        <f t="shared" si="31"/>
        <v/>
      </c>
      <c r="AP442" s="19"/>
      <c r="AQ442" s="20" t="str">
        <f t="shared" si="32"/>
        <v/>
      </c>
      <c r="AR442" s="21"/>
    </row>
    <row r="443" spans="2:44" ht="31.5" x14ac:dyDescent="0.5">
      <c r="B443" s="1"/>
      <c r="C443" s="15"/>
      <c r="D443" s="16"/>
      <c r="E443" s="15"/>
      <c r="F443" s="17"/>
      <c r="G443" s="8"/>
      <c r="H443" s="8"/>
      <c r="I443" s="8"/>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4" t="s">
        <v>49</v>
      </c>
      <c r="AM443" s="5" t="str">
        <f t="shared" si="29"/>
        <v/>
      </c>
      <c r="AN443" s="5" t="str">
        <f t="shared" si="30"/>
        <v/>
      </c>
      <c r="AO443" s="18" t="str">
        <f t="shared" si="31"/>
        <v/>
      </c>
      <c r="AP443" s="19"/>
      <c r="AQ443" s="20" t="str">
        <f t="shared" si="32"/>
        <v/>
      </c>
      <c r="AR443" s="21"/>
    </row>
    <row r="444" spans="2:44" ht="31.5" x14ac:dyDescent="0.5">
      <c r="B444" s="1"/>
      <c r="C444" s="15"/>
      <c r="D444" s="16"/>
      <c r="E444" s="15"/>
      <c r="F444" s="17"/>
      <c r="G444" s="8"/>
      <c r="H444" s="8"/>
      <c r="I444" s="8"/>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4" t="s">
        <v>49</v>
      </c>
      <c r="AM444" s="5" t="str">
        <f t="shared" si="29"/>
        <v/>
      </c>
      <c r="AN444" s="5" t="str">
        <f t="shared" si="30"/>
        <v/>
      </c>
      <c r="AO444" s="18" t="str">
        <f t="shared" si="31"/>
        <v/>
      </c>
      <c r="AP444" s="19"/>
      <c r="AQ444" s="20" t="str">
        <f t="shared" si="32"/>
        <v/>
      </c>
      <c r="AR444" s="21"/>
    </row>
    <row r="445" spans="2:44" ht="31.5" x14ac:dyDescent="0.5">
      <c r="B445" s="1"/>
      <c r="C445" s="15"/>
      <c r="D445" s="16"/>
      <c r="E445" s="15"/>
      <c r="F445" s="17"/>
      <c r="G445" s="8"/>
      <c r="H445" s="8"/>
      <c r="I445" s="8"/>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4" t="s">
        <v>49</v>
      </c>
      <c r="AM445" s="5" t="str">
        <f t="shared" si="29"/>
        <v/>
      </c>
      <c r="AN445" s="5" t="str">
        <f t="shared" si="30"/>
        <v/>
      </c>
      <c r="AO445" s="18" t="str">
        <f t="shared" si="31"/>
        <v/>
      </c>
      <c r="AP445" s="19"/>
      <c r="AQ445" s="20" t="str">
        <f t="shared" si="32"/>
        <v/>
      </c>
      <c r="AR445" s="21"/>
    </row>
    <row r="446" spans="2:44" ht="31.5" x14ac:dyDescent="0.5">
      <c r="B446" s="1"/>
      <c r="C446" s="15"/>
      <c r="D446" s="16"/>
      <c r="E446" s="15"/>
      <c r="F446" s="17"/>
      <c r="G446" s="8"/>
      <c r="H446" s="8"/>
      <c r="I446" s="8"/>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4" t="s">
        <v>49</v>
      </c>
      <c r="AM446" s="5" t="str">
        <f t="shared" si="29"/>
        <v/>
      </c>
      <c r="AN446" s="5" t="str">
        <f t="shared" si="30"/>
        <v/>
      </c>
      <c r="AO446" s="18" t="str">
        <f t="shared" si="31"/>
        <v/>
      </c>
      <c r="AP446" s="19"/>
      <c r="AQ446" s="20" t="str">
        <f t="shared" si="32"/>
        <v/>
      </c>
      <c r="AR446" s="21"/>
    </row>
    <row r="447" spans="2:44" ht="31.5" x14ac:dyDescent="0.5">
      <c r="B447" s="1"/>
      <c r="C447" s="15"/>
      <c r="D447" s="16"/>
      <c r="E447" s="15"/>
      <c r="F447" s="17"/>
      <c r="G447" s="8"/>
      <c r="H447" s="8"/>
      <c r="I447" s="8"/>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4" t="s">
        <v>49</v>
      </c>
      <c r="AM447" s="5" t="str">
        <f t="shared" si="29"/>
        <v/>
      </c>
      <c r="AN447" s="5" t="str">
        <f t="shared" si="30"/>
        <v/>
      </c>
      <c r="AO447" s="18" t="str">
        <f t="shared" si="31"/>
        <v/>
      </c>
      <c r="AP447" s="19"/>
      <c r="AQ447" s="20" t="str">
        <f t="shared" si="32"/>
        <v/>
      </c>
      <c r="AR447" s="21"/>
    </row>
    <row r="448" spans="2:44" ht="31.5" x14ac:dyDescent="0.5">
      <c r="B448" s="1"/>
      <c r="C448" s="15"/>
      <c r="D448" s="16"/>
      <c r="E448" s="15"/>
      <c r="F448" s="17"/>
      <c r="G448" s="8"/>
      <c r="H448" s="8"/>
      <c r="I448" s="8"/>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4" t="s">
        <v>49</v>
      </c>
      <c r="AM448" s="5" t="str">
        <f t="shared" si="29"/>
        <v/>
      </c>
      <c r="AN448" s="5" t="str">
        <f t="shared" si="30"/>
        <v/>
      </c>
      <c r="AO448" s="18" t="str">
        <f t="shared" si="31"/>
        <v/>
      </c>
      <c r="AP448" s="19"/>
      <c r="AQ448" s="20" t="str">
        <f t="shared" si="32"/>
        <v/>
      </c>
      <c r="AR448" s="21"/>
    </row>
    <row r="449" spans="2:44" ht="31.5" x14ac:dyDescent="0.5">
      <c r="B449" s="1"/>
      <c r="C449" s="15"/>
      <c r="D449" s="16"/>
      <c r="E449" s="15"/>
      <c r="F449" s="17"/>
      <c r="G449" s="8"/>
      <c r="H449" s="8"/>
      <c r="I449" s="8"/>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4" t="s">
        <v>49</v>
      </c>
      <c r="AM449" s="5" t="str">
        <f t="shared" si="29"/>
        <v/>
      </c>
      <c r="AN449" s="5" t="str">
        <f t="shared" si="30"/>
        <v/>
      </c>
      <c r="AO449" s="18" t="str">
        <f t="shared" si="31"/>
        <v/>
      </c>
      <c r="AP449" s="19"/>
      <c r="AQ449" s="20" t="str">
        <f t="shared" si="32"/>
        <v/>
      </c>
      <c r="AR449" s="21"/>
    </row>
    <row r="450" spans="2:44" ht="31.5" x14ac:dyDescent="0.5">
      <c r="B450" s="1"/>
      <c r="C450" s="15"/>
      <c r="D450" s="16"/>
      <c r="E450" s="15"/>
      <c r="F450" s="17"/>
      <c r="G450" s="8"/>
      <c r="H450" s="8"/>
      <c r="I450" s="8"/>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4" t="s">
        <v>49</v>
      </c>
      <c r="AM450" s="5" t="str">
        <f t="shared" si="29"/>
        <v/>
      </c>
      <c r="AN450" s="5" t="str">
        <f t="shared" si="30"/>
        <v/>
      </c>
      <c r="AO450" s="18" t="str">
        <f t="shared" si="31"/>
        <v/>
      </c>
      <c r="AP450" s="19"/>
      <c r="AQ450" s="20" t="str">
        <f t="shared" si="32"/>
        <v/>
      </c>
      <c r="AR450" s="21"/>
    </row>
    <row r="451" spans="2:44" ht="31.5" x14ac:dyDescent="0.5">
      <c r="B451" s="1"/>
      <c r="C451" s="15"/>
      <c r="D451" s="16"/>
      <c r="E451" s="15"/>
      <c r="F451" s="17"/>
      <c r="G451" s="8"/>
      <c r="H451" s="8"/>
      <c r="I451" s="8"/>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4" t="s">
        <v>49</v>
      </c>
      <c r="AM451" s="5" t="str">
        <f t="shared" si="29"/>
        <v/>
      </c>
      <c r="AN451" s="5" t="str">
        <f t="shared" si="30"/>
        <v/>
      </c>
      <c r="AO451" s="18" t="str">
        <f t="shared" si="31"/>
        <v/>
      </c>
      <c r="AP451" s="19"/>
      <c r="AQ451" s="20" t="str">
        <f t="shared" si="32"/>
        <v/>
      </c>
      <c r="AR451" s="21"/>
    </row>
    <row r="452" spans="2:44" ht="31.5" x14ac:dyDescent="0.5">
      <c r="B452" s="1"/>
      <c r="C452" s="15"/>
      <c r="D452" s="16"/>
      <c r="E452" s="15"/>
      <c r="F452" s="17"/>
      <c r="G452" s="8"/>
      <c r="H452" s="8"/>
      <c r="I452" s="8"/>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4" t="s">
        <v>49</v>
      </c>
      <c r="AM452" s="5" t="str">
        <f t="shared" si="29"/>
        <v/>
      </c>
      <c r="AN452" s="5" t="str">
        <f t="shared" si="30"/>
        <v/>
      </c>
      <c r="AO452" s="18" t="str">
        <f t="shared" si="31"/>
        <v/>
      </c>
      <c r="AP452" s="19"/>
      <c r="AQ452" s="20" t="str">
        <f t="shared" si="32"/>
        <v/>
      </c>
      <c r="AR452" s="21"/>
    </row>
    <row r="453" spans="2:44" ht="31.5" x14ac:dyDescent="0.5">
      <c r="B453" s="1"/>
      <c r="C453" s="15"/>
      <c r="D453" s="16"/>
      <c r="E453" s="15"/>
      <c r="F453" s="17"/>
      <c r="G453" s="8"/>
      <c r="H453" s="8"/>
      <c r="I453" s="8"/>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4" t="s">
        <v>49</v>
      </c>
      <c r="AM453" s="5" t="str">
        <f t="shared" si="29"/>
        <v/>
      </c>
      <c r="AN453" s="5" t="str">
        <f t="shared" si="30"/>
        <v/>
      </c>
      <c r="AO453" s="18" t="str">
        <f t="shared" si="31"/>
        <v/>
      </c>
      <c r="AP453" s="19"/>
      <c r="AQ453" s="20" t="str">
        <f t="shared" si="32"/>
        <v/>
      </c>
      <c r="AR453" s="21"/>
    </row>
    <row r="454" spans="2:44" ht="31.5" x14ac:dyDescent="0.5">
      <c r="B454" s="1"/>
      <c r="C454" s="15"/>
      <c r="D454" s="16"/>
      <c r="E454" s="15"/>
      <c r="F454" s="17"/>
      <c r="G454" s="8"/>
      <c r="H454" s="8"/>
      <c r="I454" s="8"/>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4" t="s">
        <v>49</v>
      </c>
      <c r="AM454" s="5" t="str">
        <f t="shared" si="29"/>
        <v/>
      </c>
      <c r="AN454" s="5" t="str">
        <f t="shared" si="30"/>
        <v/>
      </c>
      <c r="AO454" s="18" t="str">
        <f t="shared" si="31"/>
        <v/>
      </c>
      <c r="AP454" s="19"/>
      <c r="AQ454" s="20" t="str">
        <f t="shared" si="32"/>
        <v/>
      </c>
      <c r="AR454" s="21"/>
    </row>
    <row r="455" spans="2:44" ht="31.5" x14ac:dyDescent="0.5">
      <c r="B455" s="1"/>
      <c r="C455" s="15"/>
      <c r="D455" s="16"/>
      <c r="E455" s="15"/>
      <c r="F455" s="17"/>
      <c r="G455" s="8"/>
      <c r="H455" s="8"/>
      <c r="I455" s="8"/>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4" t="s">
        <v>49</v>
      </c>
      <c r="AM455" s="5" t="str">
        <f t="shared" si="29"/>
        <v/>
      </c>
      <c r="AN455" s="5" t="str">
        <f t="shared" si="30"/>
        <v/>
      </c>
      <c r="AO455" s="18" t="str">
        <f t="shared" si="31"/>
        <v/>
      </c>
      <c r="AP455" s="19"/>
      <c r="AQ455" s="20" t="str">
        <f t="shared" si="32"/>
        <v/>
      </c>
      <c r="AR455" s="21"/>
    </row>
    <row r="456" spans="2:44" ht="31.5" x14ac:dyDescent="0.5">
      <c r="B456" s="1"/>
      <c r="C456" s="15"/>
      <c r="D456" s="16"/>
      <c r="E456" s="15"/>
      <c r="F456" s="17"/>
      <c r="G456" s="8"/>
      <c r="H456" s="8"/>
      <c r="I456" s="8"/>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4" t="s">
        <v>49</v>
      </c>
      <c r="AM456" s="5" t="str">
        <f t="shared" si="29"/>
        <v/>
      </c>
      <c r="AN456" s="5" t="str">
        <f t="shared" si="30"/>
        <v/>
      </c>
      <c r="AO456" s="18" t="str">
        <f t="shared" si="31"/>
        <v/>
      </c>
      <c r="AP456" s="19"/>
      <c r="AQ456" s="20" t="str">
        <f t="shared" si="32"/>
        <v/>
      </c>
      <c r="AR456" s="21"/>
    </row>
    <row r="457" spans="2:44" ht="31.5" x14ac:dyDescent="0.5">
      <c r="B457" s="1"/>
      <c r="C457" s="15"/>
      <c r="D457" s="16"/>
      <c r="E457" s="15"/>
      <c r="F457" s="17"/>
      <c r="G457" s="8"/>
      <c r="H457" s="8"/>
      <c r="I457" s="8"/>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4" t="s">
        <v>49</v>
      </c>
      <c r="AM457" s="5" t="str">
        <f t="shared" si="29"/>
        <v/>
      </c>
      <c r="AN457" s="5" t="str">
        <f t="shared" si="30"/>
        <v/>
      </c>
      <c r="AO457" s="18" t="str">
        <f t="shared" si="31"/>
        <v/>
      </c>
      <c r="AP457" s="19"/>
      <c r="AQ457" s="20" t="str">
        <f t="shared" si="32"/>
        <v/>
      </c>
      <c r="AR457" s="21"/>
    </row>
    <row r="458" spans="2:44" ht="31.5" x14ac:dyDescent="0.5">
      <c r="B458" s="1"/>
      <c r="C458" s="15"/>
      <c r="D458" s="16"/>
      <c r="E458" s="15"/>
      <c r="F458" s="17"/>
      <c r="G458" s="8"/>
      <c r="H458" s="8"/>
      <c r="I458" s="8"/>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4" t="s">
        <v>49</v>
      </c>
      <c r="AM458" s="5" t="str">
        <f t="shared" si="29"/>
        <v/>
      </c>
      <c r="AN458" s="5" t="str">
        <f t="shared" si="30"/>
        <v/>
      </c>
      <c r="AO458" s="18" t="str">
        <f t="shared" si="31"/>
        <v/>
      </c>
      <c r="AP458" s="19"/>
      <c r="AQ458" s="20" t="str">
        <f t="shared" si="32"/>
        <v/>
      </c>
      <c r="AR458" s="21"/>
    </row>
    <row r="459" spans="2:44" ht="31.5" x14ac:dyDescent="0.5">
      <c r="B459" s="1"/>
      <c r="C459" s="15"/>
      <c r="D459" s="16"/>
      <c r="E459" s="15"/>
      <c r="F459" s="17"/>
      <c r="G459" s="8"/>
      <c r="H459" s="8"/>
      <c r="I459" s="8"/>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4" t="s">
        <v>49</v>
      </c>
      <c r="AM459" s="5" t="str">
        <f t="shared" si="29"/>
        <v/>
      </c>
      <c r="AN459" s="5" t="str">
        <f t="shared" si="30"/>
        <v/>
      </c>
      <c r="AO459" s="18" t="str">
        <f t="shared" si="31"/>
        <v/>
      </c>
      <c r="AP459" s="19"/>
      <c r="AQ459" s="20" t="str">
        <f t="shared" si="32"/>
        <v/>
      </c>
      <c r="AR459" s="21"/>
    </row>
    <row r="460" spans="2:44" ht="31.5" x14ac:dyDescent="0.5">
      <c r="B460" s="1"/>
      <c r="C460" s="15"/>
      <c r="D460" s="16"/>
      <c r="E460" s="15"/>
      <c r="F460" s="17"/>
      <c r="G460" s="8"/>
      <c r="H460" s="8"/>
      <c r="I460" s="8"/>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4" t="s">
        <v>49</v>
      </c>
      <c r="AM460" s="5" t="str">
        <f t="shared" si="29"/>
        <v/>
      </c>
      <c r="AN460" s="5" t="str">
        <f t="shared" si="30"/>
        <v/>
      </c>
      <c r="AO460" s="18" t="str">
        <f t="shared" si="31"/>
        <v/>
      </c>
      <c r="AP460" s="19"/>
      <c r="AQ460" s="20" t="str">
        <f t="shared" si="32"/>
        <v/>
      </c>
      <c r="AR460" s="21"/>
    </row>
    <row r="461" spans="2:44" ht="31.5" x14ac:dyDescent="0.5">
      <c r="B461" s="1"/>
      <c r="C461" s="15"/>
      <c r="D461" s="16"/>
      <c r="E461" s="15"/>
      <c r="F461" s="17"/>
      <c r="G461" s="8"/>
      <c r="H461" s="8"/>
      <c r="I461" s="8"/>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4" t="s">
        <v>49</v>
      </c>
      <c r="AM461" s="5" t="str">
        <f t="shared" si="29"/>
        <v/>
      </c>
      <c r="AN461" s="5" t="str">
        <f t="shared" si="30"/>
        <v/>
      </c>
      <c r="AO461" s="18" t="str">
        <f t="shared" si="31"/>
        <v/>
      </c>
      <c r="AP461" s="19"/>
      <c r="AQ461" s="20" t="str">
        <f t="shared" si="32"/>
        <v/>
      </c>
      <c r="AR461" s="21"/>
    </row>
    <row r="462" spans="2:44" ht="31.5" x14ac:dyDescent="0.5">
      <c r="B462" s="1"/>
      <c r="C462" s="15"/>
      <c r="D462" s="16"/>
      <c r="E462" s="15"/>
      <c r="F462" s="17"/>
      <c r="G462" s="8"/>
      <c r="H462" s="8"/>
      <c r="I462" s="8"/>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4" t="s">
        <v>49</v>
      </c>
      <c r="AM462" s="5" t="str">
        <f t="shared" si="29"/>
        <v/>
      </c>
      <c r="AN462" s="5" t="str">
        <f t="shared" si="30"/>
        <v/>
      </c>
      <c r="AO462" s="18" t="str">
        <f t="shared" si="31"/>
        <v/>
      </c>
      <c r="AP462" s="19"/>
      <c r="AQ462" s="20" t="str">
        <f t="shared" si="32"/>
        <v/>
      </c>
      <c r="AR462" s="21"/>
    </row>
    <row r="463" spans="2:44" ht="31.5" x14ac:dyDescent="0.5">
      <c r="B463" s="1"/>
      <c r="C463" s="15"/>
      <c r="D463" s="16"/>
      <c r="E463" s="15"/>
      <c r="F463" s="17"/>
      <c r="G463" s="8"/>
      <c r="H463" s="8"/>
      <c r="I463" s="8"/>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4" t="s">
        <v>49</v>
      </c>
      <c r="AM463" s="5" t="str">
        <f t="shared" si="29"/>
        <v/>
      </c>
      <c r="AN463" s="5" t="str">
        <f t="shared" si="30"/>
        <v/>
      </c>
      <c r="AO463" s="18" t="str">
        <f t="shared" si="31"/>
        <v/>
      </c>
      <c r="AP463" s="19"/>
      <c r="AQ463" s="20" t="str">
        <f t="shared" si="32"/>
        <v/>
      </c>
      <c r="AR463" s="21"/>
    </row>
    <row r="464" spans="2:44" ht="31.5" x14ac:dyDescent="0.5">
      <c r="B464" s="1"/>
      <c r="C464" s="15"/>
      <c r="D464" s="16"/>
      <c r="E464" s="15"/>
      <c r="F464" s="17"/>
      <c r="G464" s="8"/>
      <c r="H464" s="8"/>
      <c r="I464" s="8"/>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4" t="s">
        <v>49</v>
      </c>
      <c r="AM464" s="5" t="str">
        <f t="shared" si="29"/>
        <v/>
      </c>
      <c r="AN464" s="5" t="str">
        <f t="shared" si="30"/>
        <v/>
      </c>
      <c r="AO464" s="18" t="str">
        <f t="shared" si="31"/>
        <v/>
      </c>
      <c r="AP464" s="19"/>
      <c r="AQ464" s="20" t="str">
        <f t="shared" si="32"/>
        <v/>
      </c>
      <c r="AR464" s="21"/>
    </row>
    <row r="465" spans="2:44" ht="31.5" x14ac:dyDescent="0.5">
      <c r="B465" s="1"/>
      <c r="C465" s="15"/>
      <c r="D465" s="16"/>
      <c r="E465" s="15"/>
      <c r="F465" s="17"/>
      <c r="G465" s="8"/>
      <c r="H465" s="8"/>
      <c r="I465" s="8"/>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4" t="s">
        <v>49</v>
      </c>
      <c r="AM465" s="5" t="str">
        <f t="shared" si="29"/>
        <v/>
      </c>
      <c r="AN465" s="5" t="str">
        <f t="shared" si="30"/>
        <v/>
      </c>
      <c r="AO465" s="18" t="str">
        <f t="shared" si="31"/>
        <v/>
      </c>
      <c r="AP465" s="19"/>
      <c r="AQ465" s="20" t="str">
        <f t="shared" si="32"/>
        <v/>
      </c>
      <c r="AR465" s="21"/>
    </row>
    <row r="466" spans="2:44" ht="31.5" x14ac:dyDescent="0.5">
      <c r="B466" s="1"/>
      <c r="C466" s="15"/>
      <c r="D466" s="16"/>
      <c r="E466" s="15"/>
      <c r="F466" s="17"/>
      <c r="G466" s="8"/>
      <c r="H466" s="8"/>
      <c r="I466" s="8"/>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4" t="s">
        <v>49</v>
      </c>
      <c r="AM466" s="5" t="str">
        <f t="shared" si="29"/>
        <v/>
      </c>
      <c r="AN466" s="5" t="str">
        <f t="shared" si="30"/>
        <v/>
      </c>
      <c r="AO466" s="18" t="str">
        <f t="shared" si="31"/>
        <v/>
      </c>
      <c r="AP466" s="19"/>
      <c r="AQ466" s="20" t="str">
        <f t="shared" si="32"/>
        <v/>
      </c>
      <c r="AR466" s="21"/>
    </row>
    <row r="467" spans="2:44" ht="31.5" x14ac:dyDescent="0.5">
      <c r="B467" s="1"/>
      <c r="C467" s="15"/>
      <c r="D467" s="16"/>
      <c r="E467" s="15"/>
      <c r="F467" s="17"/>
      <c r="G467" s="8"/>
      <c r="H467" s="8"/>
      <c r="I467" s="8"/>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4" t="s">
        <v>49</v>
      </c>
      <c r="AM467" s="5" t="str">
        <f t="shared" si="29"/>
        <v/>
      </c>
      <c r="AN467" s="5" t="str">
        <f t="shared" si="30"/>
        <v/>
      </c>
      <c r="AO467" s="18" t="str">
        <f t="shared" si="31"/>
        <v/>
      </c>
      <c r="AP467" s="19"/>
      <c r="AQ467" s="20" t="str">
        <f t="shared" si="32"/>
        <v/>
      </c>
      <c r="AR467" s="21"/>
    </row>
    <row r="468" spans="2:44" ht="31.5" x14ac:dyDescent="0.5">
      <c r="B468" s="1"/>
      <c r="C468" s="15"/>
      <c r="D468" s="16"/>
      <c r="E468" s="15"/>
      <c r="F468" s="17"/>
      <c r="G468" s="8"/>
      <c r="H468" s="8"/>
      <c r="I468" s="8"/>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4" t="s">
        <v>49</v>
      </c>
      <c r="AM468" s="5" t="str">
        <f t="shared" si="29"/>
        <v/>
      </c>
      <c r="AN468" s="5" t="str">
        <f t="shared" si="30"/>
        <v/>
      </c>
      <c r="AO468" s="18" t="str">
        <f t="shared" si="31"/>
        <v/>
      </c>
      <c r="AP468" s="19"/>
      <c r="AQ468" s="20" t="str">
        <f t="shared" si="32"/>
        <v/>
      </c>
      <c r="AR468" s="21"/>
    </row>
    <row r="469" spans="2:44" ht="31.5" x14ac:dyDescent="0.5">
      <c r="B469" s="1"/>
      <c r="C469" s="15"/>
      <c r="D469" s="16"/>
      <c r="E469" s="15"/>
      <c r="F469" s="17"/>
      <c r="G469" s="8"/>
      <c r="H469" s="8"/>
      <c r="I469" s="8"/>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4" t="s">
        <v>49</v>
      </c>
      <c r="AM469" s="5" t="str">
        <f t="shared" si="29"/>
        <v/>
      </c>
      <c r="AN469" s="5" t="str">
        <f t="shared" si="30"/>
        <v/>
      </c>
      <c r="AO469" s="18" t="str">
        <f t="shared" si="31"/>
        <v/>
      </c>
      <c r="AP469" s="19"/>
      <c r="AQ469" s="20" t="str">
        <f t="shared" si="32"/>
        <v/>
      </c>
      <c r="AR469" s="21"/>
    </row>
    <row r="470" spans="2:44" ht="31.5" x14ac:dyDescent="0.5">
      <c r="B470" s="1"/>
      <c r="C470" s="15"/>
      <c r="D470" s="16"/>
      <c r="E470" s="15"/>
      <c r="F470" s="17"/>
      <c r="G470" s="8"/>
      <c r="H470" s="8"/>
      <c r="I470" s="8"/>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4" t="s">
        <v>49</v>
      </c>
      <c r="AM470" s="5" t="str">
        <f t="shared" si="29"/>
        <v/>
      </c>
      <c r="AN470" s="5" t="str">
        <f t="shared" si="30"/>
        <v/>
      </c>
      <c r="AO470" s="18" t="str">
        <f t="shared" si="31"/>
        <v/>
      </c>
      <c r="AP470" s="19"/>
      <c r="AQ470" s="20" t="str">
        <f t="shared" si="32"/>
        <v/>
      </c>
      <c r="AR470" s="21"/>
    </row>
    <row r="471" spans="2:44" ht="31.5" x14ac:dyDescent="0.5">
      <c r="B471" s="1"/>
      <c r="C471" s="15"/>
      <c r="D471" s="16"/>
      <c r="E471" s="15"/>
      <c r="F471" s="17"/>
      <c r="G471" s="8"/>
      <c r="H471" s="8"/>
      <c r="I471" s="8"/>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4" t="s">
        <v>49</v>
      </c>
      <c r="AM471" s="5" t="str">
        <f t="shared" si="29"/>
        <v/>
      </c>
      <c r="AN471" s="5" t="str">
        <f t="shared" si="30"/>
        <v/>
      </c>
      <c r="AO471" s="18" t="str">
        <f t="shared" si="31"/>
        <v/>
      </c>
      <c r="AP471" s="19"/>
      <c r="AQ471" s="20" t="str">
        <f t="shared" si="32"/>
        <v/>
      </c>
      <c r="AR471" s="21"/>
    </row>
    <row r="472" spans="2:44" ht="31.5" x14ac:dyDescent="0.5">
      <c r="B472" s="1"/>
      <c r="C472" s="15"/>
      <c r="D472" s="16"/>
      <c r="E472" s="15"/>
      <c r="F472" s="17"/>
      <c r="G472" s="8"/>
      <c r="H472" s="8"/>
      <c r="I472" s="8"/>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4" t="s">
        <v>49</v>
      </c>
      <c r="AM472" s="5" t="str">
        <f t="shared" si="29"/>
        <v/>
      </c>
      <c r="AN472" s="5" t="str">
        <f t="shared" si="30"/>
        <v/>
      </c>
      <c r="AO472" s="18" t="str">
        <f t="shared" si="31"/>
        <v/>
      </c>
      <c r="AP472" s="19"/>
      <c r="AQ472" s="20" t="str">
        <f t="shared" si="32"/>
        <v/>
      </c>
      <c r="AR472" s="21"/>
    </row>
    <row r="473" spans="2:44" ht="31.5" x14ac:dyDescent="0.5">
      <c r="B473" s="1"/>
      <c r="C473" s="15"/>
      <c r="D473" s="16"/>
      <c r="E473" s="15"/>
      <c r="F473" s="17"/>
      <c r="G473" s="8"/>
      <c r="H473" s="8"/>
      <c r="I473" s="8"/>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4" t="s">
        <v>49</v>
      </c>
      <c r="AM473" s="5" t="str">
        <f t="shared" si="29"/>
        <v/>
      </c>
      <c r="AN473" s="5" t="str">
        <f t="shared" si="30"/>
        <v/>
      </c>
      <c r="AO473" s="18" t="str">
        <f t="shared" si="31"/>
        <v/>
      </c>
      <c r="AP473" s="19"/>
      <c r="AQ473" s="20" t="str">
        <f t="shared" si="32"/>
        <v/>
      </c>
      <c r="AR473" s="21"/>
    </row>
    <row r="474" spans="2:44" ht="31.5" x14ac:dyDescent="0.5">
      <c r="B474" s="1"/>
      <c r="C474" s="15"/>
      <c r="D474" s="16"/>
      <c r="E474" s="15"/>
      <c r="F474" s="17"/>
      <c r="G474" s="8"/>
      <c r="H474" s="8"/>
      <c r="I474" s="8"/>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4" t="s">
        <v>49</v>
      </c>
      <c r="AM474" s="5" t="str">
        <f t="shared" si="29"/>
        <v/>
      </c>
      <c r="AN474" s="5" t="str">
        <f t="shared" si="30"/>
        <v/>
      </c>
      <c r="AO474" s="18" t="str">
        <f t="shared" si="31"/>
        <v/>
      </c>
      <c r="AP474" s="19"/>
      <c r="AQ474" s="20" t="str">
        <f t="shared" si="32"/>
        <v/>
      </c>
      <c r="AR474" s="21"/>
    </row>
    <row r="475" spans="2:44" ht="31.5" x14ac:dyDescent="0.5">
      <c r="B475" s="1"/>
      <c r="C475" s="15"/>
      <c r="D475" s="16"/>
      <c r="E475" s="15"/>
      <c r="F475" s="17"/>
      <c r="G475" s="8"/>
      <c r="H475" s="8"/>
      <c r="I475" s="8"/>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4" t="s">
        <v>49</v>
      </c>
      <c r="AM475" s="5" t="str">
        <f t="shared" si="29"/>
        <v/>
      </c>
      <c r="AN475" s="5" t="str">
        <f t="shared" si="30"/>
        <v/>
      </c>
      <c r="AO475" s="18" t="str">
        <f t="shared" si="31"/>
        <v/>
      </c>
      <c r="AP475" s="19"/>
      <c r="AQ475" s="20" t="str">
        <f t="shared" si="32"/>
        <v/>
      </c>
      <c r="AR475" s="21"/>
    </row>
    <row r="476" spans="2:44" ht="31.5" x14ac:dyDescent="0.5">
      <c r="B476" s="1"/>
      <c r="C476" s="15"/>
      <c r="D476" s="16"/>
      <c r="E476" s="15"/>
      <c r="F476" s="17"/>
      <c r="G476" s="8"/>
      <c r="H476" s="8"/>
      <c r="I476" s="8"/>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4" t="s">
        <v>49</v>
      </c>
      <c r="AM476" s="5" t="str">
        <f t="shared" si="29"/>
        <v/>
      </c>
      <c r="AN476" s="5" t="str">
        <f t="shared" si="30"/>
        <v/>
      </c>
      <c r="AO476" s="18" t="str">
        <f t="shared" si="31"/>
        <v/>
      </c>
      <c r="AP476" s="19"/>
      <c r="AQ476" s="20" t="str">
        <f t="shared" si="32"/>
        <v/>
      </c>
      <c r="AR476" s="21"/>
    </row>
    <row r="477" spans="2:44" ht="31.5" x14ac:dyDescent="0.5">
      <c r="B477" s="1"/>
      <c r="C477" s="15"/>
      <c r="D477" s="16"/>
      <c r="E477" s="15"/>
      <c r="F477" s="17"/>
      <c r="G477" s="8"/>
      <c r="H477" s="8"/>
      <c r="I477" s="8"/>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4" t="s">
        <v>49</v>
      </c>
      <c r="AM477" s="5" t="str">
        <f t="shared" si="29"/>
        <v/>
      </c>
      <c r="AN477" s="5" t="str">
        <f t="shared" si="30"/>
        <v/>
      </c>
      <c r="AO477" s="18" t="str">
        <f t="shared" si="31"/>
        <v/>
      </c>
      <c r="AP477" s="19"/>
      <c r="AQ477" s="20" t="str">
        <f t="shared" si="32"/>
        <v/>
      </c>
      <c r="AR477" s="21"/>
    </row>
    <row r="478" spans="2:44" ht="31.5" x14ac:dyDescent="0.5">
      <c r="B478" s="1"/>
      <c r="C478" s="15"/>
      <c r="D478" s="16"/>
      <c r="E478" s="15"/>
      <c r="F478" s="17"/>
      <c r="G478" s="8"/>
      <c r="H478" s="8"/>
      <c r="I478" s="8"/>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4" t="s">
        <v>49</v>
      </c>
      <c r="AM478" s="5" t="str">
        <f t="shared" si="29"/>
        <v/>
      </c>
      <c r="AN478" s="5" t="str">
        <f t="shared" si="30"/>
        <v/>
      </c>
      <c r="AO478" s="18" t="str">
        <f t="shared" si="31"/>
        <v/>
      </c>
      <c r="AP478" s="19"/>
      <c r="AQ478" s="20" t="str">
        <f t="shared" si="32"/>
        <v/>
      </c>
      <c r="AR478" s="21"/>
    </row>
    <row r="479" spans="2:44" ht="31.5" x14ac:dyDescent="0.5">
      <c r="B479" s="1"/>
      <c r="C479" s="15"/>
      <c r="D479" s="16"/>
      <c r="E479" s="15"/>
      <c r="F479" s="17"/>
      <c r="G479" s="8"/>
      <c r="H479" s="8"/>
      <c r="I479" s="8"/>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4" t="s">
        <v>49</v>
      </c>
      <c r="AM479" s="5" t="str">
        <f t="shared" si="29"/>
        <v/>
      </c>
      <c r="AN479" s="5" t="str">
        <f t="shared" si="30"/>
        <v/>
      </c>
      <c r="AO479" s="18" t="str">
        <f t="shared" si="31"/>
        <v/>
      </c>
      <c r="AP479" s="19"/>
      <c r="AQ479" s="20" t="str">
        <f t="shared" si="32"/>
        <v/>
      </c>
      <c r="AR479" s="21"/>
    </row>
    <row r="480" spans="2:44" ht="31.5" x14ac:dyDescent="0.5">
      <c r="B480" s="1"/>
      <c r="C480" s="15"/>
      <c r="D480" s="16"/>
      <c r="E480" s="15"/>
      <c r="F480" s="17"/>
      <c r="G480" s="8"/>
      <c r="H480" s="8"/>
      <c r="I480" s="8"/>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4" t="s">
        <v>49</v>
      </c>
      <c r="AM480" s="5" t="str">
        <f t="shared" si="29"/>
        <v/>
      </c>
      <c r="AN480" s="5" t="str">
        <f t="shared" si="30"/>
        <v/>
      </c>
      <c r="AO480" s="18" t="str">
        <f t="shared" si="31"/>
        <v/>
      </c>
      <c r="AP480" s="19"/>
      <c r="AQ480" s="20" t="str">
        <f t="shared" si="32"/>
        <v/>
      </c>
      <c r="AR480" s="21"/>
    </row>
    <row r="481" spans="2:44" ht="31.5" x14ac:dyDescent="0.5">
      <c r="B481" s="1"/>
      <c r="C481" s="15"/>
      <c r="D481" s="16"/>
      <c r="E481" s="15"/>
      <c r="F481" s="17"/>
      <c r="G481" s="8"/>
      <c r="H481" s="8"/>
      <c r="I481" s="8"/>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4" t="s">
        <v>49</v>
      </c>
      <c r="AM481" s="5" t="str">
        <f t="shared" si="29"/>
        <v/>
      </c>
      <c r="AN481" s="5" t="str">
        <f t="shared" si="30"/>
        <v/>
      </c>
      <c r="AO481" s="18" t="str">
        <f t="shared" si="31"/>
        <v/>
      </c>
      <c r="AP481" s="19"/>
      <c r="AQ481" s="20" t="str">
        <f t="shared" si="32"/>
        <v/>
      </c>
      <c r="AR481" s="21"/>
    </row>
    <row r="482" spans="2:44" ht="31.5" x14ac:dyDescent="0.5">
      <c r="B482" s="1"/>
      <c r="C482" s="15"/>
      <c r="D482" s="16"/>
      <c r="E482" s="15"/>
      <c r="F482" s="17"/>
      <c r="G482" s="8"/>
      <c r="H482" s="8"/>
      <c r="I482" s="8"/>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4" t="s">
        <v>49</v>
      </c>
      <c r="AM482" s="5" t="str">
        <f t="shared" si="29"/>
        <v/>
      </c>
      <c r="AN482" s="5" t="str">
        <f t="shared" si="30"/>
        <v/>
      </c>
      <c r="AO482" s="18" t="str">
        <f t="shared" si="31"/>
        <v/>
      </c>
      <c r="AP482" s="19"/>
      <c r="AQ482" s="20" t="str">
        <f t="shared" si="32"/>
        <v/>
      </c>
      <c r="AR482" s="21"/>
    </row>
    <row r="483" spans="2:44" ht="31.5" x14ac:dyDescent="0.5">
      <c r="B483" s="1"/>
      <c r="C483" s="15"/>
      <c r="D483" s="16"/>
      <c r="E483" s="15"/>
      <c r="F483" s="17"/>
      <c r="G483" s="8"/>
      <c r="H483" s="8"/>
      <c r="I483" s="8"/>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4" t="s">
        <v>49</v>
      </c>
      <c r="AM483" s="5" t="str">
        <f t="shared" si="29"/>
        <v/>
      </c>
      <c r="AN483" s="5" t="str">
        <f t="shared" si="30"/>
        <v/>
      </c>
      <c r="AO483" s="18" t="str">
        <f t="shared" si="31"/>
        <v/>
      </c>
      <c r="AP483" s="19"/>
      <c r="AQ483" s="20" t="str">
        <f t="shared" si="32"/>
        <v/>
      </c>
      <c r="AR483" s="21"/>
    </row>
    <row r="484" spans="2:44" ht="31.5" x14ac:dyDescent="0.5">
      <c r="B484" s="1"/>
      <c r="C484" s="15"/>
      <c r="D484" s="16"/>
      <c r="E484" s="15"/>
      <c r="F484" s="17"/>
      <c r="G484" s="8"/>
      <c r="H484" s="8"/>
      <c r="I484" s="8"/>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4" t="s">
        <v>49</v>
      </c>
      <c r="AM484" s="5" t="str">
        <f t="shared" si="29"/>
        <v/>
      </c>
      <c r="AN484" s="5" t="str">
        <f t="shared" si="30"/>
        <v/>
      </c>
      <c r="AO484" s="18" t="str">
        <f t="shared" si="31"/>
        <v/>
      </c>
      <c r="AP484" s="19"/>
      <c r="AQ484" s="20" t="str">
        <f t="shared" si="32"/>
        <v/>
      </c>
      <c r="AR484" s="21"/>
    </row>
    <row r="485" spans="2:44" ht="31.5" x14ac:dyDescent="0.5">
      <c r="B485" s="1"/>
      <c r="C485" s="15"/>
      <c r="D485" s="16"/>
      <c r="E485" s="15"/>
      <c r="F485" s="17"/>
      <c r="G485" s="8"/>
      <c r="H485" s="8"/>
      <c r="I485" s="8"/>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4" t="s">
        <v>49</v>
      </c>
      <c r="AM485" s="5" t="str">
        <f t="shared" si="29"/>
        <v/>
      </c>
      <c r="AN485" s="5" t="str">
        <f t="shared" si="30"/>
        <v/>
      </c>
      <c r="AO485" s="18" t="str">
        <f t="shared" si="31"/>
        <v/>
      </c>
      <c r="AP485" s="19"/>
      <c r="AQ485" s="20" t="str">
        <f t="shared" si="32"/>
        <v/>
      </c>
      <c r="AR485" s="21"/>
    </row>
    <row r="486" spans="2:44" ht="31.5" x14ac:dyDescent="0.5">
      <c r="B486" s="1"/>
      <c r="C486" s="15"/>
      <c r="D486" s="16"/>
      <c r="E486" s="15"/>
      <c r="F486" s="17"/>
      <c r="G486" s="8"/>
      <c r="H486" s="8"/>
      <c r="I486" s="8"/>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4" t="s">
        <v>49</v>
      </c>
      <c r="AM486" s="5" t="str">
        <f t="shared" si="29"/>
        <v/>
      </c>
      <c r="AN486" s="5" t="str">
        <f t="shared" si="30"/>
        <v/>
      </c>
      <c r="AO486" s="18" t="str">
        <f t="shared" si="31"/>
        <v/>
      </c>
      <c r="AP486" s="19"/>
      <c r="AQ486" s="20" t="str">
        <f t="shared" si="32"/>
        <v/>
      </c>
      <c r="AR486" s="21"/>
    </row>
    <row r="487" spans="2:44" ht="31.5" x14ac:dyDescent="0.5">
      <c r="B487" s="1"/>
      <c r="C487" s="15"/>
      <c r="D487" s="16"/>
      <c r="E487" s="15"/>
      <c r="F487" s="17"/>
      <c r="G487" s="8"/>
      <c r="H487" s="8"/>
      <c r="I487" s="8"/>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4" t="s">
        <v>49</v>
      </c>
      <c r="AM487" s="5" t="str">
        <f t="shared" si="29"/>
        <v/>
      </c>
      <c r="AN487" s="5" t="str">
        <f t="shared" si="30"/>
        <v/>
      </c>
      <c r="AO487" s="18" t="str">
        <f t="shared" si="31"/>
        <v/>
      </c>
      <c r="AP487" s="19"/>
      <c r="AQ487" s="20" t="str">
        <f t="shared" si="32"/>
        <v/>
      </c>
      <c r="AR487" s="21"/>
    </row>
    <row r="488" spans="2:44" ht="31.5" x14ac:dyDescent="0.5">
      <c r="B488" s="1"/>
      <c r="C488" s="15"/>
      <c r="D488" s="16"/>
      <c r="E488" s="15"/>
      <c r="F488" s="17"/>
      <c r="G488" s="8"/>
      <c r="H488" s="8"/>
      <c r="I488" s="8"/>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4" t="s">
        <v>49</v>
      </c>
      <c r="AM488" s="5" t="str">
        <f t="shared" si="29"/>
        <v/>
      </c>
      <c r="AN488" s="5" t="str">
        <f t="shared" si="30"/>
        <v/>
      </c>
      <c r="AO488" s="18" t="str">
        <f t="shared" si="31"/>
        <v/>
      </c>
      <c r="AP488" s="19"/>
      <c r="AQ488" s="20" t="str">
        <f t="shared" si="32"/>
        <v/>
      </c>
      <c r="AR488" s="21"/>
    </row>
    <row r="489" spans="2:44" ht="31.5" x14ac:dyDescent="0.5">
      <c r="B489" s="1"/>
      <c r="C489" s="15"/>
      <c r="D489" s="16"/>
      <c r="E489" s="15"/>
      <c r="F489" s="17"/>
      <c r="G489" s="8"/>
      <c r="H489" s="8"/>
      <c r="I489" s="8"/>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4" t="s">
        <v>49</v>
      </c>
      <c r="AM489" s="5" t="str">
        <f t="shared" si="29"/>
        <v/>
      </c>
      <c r="AN489" s="5" t="str">
        <f t="shared" si="30"/>
        <v/>
      </c>
      <c r="AO489" s="18" t="str">
        <f t="shared" si="31"/>
        <v/>
      </c>
      <c r="AP489" s="19"/>
      <c r="AQ489" s="20" t="str">
        <f t="shared" si="32"/>
        <v/>
      </c>
      <c r="AR489" s="21"/>
    </row>
    <row r="490" spans="2:44" ht="31.5" x14ac:dyDescent="0.5">
      <c r="B490" s="1"/>
      <c r="C490" s="15"/>
      <c r="D490" s="16"/>
      <c r="E490" s="15"/>
      <c r="F490" s="17"/>
      <c r="G490" s="8"/>
      <c r="H490" s="8"/>
      <c r="I490" s="8"/>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4" t="s">
        <v>49</v>
      </c>
      <c r="AM490" s="5" t="str">
        <f t="shared" si="29"/>
        <v/>
      </c>
      <c r="AN490" s="5" t="str">
        <f t="shared" si="30"/>
        <v/>
      </c>
      <c r="AO490" s="18" t="str">
        <f t="shared" si="31"/>
        <v/>
      </c>
      <c r="AP490" s="19"/>
      <c r="AQ490" s="20" t="str">
        <f t="shared" si="32"/>
        <v/>
      </c>
      <c r="AR490" s="21"/>
    </row>
    <row r="491" spans="2:44" ht="31.5" x14ac:dyDescent="0.5">
      <c r="B491" s="1"/>
      <c r="C491" s="15"/>
      <c r="D491" s="16"/>
      <c r="E491" s="15"/>
      <c r="F491" s="17"/>
      <c r="G491" s="8"/>
      <c r="H491" s="8"/>
      <c r="I491" s="8"/>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4" t="s">
        <v>49</v>
      </c>
      <c r="AM491" s="5" t="str">
        <f t="shared" si="29"/>
        <v/>
      </c>
      <c r="AN491" s="5" t="str">
        <f t="shared" si="30"/>
        <v/>
      </c>
      <c r="AO491" s="18" t="str">
        <f t="shared" si="31"/>
        <v/>
      </c>
      <c r="AP491" s="19"/>
      <c r="AQ491" s="20" t="str">
        <f t="shared" si="32"/>
        <v/>
      </c>
      <c r="AR491" s="21"/>
    </row>
    <row r="492" spans="2:44" ht="31.5" x14ac:dyDescent="0.5">
      <c r="B492" s="1"/>
      <c r="C492" s="15"/>
      <c r="D492" s="16"/>
      <c r="E492" s="15"/>
      <c r="F492" s="17"/>
      <c r="G492" s="8"/>
      <c r="H492" s="8"/>
      <c r="I492" s="8"/>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4" t="s">
        <v>49</v>
      </c>
      <c r="AM492" s="5" t="str">
        <f t="shared" si="29"/>
        <v/>
      </c>
      <c r="AN492" s="5" t="str">
        <f t="shared" si="30"/>
        <v/>
      </c>
      <c r="AO492" s="18" t="str">
        <f t="shared" si="31"/>
        <v/>
      </c>
      <c r="AP492" s="19"/>
      <c r="AQ492" s="20" t="str">
        <f t="shared" si="32"/>
        <v/>
      </c>
      <c r="AR492" s="21"/>
    </row>
    <row r="493" spans="2:44" ht="31.5" x14ac:dyDescent="0.5">
      <c r="B493" s="1"/>
      <c r="C493" s="15"/>
      <c r="D493" s="16"/>
      <c r="E493" s="15"/>
      <c r="F493" s="17"/>
      <c r="G493" s="8"/>
      <c r="H493" s="8"/>
      <c r="I493" s="8"/>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4" t="s">
        <v>49</v>
      </c>
      <c r="AM493" s="5" t="str">
        <f t="shared" si="29"/>
        <v/>
      </c>
      <c r="AN493" s="5" t="str">
        <f t="shared" si="30"/>
        <v/>
      </c>
      <c r="AO493" s="18" t="str">
        <f t="shared" si="31"/>
        <v/>
      </c>
      <c r="AP493" s="19"/>
      <c r="AQ493" s="20" t="str">
        <f t="shared" si="32"/>
        <v/>
      </c>
      <c r="AR493" s="21"/>
    </row>
    <row r="494" spans="2:44" ht="31.5" x14ac:dyDescent="0.5">
      <c r="B494" s="1"/>
      <c r="C494" s="15"/>
      <c r="D494" s="16"/>
      <c r="E494" s="15"/>
      <c r="F494" s="17"/>
      <c r="G494" s="8"/>
      <c r="H494" s="8"/>
      <c r="I494" s="8"/>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4" t="s">
        <v>49</v>
      </c>
      <c r="AM494" s="5" t="str">
        <f t="shared" si="29"/>
        <v/>
      </c>
      <c r="AN494" s="5" t="str">
        <f t="shared" si="30"/>
        <v/>
      </c>
      <c r="AO494" s="18" t="str">
        <f t="shared" si="31"/>
        <v/>
      </c>
      <c r="AP494" s="19"/>
      <c r="AQ494" s="20" t="str">
        <f t="shared" si="32"/>
        <v/>
      </c>
      <c r="AR494" s="21"/>
    </row>
    <row r="495" spans="2:44" ht="31.5" x14ac:dyDescent="0.5">
      <c r="B495" s="1"/>
      <c r="C495" s="15"/>
      <c r="D495" s="16"/>
      <c r="E495" s="15"/>
      <c r="F495" s="17"/>
      <c r="G495" s="8"/>
      <c r="H495" s="8"/>
      <c r="I495" s="8"/>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4" t="s">
        <v>49</v>
      </c>
      <c r="AM495" s="5" t="str">
        <f t="shared" si="29"/>
        <v/>
      </c>
      <c r="AN495" s="5" t="str">
        <f t="shared" si="30"/>
        <v/>
      </c>
      <c r="AO495" s="18" t="str">
        <f t="shared" si="31"/>
        <v/>
      </c>
      <c r="AP495" s="19"/>
      <c r="AQ495" s="20" t="str">
        <f t="shared" si="32"/>
        <v/>
      </c>
      <c r="AR495" s="21"/>
    </row>
    <row r="496" spans="2:44" ht="31.5" x14ac:dyDescent="0.5">
      <c r="B496" s="1"/>
      <c r="C496" s="15"/>
      <c r="D496" s="16"/>
      <c r="E496" s="15"/>
      <c r="F496" s="17"/>
      <c r="G496" s="8"/>
      <c r="H496" s="8"/>
      <c r="I496" s="8"/>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4" t="s">
        <v>49</v>
      </c>
      <c r="AM496" s="5" t="str">
        <f t="shared" si="29"/>
        <v/>
      </c>
      <c r="AN496" s="5" t="str">
        <f t="shared" si="30"/>
        <v/>
      </c>
      <c r="AO496" s="18" t="str">
        <f t="shared" si="31"/>
        <v/>
      </c>
      <c r="AP496" s="19"/>
      <c r="AQ496" s="20" t="str">
        <f t="shared" si="32"/>
        <v/>
      </c>
      <c r="AR496" s="21"/>
    </row>
    <row r="497" spans="2:44" ht="31.5" x14ac:dyDescent="0.5">
      <c r="B497" s="1"/>
      <c r="C497" s="15"/>
      <c r="D497" s="16"/>
      <c r="E497" s="15"/>
      <c r="F497" s="17"/>
      <c r="G497" s="8"/>
      <c r="H497" s="8"/>
      <c r="I497" s="8"/>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4" t="s">
        <v>49</v>
      </c>
      <c r="AM497" s="5" t="str">
        <f t="shared" si="29"/>
        <v/>
      </c>
      <c r="AN497" s="5" t="str">
        <f t="shared" si="30"/>
        <v/>
      </c>
      <c r="AO497" s="18" t="str">
        <f t="shared" si="31"/>
        <v/>
      </c>
      <c r="AP497" s="19"/>
      <c r="AQ497" s="20" t="str">
        <f t="shared" si="32"/>
        <v/>
      </c>
      <c r="AR497" s="21"/>
    </row>
    <row r="498" spans="2:44" ht="31.5" x14ac:dyDescent="0.5">
      <c r="B498" s="1"/>
      <c r="C498" s="15"/>
      <c r="D498" s="16"/>
      <c r="E498" s="15"/>
      <c r="F498" s="17"/>
      <c r="G498" s="8"/>
      <c r="H498" s="8"/>
      <c r="I498" s="8"/>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4" t="s">
        <v>49</v>
      </c>
      <c r="AM498" s="5" t="str">
        <f t="shared" si="29"/>
        <v/>
      </c>
      <c r="AN498" s="5" t="str">
        <f t="shared" si="30"/>
        <v/>
      </c>
      <c r="AO498" s="18" t="str">
        <f t="shared" si="31"/>
        <v/>
      </c>
      <c r="AP498" s="19"/>
      <c r="AQ498" s="20" t="str">
        <f t="shared" si="32"/>
        <v/>
      </c>
      <c r="AR498" s="21"/>
    </row>
    <row r="499" spans="2:44" ht="31.5" x14ac:dyDescent="0.5">
      <c r="B499" s="1"/>
      <c r="C499" s="15"/>
      <c r="D499" s="16"/>
      <c r="E499" s="15"/>
      <c r="F499" s="17"/>
      <c r="G499" s="8"/>
      <c r="H499" s="8"/>
      <c r="I499" s="8"/>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4" t="s">
        <v>49</v>
      </c>
      <c r="AM499" s="5" t="str">
        <f t="shared" ref="AM499:AM562" si="33">IF($B499="","",COUNTIF($G499:$AK499,"P"))</f>
        <v/>
      </c>
      <c r="AN499" s="5" t="str">
        <f t="shared" ref="AN499:AN562" si="34">IF($B499="","",COUNTIF($G499:$AK499,"AB"))</f>
        <v/>
      </c>
      <c r="AO499" s="18" t="str">
        <f t="shared" ref="AO499:AO562" si="35">IF($B499="","",SUMPRODUCT(--($G$11:$AK$11&lt;&gt;""),--($G$12:$AK$12&lt;&gt;"Sun")))</f>
        <v/>
      </c>
      <c r="AP499" s="19"/>
      <c r="AQ499" s="20" t="str">
        <f t="shared" ref="AQ499:AQ562" si="36">IF($B499="","",IF(AO499=0,"",AM499/AO499))</f>
        <v/>
      </c>
      <c r="AR499" s="21"/>
    </row>
    <row r="500" spans="2:44" ht="31.5" x14ac:dyDescent="0.5">
      <c r="B500" s="1"/>
      <c r="C500" s="15"/>
      <c r="D500" s="16"/>
      <c r="E500" s="15"/>
      <c r="F500" s="17"/>
      <c r="G500" s="8"/>
      <c r="H500" s="8"/>
      <c r="I500" s="8"/>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4" t="s">
        <v>49</v>
      </c>
      <c r="AM500" s="5" t="str">
        <f t="shared" si="33"/>
        <v/>
      </c>
      <c r="AN500" s="5" t="str">
        <f t="shared" si="34"/>
        <v/>
      </c>
      <c r="AO500" s="18" t="str">
        <f t="shared" si="35"/>
        <v/>
      </c>
      <c r="AP500" s="19"/>
      <c r="AQ500" s="20" t="str">
        <f t="shared" si="36"/>
        <v/>
      </c>
      <c r="AR500" s="21"/>
    </row>
    <row r="501" spans="2:44" ht="31.5" x14ac:dyDescent="0.5">
      <c r="B501" s="1"/>
      <c r="C501" s="15"/>
      <c r="D501" s="16"/>
      <c r="E501" s="15"/>
      <c r="F501" s="17"/>
      <c r="G501" s="8"/>
      <c r="H501" s="8"/>
      <c r="I501" s="8"/>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4" t="s">
        <v>49</v>
      </c>
      <c r="AM501" s="5" t="str">
        <f t="shared" si="33"/>
        <v/>
      </c>
      <c r="AN501" s="5" t="str">
        <f t="shared" si="34"/>
        <v/>
      </c>
      <c r="AO501" s="18" t="str">
        <f t="shared" si="35"/>
        <v/>
      </c>
      <c r="AP501" s="19"/>
      <c r="AQ501" s="20" t="str">
        <f t="shared" si="36"/>
        <v/>
      </c>
      <c r="AR501" s="21"/>
    </row>
    <row r="502" spans="2:44" ht="31.5" x14ac:dyDescent="0.5">
      <c r="B502" s="1"/>
      <c r="C502" s="15"/>
      <c r="D502" s="16"/>
      <c r="E502" s="15"/>
      <c r="F502" s="17"/>
      <c r="G502" s="8"/>
      <c r="H502" s="8"/>
      <c r="I502" s="8"/>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4" t="s">
        <v>49</v>
      </c>
      <c r="AM502" s="5" t="str">
        <f t="shared" si="33"/>
        <v/>
      </c>
      <c r="AN502" s="5" t="str">
        <f t="shared" si="34"/>
        <v/>
      </c>
      <c r="AO502" s="18" t="str">
        <f t="shared" si="35"/>
        <v/>
      </c>
      <c r="AP502" s="19"/>
      <c r="AQ502" s="20" t="str">
        <f t="shared" si="36"/>
        <v/>
      </c>
      <c r="AR502" s="21"/>
    </row>
    <row r="503" spans="2:44" ht="31.5" x14ac:dyDescent="0.5">
      <c r="B503" s="1"/>
      <c r="C503" s="15"/>
      <c r="D503" s="16"/>
      <c r="E503" s="15"/>
      <c r="F503" s="17"/>
      <c r="G503" s="8"/>
      <c r="H503" s="8"/>
      <c r="I503" s="8"/>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4" t="s">
        <v>49</v>
      </c>
      <c r="AM503" s="5" t="str">
        <f t="shared" si="33"/>
        <v/>
      </c>
      <c r="AN503" s="5" t="str">
        <f t="shared" si="34"/>
        <v/>
      </c>
      <c r="AO503" s="18" t="str">
        <f t="shared" si="35"/>
        <v/>
      </c>
      <c r="AP503" s="19"/>
      <c r="AQ503" s="20" t="str">
        <f t="shared" si="36"/>
        <v/>
      </c>
      <c r="AR503" s="21"/>
    </row>
    <row r="504" spans="2:44" ht="31.5" x14ac:dyDescent="0.5">
      <c r="B504" s="1"/>
      <c r="C504" s="15"/>
      <c r="D504" s="16"/>
      <c r="E504" s="15"/>
      <c r="F504" s="17"/>
      <c r="G504" s="8"/>
      <c r="H504" s="8"/>
      <c r="I504" s="8"/>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4" t="s">
        <v>49</v>
      </c>
      <c r="AM504" s="5" t="str">
        <f t="shared" si="33"/>
        <v/>
      </c>
      <c r="AN504" s="5" t="str">
        <f t="shared" si="34"/>
        <v/>
      </c>
      <c r="AO504" s="18" t="str">
        <f t="shared" si="35"/>
        <v/>
      </c>
      <c r="AP504" s="19"/>
      <c r="AQ504" s="20" t="str">
        <f t="shared" si="36"/>
        <v/>
      </c>
      <c r="AR504" s="21"/>
    </row>
    <row r="505" spans="2:44" ht="31.5" x14ac:dyDescent="0.5">
      <c r="B505" s="1"/>
      <c r="C505" s="15"/>
      <c r="D505" s="16"/>
      <c r="E505" s="15"/>
      <c r="F505" s="17"/>
      <c r="G505" s="8"/>
      <c r="H505" s="8"/>
      <c r="I505" s="8"/>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4" t="s">
        <v>49</v>
      </c>
      <c r="AM505" s="5" t="str">
        <f t="shared" si="33"/>
        <v/>
      </c>
      <c r="AN505" s="5" t="str">
        <f t="shared" si="34"/>
        <v/>
      </c>
      <c r="AO505" s="18" t="str">
        <f t="shared" si="35"/>
        <v/>
      </c>
      <c r="AP505" s="19"/>
      <c r="AQ505" s="20" t="str">
        <f t="shared" si="36"/>
        <v/>
      </c>
      <c r="AR505" s="21"/>
    </row>
    <row r="506" spans="2:44" ht="31.5" x14ac:dyDescent="0.5">
      <c r="B506" s="1"/>
      <c r="C506" s="15"/>
      <c r="D506" s="16"/>
      <c r="E506" s="15"/>
      <c r="F506" s="17"/>
      <c r="G506" s="8"/>
      <c r="H506" s="8"/>
      <c r="I506" s="8"/>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4" t="s">
        <v>49</v>
      </c>
      <c r="AM506" s="5" t="str">
        <f t="shared" si="33"/>
        <v/>
      </c>
      <c r="AN506" s="5" t="str">
        <f t="shared" si="34"/>
        <v/>
      </c>
      <c r="AO506" s="18" t="str">
        <f t="shared" si="35"/>
        <v/>
      </c>
      <c r="AP506" s="19"/>
      <c r="AQ506" s="20" t="str">
        <f t="shared" si="36"/>
        <v/>
      </c>
      <c r="AR506" s="21"/>
    </row>
    <row r="507" spans="2:44" ht="31.5" x14ac:dyDescent="0.5">
      <c r="B507" s="1"/>
      <c r="C507" s="15"/>
      <c r="D507" s="16"/>
      <c r="E507" s="15"/>
      <c r="F507" s="17"/>
      <c r="G507" s="8"/>
      <c r="H507" s="8"/>
      <c r="I507" s="8"/>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4" t="s">
        <v>49</v>
      </c>
      <c r="AM507" s="5" t="str">
        <f t="shared" si="33"/>
        <v/>
      </c>
      <c r="AN507" s="5" t="str">
        <f t="shared" si="34"/>
        <v/>
      </c>
      <c r="AO507" s="18" t="str">
        <f t="shared" si="35"/>
        <v/>
      </c>
      <c r="AP507" s="19"/>
      <c r="AQ507" s="20" t="str">
        <f t="shared" si="36"/>
        <v/>
      </c>
      <c r="AR507" s="21"/>
    </row>
    <row r="508" spans="2:44" ht="31.5" x14ac:dyDescent="0.5">
      <c r="B508" s="1"/>
      <c r="C508" s="15"/>
      <c r="D508" s="16"/>
      <c r="E508" s="15"/>
      <c r="F508" s="17"/>
      <c r="G508" s="8"/>
      <c r="H508" s="8"/>
      <c r="I508" s="8"/>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4" t="s">
        <v>49</v>
      </c>
      <c r="AM508" s="5" t="str">
        <f t="shared" si="33"/>
        <v/>
      </c>
      <c r="AN508" s="5" t="str">
        <f t="shared" si="34"/>
        <v/>
      </c>
      <c r="AO508" s="18" t="str">
        <f t="shared" si="35"/>
        <v/>
      </c>
      <c r="AP508" s="19"/>
      <c r="AQ508" s="20" t="str">
        <f t="shared" si="36"/>
        <v/>
      </c>
      <c r="AR508" s="21"/>
    </row>
    <row r="509" spans="2:44" ht="31.5" x14ac:dyDescent="0.5">
      <c r="B509" s="1"/>
      <c r="C509" s="15"/>
      <c r="D509" s="16"/>
      <c r="E509" s="15"/>
      <c r="F509" s="17"/>
      <c r="G509" s="8"/>
      <c r="H509" s="8"/>
      <c r="I509" s="8"/>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4" t="s">
        <v>49</v>
      </c>
      <c r="AM509" s="5" t="str">
        <f t="shared" si="33"/>
        <v/>
      </c>
      <c r="AN509" s="5" t="str">
        <f t="shared" si="34"/>
        <v/>
      </c>
      <c r="AO509" s="18" t="str">
        <f t="shared" si="35"/>
        <v/>
      </c>
      <c r="AP509" s="19"/>
      <c r="AQ509" s="20" t="str">
        <f t="shared" si="36"/>
        <v/>
      </c>
      <c r="AR509" s="21"/>
    </row>
    <row r="510" spans="2:44" ht="31.5" x14ac:dyDescent="0.5">
      <c r="B510" s="1"/>
      <c r="C510" s="15"/>
      <c r="D510" s="16"/>
      <c r="E510" s="15"/>
      <c r="F510" s="17"/>
      <c r="G510" s="8"/>
      <c r="H510" s="8"/>
      <c r="I510" s="8"/>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4" t="s">
        <v>49</v>
      </c>
      <c r="AM510" s="5" t="str">
        <f t="shared" si="33"/>
        <v/>
      </c>
      <c r="AN510" s="5" t="str">
        <f t="shared" si="34"/>
        <v/>
      </c>
      <c r="AO510" s="18" t="str">
        <f t="shared" si="35"/>
        <v/>
      </c>
      <c r="AP510" s="19"/>
      <c r="AQ510" s="20" t="str">
        <f t="shared" si="36"/>
        <v/>
      </c>
      <c r="AR510" s="21"/>
    </row>
    <row r="511" spans="2:44" ht="31.5" x14ac:dyDescent="0.5">
      <c r="B511" s="1"/>
      <c r="C511" s="15"/>
      <c r="D511" s="16"/>
      <c r="E511" s="15"/>
      <c r="F511" s="17"/>
      <c r="G511" s="8"/>
      <c r="H511" s="8"/>
      <c r="I511" s="8"/>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4" t="s">
        <v>49</v>
      </c>
      <c r="AM511" s="5" t="str">
        <f t="shared" si="33"/>
        <v/>
      </c>
      <c r="AN511" s="5" t="str">
        <f t="shared" si="34"/>
        <v/>
      </c>
      <c r="AO511" s="18" t="str">
        <f t="shared" si="35"/>
        <v/>
      </c>
      <c r="AP511" s="19"/>
      <c r="AQ511" s="20" t="str">
        <f t="shared" si="36"/>
        <v/>
      </c>
      <c r="AR511" s="21"/>
    </row>
    <row r="512" spans="2:44" ht="31.5" x14ac:dyDescent="0.5">
      <c r="B512" s="1"/>
      <c r="C512" s="15"/>
      <c r="D512" s="16"/>
      <c r="E512" s="15"/>
      <c r="F512" s="17"/>
      <c r="G512" s="8"/>
      <c r="H512" s="8"/>
      <c r="I512" s="8"/>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4" t="s">
        <v>49</v>
      </c>
      <c r="AM512" s="5" t="str">
        <f t="shared" si="33"/>
        <v/>
      </c>
      <c r="AN512" s="5" t="str">
        <f t="shared" si="34"/>
        <v/>
      </c>
      <c r="AO512" s="18" t="str">
        <f t="shared" si="35"/>
        <v/>
      </c>
      <c r="AP512" s="19"/>
      <c r="AQ512" s="20" t="str">
        <f t="shared" si="36"/>
        <v/>
      </c>
      <c r="AR512" s="21"/>
    </row>
    <row r="513" spans="2:44" ht="31.5" x14ac:dyDescent="0.5">
      <c r="B513" s="1"/>
      <c r="C513" s="15"/>
      <c r="D513" s="16"/>
      <c r="E513" s="15"/>
      <c r="F513" s="17"/>
      <c r="G513" s="8"/>
      <c r="H513" s="8"/>
      <c r="I513" s="8"/>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4" t="s">
        <v>49</v>
      </c>
      <c r="AM513" s="5" t="str">
        <f t="shared" si="33"/>
        <v/>
      </c>
      <c r="AN513" s="5" t="str">
        <f t="shared" si="34"/>
        <v/>
      </c>
      <c r="AO513" s="18" t="str">
        <f t="shared" si="35"/>
        <v/>
      </c>
      <c r="AP513" s="19"/>
      <c r="AQ513" s="20" t="str">
        <f t="shared" si="36"/>
        <v/>
      </c>
      <c r="AR513" s="21"/>
    </row>
    <row r="514" spans="2:44" ht="31.5" x14ac:dyDescent="0.5">
      <c r="B514" s="1"/>
      <c r="C514" s="15"/>
      <c r="D514" s="16"/>
      <c r="E514" s="15"/>
      <c r="F514" s="17"/>
      <c r="G514" s="8"/>
      <c r="H514" s="8"/>
      <c r="I514" s="8"/>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4" t="s">
        <v>49</v>
      </c>
      <c r="AM514" s="5" t="str">
        <f t="shared" si="33"/>
        <v/>
      </c>
      <c r="AN514" s="5" t="str">
        <f t="shared" si="34"/>
        <v/>
      </c>
      <c r="AO514" s="18" t="str">
        <f t="shared" si="35"/>
        <v/>
      </c>
      <c r="AP514" s="19"/>
      <c r="AQ514" s="20" t="str">
        <f t="shared" si="36"/>
        <v/>
      </c>
      <c r="AR514" s="21"/>
    </row>
    <row r="515" spans="2:44" ht="31.5" x14ac:dyDescent="0.5">
      <c r="B515" s="1"/>
      <c r="C515" s="15"/>
      <c r="D515" s="16"/>
      <c r="E515" s="15"/>
      <c r="F515" s="17"/>
      <c r="G515" s="8"/>
      <c r="H515" s="8"/>
      <c r="I515" s="8"/>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4" t="s">
        <v>49</v>
      </c>
      <c r="AM515" s="5" t="str">
        <f t="shared" si="33"/>
        <v/>
      </c>
      <c r="AN515" s="5" t="str">
        <f t="shared" si="34"/>
        <v/>
      </c>
      <c r="AO515" s="18" t="str">
        <f t="shared" si="35"/>
        <v/>
      </c>
      <c r="AP515" s="19"/>
      <c r="AQ515" s="20" t="str">
        <f t="shared" si="36"/>
        <v/>
      </c>
      <c r="AR515" s="21"/>
    </row>
    <row r="516" spans="2:44" ht="31.5" x14ac:dyDescent="0.5">
      <c r="B516" s="1"/>
      <c r="C516" s="15"/>
      <c r="D516" s="16"/>
      <c r="E516" s="15"/>
      <c r="F516" s="17"/>
      <c r="G516" s="8"/>
      <c r="H516" s="8"/>
      <c r="I516" s="8"/>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4" t="s">
        <v>49</v>
      </c>
      <c r="AM516" s="5" t="str">
        <f t="shared" si="33"/>
        <v/>
      </c>
      <c r="AN516" s="5" t="str">
        <f t="shared" si="34"/>
        <v/>
      </c>
      <c r="AO516" s="18" t="str">
        <f t="shared" si="35"/>
        <v/>
      </c>
      <c r="AP516" s="19"/>
      <c r="AQ516" s="20" t="str">
        <f t="shared" si="36"/>
        <v/>
      </c>
      <c r="AR516" s="21"/>
    </row>
    <row r="517" spans="2:44" ht="31.5" x14ac:dyDescent="0.5">
      <c r="B517" s="1"/>
      <c r="C517" s="15"/>
      <c r="D517" s="16"/>
      <c r="E517" s="15"/>
      <c r="F517" s="17"/>
      <c r="G517" s="8"/>
      <c r="H517" s="8"/>
      <c r="I517" s="8"/>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4" t="s">
        <v>49</v>
      </c>
      <c r="AM517" s="5" t="str">
        <f t="shared" si="33"/>
        <v/>
      </c>
      <c r="AN517" s="5" t="str">
        <f t="shared" si="34"/>
        <v/>
      </c>
      <c r="AO517" s="18" t="str">
        <f t="shared" si="35"/>
        <v/>
      </c>
      <c r="AP517" s="19"/>
      <c r="AQ517" s="20" t="str">
        <f t="shared" si="36"/>
        <v/>
      </c>
      <c r="AR517" s="21"/>
    </row>
    <row r="518" spans="2:44" ht="31.5" x14ac:dyDescent="0.5">
      <c r="B518" s="1"/>
      <c r="C518" s="15"/>
      <c r="D518" s="16"/>
      <c r="E518" s="15"/>
      <c r="F518" s="17"/>
      <c r="G518" s="8"/>
      <c r="H518" s="8"/>
      <c r="I518" s="8"/>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4" t="s">
        <v>49</v>
      </c>
      <c r="AM518" s="5" t="str">
        <f t="shared" si="33"/>
        <v/>
      </c>
      <c r="AN518" s="5" t="str">
        <f t="shared" si="34"/>
        <v/>
      </c>
      <c r="AO518" s="18" t="str">
        <f t="shared" si="35"/>
        <v/>
      </c>
      <c r="AP518" s="19"/>
      <c r="AQ518" s="20" t="str">
        <f t="shared" si="36"/>
        <v/>
      </c>
      <c r="AR518" s="21"/>
    </row>
    <row r="519" spans="2:44" ht="31.5" x14ac:dyDescent="0.5">
      <c r="B519" s="1"/>
      <c r="C519" s="15"/>
      <c r="D519" s="16"/>
      <c r="E519" s="15"/>
      <c r="F519" s="17"/>
      <c r="G519" s="8"/>
      <c r="H519" s="8"/>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4" t="s">
        <v>49</v>
      </c>
      <c r="AM519" s="5" t="str">
        <f t="shared" si="33"/>
        <v/>
      </c>
      <c r="AN519" s="5" t="str">
        <f t="shared" si="34"/>
        <v/>
      </c>
      <c r="AO519" s="18" t="str">
        <f t="shared" si="35"/>
        <v/>
      </c>
      <c r="AP519" s="19"/>
      <c r="AQ519" s="20" t="str">
        <f t="shared" si="36"/>
        <v/>
      </c>
      <c r="AR519" s="21"/>
    </row>
    <row r="520" spans="2:44" ht="31.5" x14ac:dyDescent="0.5">
      <c r="B520" s="1"/>
      <c r="C520" s="15"/>
      <c r="D520" s="16"/>
      <c r="E520" s="15"/>
      <c r="F520" s="17"/>
      <c r="G520" s="8"/>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4" t="s">
        <v>49</v>
      </c>
      <c r="AM520" s="5" t="str">
        <f t="shared" si="33"/>
        <v/>
      </c>
      <c r="AN520" s="5" t="str">
        <f t="shared" si="34"/>
        <v/>
      </c>
      <c r="AO520" s="18" t="str">
        <f t="shared" si="35"/>
        <v/>
      </c>
      <c r="AP520" s="19"/>
      <c r="AQ520" s="20" t="str">
        <f t="shared" si="36"/>
        <v/>
      </c>
      <c r="AR520" s="21"/>
    </row>
    <row r="521" spans="2:44" ht="31.5" x14ac:dyDescent="0.5">
      <c r="B521" s="1"/>
      <c r="C521" s="15"/>
      <c r="D521" s="16"/>
      <c r="E521" s="15"/>
      <c r="F521" s="17"/>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4" t="s">
        <v>49</v>
      </c>
      <c r="AM521" s="5" t="str">
        <f t="shared" si="33"/>
        <v/>
      </c>
      <c r="AN521" s="5" t="str">
        <f t="shared" si="34"/>
        <v/>
      </c>
      <c r="AO521" s="18" t="str">
        <f t="shared" si="35"/>
        <v/>
      </c>
      <c r="AP521" s="19"/>
      <c r="AQ521" s="20" t="str">
        <f t="shared" si="36"/>
        <v/>
      </c>
      <c r="AR521" s="21"/>
    </row>
    <row r="522" spans="2:44" ht="31.5" x14ac:dyDescent="0.5">
      <c r="B522" s="1"/>
      <c r="C522" s="15"/>
      <c r="D522" s="16"/>
      <c r="E522" s="15"/>
      <c r="F522" s="17"/>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4" t="s">
        <v>49</v>
      </c>
      <c r="AM522" s="5" t="str">
        <f t="shared" si="33"/>
        <v/>
      </c>
      <c r="AN522" s="5" t="str">
        <f t="shared" si="34"/>
        <v/>
      </c>
      <c r="AO522" s="18" t="str">
        <f t="shared" si="35"/>
        <v/>
      </c>
      <c r="AP522" s="19"/>
      <c r="AQ522" s="20" t="str">
        <f t="shared" si="36"/>
        <v/>
      </c>
      <c r="AR522" s="21"/>
    </row>
    <row r="523" spans="2:44" ht="31.5" x14ac:dyDescent="0.5">
      <c r="B523" s="1"/>
      <c r="C523" s="15"/>
      <c r="D523" s="16"/>
      <c r="E523" s="15"/>
      <c r="F523" s="17"/>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4" t="s">
        <v>49</v>
      </c>
      <c r="AM523" s="5" t="str">
        <f t="shared" si="33"/>
        <v/>
      </c>
      <c r="AN523" s="5" t="str">
        <f t="shared" si="34"/>
        <v/>
      </c>
      <c r="AO523" s="18" t="str">
        <f t="shared" si="35"/>
        <v/>
      </c>
      <c r="AP523" s="19"/>
      <c r="AQ523" s="20" t="str">
        <f t="shared" si="36"/>
        <v/>
      </c>
      <c r="AR523" s="21"/>
    </row>
    <row r="524" spans="2:44" ht="31.5" x14ac:dyDescent="0.5">
      <c r="B524" s="1"/>
      <c r="C524" s="15"/>
      <c r="D524" s="16"/>
      <c r="E524" s="15"/>
      <c r="F524" s="17"/>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4" t="s">
        <v>49</v>
      </c>
      <c r="AM524" s="5" t="str">
        <f t="shared" si="33"/>
        <v/>
      </c>
      <c r="AN524" s="5" t="str">
        <f t="shared" si="34"/>
        <v/>
      </c>
      <c r="AO524" s="18" t="str">
        <f t="shared" si="35"/>
        <v/>
      </c>
      <c r="AP524" s="19"/>
      <c r="AQ524" s="20" t="str">
        <f t="shared" si="36"/>
        <v/>
      </c>
      <c r="AR524" s="21"/>
    </row>
    <row r="525" spans="2:44" ht="31.5" x14ac:dyDescent="0.5">
      <c r="B525" s="1"/>
      <c r="C525" s="15"/>
      <c r="D525" s="16"/>
      <c r="E525" s="15"/>
      <c r="F525" s="17"/>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4" t="s">
        <v>49</v>
      </c>
      <c r="AM525" s="5" t="str">
        <f t="shared" si="33"/>
        <v/>
      </c>
      <c r="AN525" s="5" t="str">
        <f t="shared" si="34"/>
        <v/>
      </c>
      <c r="AO525" s="18" t="str">
        <f t="shared" si="35"/>
        <v/>
      </c>
      <c r="AP525" s="19"/>
      <c r="AQ525" s="20" t="str">
        <f t="shared" si="36"/>
        <v/>
      </c>
      <c r="AR525" s="21"/>
    </row>
    <row r="526" spans="2:44" ht="31.5" x14ac:dyDescent="0.5">
      <c r="B526" s="1"/>
      <c r="C526" s="15"/>
      <c r="D526" s="16"/>
      <c r="E526" s="15"/>
      <c r="F526" s="17"/>
      <c r="G526" s="8"/>
      <c r="H526" s="8"/>
      <c r="I526" s="8"/>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4" t="s">
        <v>49</v>
      </c>
      <c r="AM526" s="5" t="str">
        <f t="shared" si="33"/>
        <v/>
      </c>
      <c r="AN526" s="5" t="str">
        <f t="shared" si="34"/>
        <v/>
      </c>
      <c r="AO526" s="18" t="str">
        <f t="shared" si="35"/>
        <v/>
      </c>
      <c r="AP526" s="19"/>
      <c r="AQ526" s="20" t="str">
        <f t="shared" si="36"/>
        <v/>
      </c>
      <c r="AR526" s="21"/>
    </row>
    <row r="527" spans="2:44" ht="31.5" x14ac:dyDescent="0.5">
      <c r="B527" s="1"/>
      <c r="C527" s="15"/>
      <c r="D527" s="16"/>
      <c r="E527" s="15"/>
      <c r="F527" s="17"/>
      <c r="G527" s="8"/>
      <c r="H527" s="8"/>
      <c r="I527" s="8"/>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4" t="s">
        <v>49</v>
      </c>
      <c r="AM527" s="5" t="str">
        <f t="shared" si="33"/>
        <v/>
      </c>
      <c r="AN527" s="5" t="str">
        <f t="shared" si="34"/>
        <v/>
      </c>
      <c r="AO527" s="18" t="str">
        <f t="shared" si="35"/>
        <v/>
      </c>
      <c r="AP527" s="19"/>
      <c r="AQ527" s="20" t="str">
        <f t="shared" si="36"/>
        <v/>
      </c>
      <c r="AR527" s="21"/>
    </row>
    <row r="528" spans="2:44" ht="31.5" x14ac:dyDescent="0.5">
      <c r="B528" s="1"/>
      <c r="C528" s="15"/>
      <c r="D528" s="16"/>
      <c r="E528" s="15"/>
      <c r="F528" s="17"/>
      <c r="G528" s="8"/>
      <c r="H528" s="8"/>
      <c r="I528" s="8"/>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4" t="s">
        <v>49</v>
      </c>
      <c r="AM528" s="5" t="str">
        <f t="shared" si="33"/>
        <v/>
      </c>
      <c r="AN528" s="5" t="str">
        <f t="shared" si="34"/>
        <v/>
      </c>
      <c r="AO528" s="18" t="str">
        <f t="shared" si="35"/>
        <v/>
      </c>
      <c r="AP528" s="19"/>
      <c r="AQ528" s="20" t="str">
        <f t="shared" si="36"/>
        <v/>
      </c>
      <c r="AR528" s="21"/>
    </row>
    <row r="529" spans="2:44" ht="31.5" x14ac:dyDescent="0.5">
      <c r="B529" s="1"/>
      <c r="C529" s="15"/>
      <c r="D529" s="16"/>
      <c r="E529" s="15"/>
      <c r="F529" s="17"/>
      <c r="G529" s="8"/>
      <c r="H529" s="8"/>
      <c r="I529" s="8"/>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4" t="s">
        <v>49</v>
      </c>
      <c r="AM529" s="5" t="str">
        <f t="shared" si="33"/>
        <v/>
      </c>
      <c r="AN529" s="5" t="str">
        <f t="shared" si="34"/>
        <v/>
      </c>
      <c r="AO529" s="18" t="str">
        <f t="shared" si="35"/>
        <v/>
      </c>
      <c r="AP529" s="19"/>
      <c r="AQ529" s="20" t="str">
        <f t="shared" si="36"/>
        <v/>
      </c>
      <c r="AR529" s="21"/>
    </row>
    <row r="530" spans="2:44" ht="31.5" x14ac:dyDescent="0.5">
      <c r="B530" s="1"/>
      <c r="C530" s="15"/>
      <c r="D530" s="16"/>
      <c r="E530" s="15"/>
      <c r="F530" s="17"/>
      <c r="G530" s="8"/>
      <c r="H530" s="8"/>
      <c r="I530" s="8"/>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4" t="s">
        <v>49</v>
      </c>
      <c r="AM530" s="5" t="str">
        <f t="shared" si="33"/>
        <v/>
      </c>
      <c r="AN530" s="5" t="str">
        <f t="shared" si="34"/>
        <v/>
      </c>
      <c r="AO530" s="18" t="str">
        <f t="shared" si="35"/>
        <v/>
      </c>
      <c r="AP530" s="19"/>
      <c r="AQ530" s="20" t="str">
        <f t="shared" si="36"/>
        <v/>
      </c>
      <c r="AR530" s="21"/>
    </row>
    <row r="531" spans="2:44" ht="31.5" x14ac:dyDescent="0.5">
      <c r="B531" s="1"/>
      <c r="C531" s="15"/>
      <c r="D531" s="16"/>
      <c r="E531" s="15"/>
      <c r="F531" s="17"/>
      <c r="G531" s="8"/>
      <c r="H531" s="8"/>
      <c r="I531" s="8"/>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4" t="s">
        <v>49</v>
      </c>
      <c r="AM531" s="5" t="str">
        <f t="shared" si="33"/>
        <v/>
      </c>
      <c r="AN531" s="5" t="str">
        <f t="shared" si="34"/>
        <v/>
      </c>
      <c r="AO531" s="18" t="str">
        <f t="shared" si="35"/>
        <v/>
      </c>
      <c r="AP531" s="19"/>
      <c r="AQ531" s="20" t="str">
        <f t="shared" si="36"/>
        <v/>
      </c>
      <c r="AR531" s="21"/>
    </row>
    <row r="532" spans="2:44" ht="31.5" x14ac:dyDescent="0.5">
      <c r="B532" s="1"/>
      <c r="C532" s="15"/>
      <c r="D532" s="16"/>
      <c r="E532" s="15"/>
      <c r="F532" s="17"/>
      <c r="G532" s="8"/>
      <c r="H532" s="8"/>
      <c r="I532" s="8"/>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4" t="s">
        <v>49</v>
      </c>
      <c r="AM532" s="5" t="str">
        <f t="shared" si="33"/>
        <v/>
      </c>
      <c r="AN532" s="5" t="str">
        <f t="shared" si="34"/>
        <v/>
      </c>
      <c r="AO532" s="18" t="str">
        <f t="shared" si="35"/>
        <v/>
      </c>
      <c r="AP532" s="19"/>
      <c r="AQ532" s="20" t="str">
        <f t="shared" si="36"/>
        <v/>
      </c>
      <c r="AR532" s="21"/>
    </row>
    <row r="533" spans="2:44" ht="31.5" x14ac:dyDescent="0.5">
      <c r="B533" s="1"/>
      <c r="C533" s="15"/>
      <c r="D533" s="16"/>
      <c r="E533" s="15"/>
      <c r="F533" s="17"/>
      <c r="G533" s="8"/>
      <c r="H533" s="8"/>
      <c r="I533" s="8"/>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4" t="s">
        <v>49</v>
      </c>
      <c r="AM533" s="5" t="str">
        <f t="shared" si="33"/>
        <v/>
      </c>
      <c r="AN533" s="5" t="str">
        <f t="shared" si="34"/>
        <v/>
      </c>
      <c r="AO533" s="18" t="str">
        <f t="shared" si="35"/>
        <v/>
      </c>
      <c r="AP533" s="19"/>
      <c r="AQ533" s="20" t="str">
        <f t="shared" si="36"/>
        <v/>
      </c>
      <c r="AR533" s="21"/>
    </row>
    <row r="534" spans="2:44" ht="31.5" x14ac:dyDescent="0.5">
      <c r="B534" s="1"/>
      <c r="C534" s="15"/>
      <c r="D534" s="16"/>
      <c r="E534" s="15"/>
      <c r="F534" s="17"/>
      <c r="G534" s="8"/>
      <c r="H534" s="8"/>
      <c r="I534" s="8"/>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4" t="s">
        <v>49</v>
      </c>
      <c r="AM534" s="5" t="str">
        <f t="shared" si="33"/>
        <v/>
      </c>
      <c r="AN534" s="5" t="str">
        <f t="shared" si="34"/>
        <v/>
      </c>
      <c r="AO534" s="18" t="str">
        <f t="shared" si="35"/>
        <v/>
      </c>
      <c r="AP534" s="19"/>
      <c r="AQ534" s="20" t="str">
        <f t="shared" si="36"/>
        <v/>
      </c>
      <c r="AR534" s="21"/>
    </row>
    <row r="535" spans="2:44" ht="31.5" x14ac:dyDescent="0.5">
      <c r="B535" s="1"/>
      <c r="C535" s="15"/>
      <c r="D535" s="16"/>
      <c r="E535" s="15"/>
      <c r="F535" s="17"/>
      <c r="G535" s="8"/>
      <c r="H535" s="8"/>
      <c r="I535" s="8"/>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4" t="s">
        <v>49</v>
      </c>
      <c r="AM535" s="5" t="str">
        <f t="shared" si="33"/>
        <v/>
      </c>
      <c r="AN535" s="5" t="str">
        <f t="shared" si="34"/>
        <v/>
      </c>
      <c r="AO535" s="18" t="str">
        <f t="shared" si="35"/>
        <v/>
      </c>
      <c r="AP535" s="19"/>
      <c r="AQ535" s="20" t="str">
        <f t="shared" si="36"/>
        <v/>
      </c>
      <c r="AR535" s="21"/>
    </row>
    <row r="536" spans="2:44" ht="31.5" x14ac:dyDescent="0.5">
      <c r="B536" s="1"/>
      <c r="C536" s="15"/>
      <c r="D536" s="16"/>
      <c r="E536" s="15"/>
      <c r="F536" s="17"/>
      <c r="G536" s="8"/>
      <c r="H536" s="8"/>
      <c r="I536" s="8"/>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4" t="s">
        <v>49</v>
      </c>
      <c r="AM536" s="5" t="str">
        <f t="shared" si="33"/>
        <v/>
      </c>
      <c r="AN536" s="5" t="str">
        <f t="shared" si="34"/>
        <v/>
      </c>
      <c r="AO536" s="18" t="str">
        <f t="shared" si="35"/>
        <v/>
      </c>
      <c r="AP536" s="19"/>
      <c r="AQ536" s="20" t="str">
        <f t="shared" si="36"/>
        <v/>
      </c>
      <c r="AR536" s="21"/>
    </row>
    <row r="537" spans="2:44" ht="31.5" x14ac:dyDescent="0.5">
      <c r="B537" s="1"/>
      <c r="C537" s="15"/>
      <c r="D537" s="16"/>
      <c r="E537" s="15"/>
      <c r="F537" s="17"/>
      <c r="G537" s="8"/>
      <c r="H537" s="8"/>
      <c r="I537" s="8"/>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4" t="s">
        <v>49</v>
      </c>
      <c r="AM537" s="5" t="str">
        <f t="shared" si="33"/>
        <v/>
      </c>
      <c r="AN537" s="5" t="str">
        <f t="shared" si="34"/>
        <v/>
      </c>
      <c r="AO537" s="18" t="str">
        <f t="shared" si="35"/>
        <v/>
      </c>
      <c r="AP537" s="19"/>
      <c r="AQ537" s="20" t="str">
        <f t="shared" si="36"/>
        <v/>
      </c>
      <c r="AR537" s="21"/>
    </row>
    <row r="538" spans="2:44" ht="31.5" x14ac:dyDescent="0.5">
      <c r="B538" s="1"/>
      <c r="C538" s="15"/>
      <c r="D538" s="16"/>
      <c r="E538" s="15"/>
      <c r="F538" s="17"/>
      <c r="G538" s="8"/>
      <c r="H538" s="8"/>
      <c r="I538" s="8"/>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4" t="s">
        <v>49</v>
      </c>
      <c r="AM538" s="5" t="str">
        <f t="shared" si="33"/>
        <v/>
      </c>
      <c r="AN538" s="5" t="str">
        <f t="shared" si="34"/>
        <v/>
      </c>
      <c r="AO538" s="18" t="str">
        <f t="shared" si="35"/>
        <v/>
      </c>
      <c r="AP538" s="19"/>
      <c r="AQ538" s="20" t="str">
        <f t="shared" si="36"/>
        <v/>
      </c>
      <c r="AR538" s="21"/>
    </row>
    <row r="539" spans="2:44" ht="31.5" x14ac:dyDescent="0.5">
      <c r="B539" s="1"/>
      <c r="C539" s="15"/>
      <c r="D539" s="16"/>
      <c r="E539" s="15"/>
      <c r="F539" s="17"/>
      <c r="G539" s="8"/>
      <c r="H539" s="8"/>
      <c r="I539" s="8"/>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4" t="s">
        <v>49</v>
      </c>
      <c r="AM539" s="5" t="str">
        <f t="shared" si="33"/>
        <v/>
      </c>
      <c r="AN539" s="5" t="str">
        <f t="shared" si="34"/>
        <v/>
      </c>
      <c r="AO539" s="18" t="str">
        <f t="shared" si="35"/>
        <v/>
      </c>
      <c r="AP539" s="19"/>
      <c r="AQ539" s="20" t="str">
        <f t="shared" si="36"/>
        <v/>
      </c>
      <c r="AR539" s="21"/>
    </row>
    <row r="540" spans="2:44" ht="31.5" x14ac:dyDescent="0.5">
      <c r="B540" s="1"/>
      <c r="C540" s="15"/>
      <c r="D540" s="16"/>
      <c r="E540" s="15"/>
      <c r="F540" s="17"/>
      <c r="G540" s="8"/>
      <c r="H540" s="8"/>
      <c r="I540" s="8"/>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4" t="s">
        <v>49</v>
      </c>
      <c r="AM540" s="5" t="str">
        <f t="shared" si="33"/>
        <v/>
      </c>
      <c r="AN540" s="5" t="str">
        <f t="shared" si="34"/>
        <v/>
      </c>
      <c r="AO540" s="18" t="str">
        <f t="shared" si="35"/>
        <v/>
      </c>
      <c r="AP540" s="19"/>
      <c r="AQ540" s="20" t="str">
        <f t="shared" si="36"/>
        <v/>
      </c>
      <c r="AR540" s="21"/>
    </row>
    <row r="541" spans="2:44" ht="31.5" x14ac:dyDescent="0.5">
      <c r="B541" s="1"/>
      <c r="C541" s="15"/>
      <c r="D541" s="16"/>
      <c r="E541" s="15"/>
      <c r="F541" s="17"/>
      <c r="G541" s="8"/>
      <c r="H541" s="8"/>
      <c r="I541" s="8"/>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4" t="s">
        <v>49</v>
      </c>
      <c r="AM541" s="5" t="str">
        <f t="shared" si="33"/>
        <v/>
      </c>
      <c r="AN541" s="5" t="str">
        <f t="shared" si="34"/>
        <v/>
      </c>
      <c r="AO541" s="18" t="str">
        <f t="shared" si="35"/>
        <v/>
      </c>
      <c r="AP541" s="19"/>
      <c r="AQ541" s="20" t="str">
        <f t="shared" si="36"/>
        <v/>
      </c>
      <c r="AR541" s="21"/>
    </row>
    <row r="542" spans="2:44" ht="31.5" x14ac:dyDescent="0.5">
      <c r="B542" s="1"/>
      <c r="C542" s="15"/>
      <c r="D542" s="16"/>
      <c r="E542" s="15"/>
      <c r="F542" s="17"/>
      <c r="G542" s="8"/>
      <c r="H542" s="8"/>
      <c r="I542" s="8"/>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4" t="s">
        <v>49</v>
      </c>
      <c r="AM542" s="5" t="str">
        <f t="shared" si="33"/>
        <v/>
      </c>
      <c r="AN542" s="5" t="str">
        <f t="shared" si="34"/>
        <v/>
      </c>
      <c r="AO542" s="18" t="str">
        <f t="shared" si="35"/>
        <v/>
      </c>
      <c r="AP542" s="19"/>
      <c r="AQ542" s="20" t="str">
        <f t="shared" si="36"/>
        <v/>
      </c>
      <c r="AR542" s="21"/>
    </row>
    <row r="543" spans="2:44" ht="31.5" x14ac:dyDescent="0.5">
      <c r="B543" s="1"/>
      <c r="C543" s="15"/>
      <c r="D543" s="16"/>
      <c r="E543" s="15"/>
      <c r="F543" s="17"/>
      <c r="G543" s="8"/>
      <c r="H543" s="8"/>
      <c r="I543" s="8"/>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4" t="s">
        <v>49</v>
      </c>
      <c r="AM543" s="5" t="str">
        <f t="shared" si="33"/>
        <v/>
      </c>
      <c r="AN543" s="5" t="str">
        <f t="shared" si="34"/>
        <v/>
      </c>
      <c r="AO543" s="18" t="str">
        <f t="shared" si="35"/>
        <v/>
      </c>
      <c r="AP543" s="19"/>
      <c r="AQ543" s="20" t="str">
        <f t="shared" si="36"/>
        <v/>
      </c>
      <c r="AR543" s="21"/>
    </row>
    <row r="544" spans="2:44" ht="31.5" x14ac:dyDescent="0.5">
      <c r="B544" s="1"/>
      <c r="C544" s="15"/>
      <c r="D544" s="16"/>
      <c r="E544" s="15"/>
      <c r="F544" s="17"/>
      <c r="G544" s="8"/>
      <c r="H544" s="8"/>
      <c r="I544" s="8"/>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4" t="s">
        <v>49</v>
      </c>
      <c r="AM544" s="5" t="str">
        <f t="shared" si="33"/>
        <v/>
      </c>
      <c r="AN544" s="5" t="str">
        <f t="shared" si="34"/>
        <v/>
      </c>
      <c r="AO544" s="18" t="str">
        <f t="shared" si="35"/>
        <v/>
      </c>
      <c r="AP544" s="19"/>
      <c r="AQ544" s="20" t="str">
        <f t="shared" si="36"/>
        <v/>
      </c>
      <c r="AR544" s="21"/>
    </row>
    <row r="545" spans="2:44" ht="31.5" x14ac:dyDescent="0.5">
      <c r="B545" s="1"/>
      <c r="C545" s="15"/>
      <c r="D545" s="16"/>
      <c r="E545" s="15"/>
      <c r="F545" s="17"/>
      <c r="G545" s="8"/>
      <c r="H545" s="8"/>
      <c r="I545" s="8"/>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4" t="s">
        <v>49</v>
      </c>
      <c r="AM545" s="5" t="str">
        <f t="shared" si="33"/>
        <v/>
      </c>
      <c r="AN545" s="5" t="str">
        <f t="shared" si="34"/>
        <v/>
      </c>
      <c r="AO545" s="18" t="str">
        <f t="shared" si="35"/>
        <v/>
      </c>
      <c r="AP545" s="19"/>
      <c r="AQ545" s="20" t="str">
        <f t="shared" si="36"/>
        <v/>
      </c>
      <c r="AR545" s="21"/>
    </row>
    <row r="546" spans="2:44" ht="31.5" x14ac:dyDescent="0.5">
      <c r="B546" s="1"/>
      <c r="C546" s="15"/>
      <c r="D546" s="16"/>
      <c r="E546" s="15"/>
      <c r="F546" s="17"/>
      <c r="G546" s="8"/>
      <c r="H546" s="8"/>
      <c r="I546" s="8"/>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4" t="s">
        <v>49</v>
      </c>
      <c r="AM546" s="5" t="str">
        <f t="shared" si="33"/>
        <v/>
      </c>
      <c r="AN546" s="5" t="str">
        <f t="shared" si="34"/>
        <v/>
      </c>
      <c r="AO546" s="18" t="str">
        <f t="shared" si="35"/>
        <v/>
      </c>
      <c r="AP546" s="19"/>
      <c r="AQ546" s="20" t="str">
        <f t="shared" si="36"/>
        <v/>
      </c>
      <c r="AR546" s="21"/>
    </row>
    <row r="547" spans="2:44" ht="31.5" x14ac:dyDescent="0.5">
      <c r="B547" s="1"/>
      <c r="C547" s="15"/>
      <c r="D547" s="16"/>
      <c r="E547" s="15"/>
      <c r="F547" s="17"/>
      <c r="G547" s="8"/>
      <c r="H547" s="8"/>
      <c r="I547" s="8"/>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4" t="s">
        <v>49</v>
      </c>
      <c r="AM547" s="5" t="str">
        <f t="shared" si="33"/>
        <v/>
      </c>
      <c r="AN547" s="5" t="str">
        <f t="shared" si="34"/>
        <v/>
      </c>
      <c r="AO547" s="18" t="str">
        <f t="shared" si="35"/>
        <v/>
      </c>
      <c r="AP547" s="19"/>
      <c r="AQ547" s="20" t="str">
        <f t="shared" si="36"/>
        <v/>
      </c>
      <c r="AR547" s="21"/>
    </row>
    <row r="548" spans="2:44" ht="31.5" x14ac:dyDescent="0.5">
      <c r="B548" s="1"/>
      <c r="C548" s="15"/>
      <c r="D548" s="16"/>
      <c r="E548" s="15"/>
      <c r="F548" s="17"/>
      <c r="G548" s="8"/>
      <c r="H548" s="8"/>
      <c r="I548" s="8"/>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4" t="s">
        <v>49</v>
      </c>
      <c r="AM548" s="5" t="str">
        <f t="shared" si="33"/>
        <v/>
      </c>
      <c r="AN548" s="5" t="str">
        <f t="shared" si="34"/>
        <v/>
      </c>
      <c r="AO548" s="18" t="str">
        <f t="shared" si="35"/>
        <v/>
      </c>
      <c r="AP548" s="19"/>
      <c r="AQ548" s="20" t="str">
        <f t="shared" si="36"/>
        <v/>
      </c>
      <c r="AR548" s="21"/>
    </row>
    <row r="549" spans="2:44" ht="31.5" x14ac:dyDescent="0.5">
      <c r="B549" s="1"/>
      <c r="C549" s="15"/>
      <c r="D549" s="16"/>
      <c r="E549" s="15"/>
      <c r="F549" s="17"/>
      <c r="G549" s="8"/>
      <c r="H549" s="8"/>
      <c r="I549" s="8"/>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4" t="s">
        <v>49</v>
      </c>
      <c r="AM549" s="5" t="str">
        <f t="shared" si="33"/>
        <v/>
      </c>
      <c r="AN549" s="5" t="str">
        <f t="shared" si="34"/>
        <v/>
      </c>
      <c r="AO549" s="18" t="str">
        <f t="shared" si="35"/>
        <v/>
      </c>
      <c r="AP549" s="19"/>
      <c r="AQ549" s="20" t="str">
        <f t="shared" si="36"/>
        <v/>
      </c>
      <c r="AR549" s="21"/>
    </row>
    <row r="550" spans="2:44" ht="31.5" x14ac:dyDescent="0.5">
      <c r="B550" s="1"/>
      <c r="C550" s="15"/>
      <c r="D550" s="16"/>
      <c r="E550" s="15"/>
      <c r="F550" s="17"/>
      <c r="G550" s="8"/>
      <c r="H550" s="8"/>
      <c r="I550" s="8"/>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4" t="s">
        <v>49</v>
      </c>
      <c r="AM550" s="5" t="str">
        <f t="shared" si="33"/>
        <v/>
      </c>
      <c r="AN550" s="5" t="str">
        <f t="shared" si="34"/>
        <v/>
      </c>
      <c r="AO550" s="18" t="str">
        <f t="shared" si="35"/>
        <v/>
      </c>
      <c r="AP550" s="19"/>
      <c r="AQ550" s="20" t="str">
        <f t="shared" si="36"/>
        <v/>
      </c>
      <c r="AR550" s="21"/>
    </row>
    <row r="551" spans="2:44" ht="31.5" x14ac:dyDescent="0.5">
      <c r="B551" s="1"/>
      <c r="C551" s="15"/>
      <c r="D551" s="16"/>
      <c r="E551" s="15"/>
      <c r="F551" s="17"/>
      <c r="G551" s="8"/>
      <c r="H551" s="8"/>
      <c r="I551" s="8"/>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4" t="s">
        <v>49</v>
      </c>
      <c r="AM551" s="5" t="str">
        <f t="shared" si="33"/>
        <v/>
      </c>
      <c r="AN551" s="5" t="str">
        <f t="shared" si="34"/>
        <v/>
      </c>
      <c r="AO551" s="18" t="str">
        <f t="shared" si="35"/>
        <v/>
      </c>
      <c r="AP551" s="19"/>
      <c r="AQ551" s="20" t="str">
        <f t="shared" si="36"/>
        <v/>
      </c>
      <c r="AR551" s="21"/>
    </row>
    <row r="552" spans="2:44" ht="31.5" x14ac:dyDescent="0.5">
      <c r="B552" s="1"/>
      <c r="C552" s="15"/>
      <c r="D552" s="16"/>
      <c r="E552" s="15"/>
      <c r="F552" s="17"/>
      <c r="G552" s="8"/>
      <c r="H552" s="8"/>
      <c r="I552" s="8"/>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4" t="s">
        <v>49</v>
      </c>
      <c r="AM552" s="5" t="str">
        <f t="shared" si="33"/>
        <v/>
      </c>
      <c r="AN552" s="5" t="str">
        <f t="shared" si="34"/>
        <v/>
      </c>
      <c r="AO552" s="18" t="str">
        <f t="shared" si="35"/>
        <v/>
      </c>
      <c r="AP552" s="19"/>
      <c r="AQ552" s="20" t="str">
        <f t="shared" si="36"/>
        <v/>
      </c>
      <c r="AR552" s="21"/>
    </row>
    <row r="553" spans="2:44" ht="31.5" x14ac:dyDescent="0.5">
      <c r="B553" s="1"/>
      <c r="C553" s="15"/>
      <c r="D553" s="16"/>
      <c r="E553" s="15"/>
      <c r="F553" s="17"/>
      <c r="G553" s="8"/>
      <c r="H553" s="8"/>
      <c r="I553" s="8"/>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4" t="s">
        <v>49</v>
      </c>
      <c r="AM553" s="5" t="str">
        <f t="shared" si="33"/>
        <v/>
      </c>
      <c r="AN553" s="5" t="str">
        <f t="shared" si="34"/>
        <v/>
      </c>
      <c r="AO553" s="18" t="str">
        <f t="shared" si="35"/>
        <v/>
      </c>
      <c r="AP553" s="19"/>
      <c r="AQ553" s="20" t="str">
        <f t="shared" si="36"/>
        <v/>
      </c>
      <c r="AR553" s="21"/>
    </row>
    <row r="554" spans="2:44" ht="31.5" x14ac:dyDescent="0.5">
      <c r="B554" s="1"/>
      <c r="C554" s="15"/>
      <c r="D554" s="16"/>
      <c r="E554" s="15"/>
      <c r="F554" s="17"/>
      <c r="G554" s="8"/>
      <c r="H554" s="8"/>
      <c r="I554" s="8"/>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4" t="s">
        <v>49</v>
      </c>
      <c r="AM554" s="5" t="str">
        <f t="shared" si="33"/>
        <v/>
      </c>
      <c r="AN554" s="5" t="str">
        <f t="shared" si="34"/>
        <v/>
      </c>
      <c r="AO554" s="18" t="str">
        <f t="shared" si="35"/>
        <v/>
      </c>
      <c r="AP554" s="19"/>
      <c r="AQ554" s="20" t="str">
        <f t="shared" si="36"/>
        <v/>
      </c>
      <c r="AR554" s="21"/>
    </row>
    <row r="555" spans="2:44" ht="31.5" x14ac:dyDescent="0.5">
      <c r="B555" s="1"/>
      <c r="C555" s="15"/>
      <c r="D555" s="16"/>
      <c r="E555" s="15"/>
      <c r="F555" s="17"/>
      <c r="G555" s="8"/>
      <c r="H555" s="8"/>
      <c r="I555" s="8"/>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4" t="s">
        <v>49</v>
      </c>
      <c r="AM555" s="5" t="str">
        <f t="shared" si="33"/>
        <v/>
      </c>
      <c r="AN555" s="5" t="str">
        <f t="shared" si="34"/>
        <v/>
      </c>
      <c r="AO555" s="18" t="str">
        <f t="shared" si="35"/>
        <v/>
      </c>
      <c r="AP555" s="19"/>
      <c r="AQ555" s="20" t="str">
        <f t="shared" si="36"/>
        <v/>
      </c>
      <c r="AR555" s="21"/>
    </row>
    <row r="556" spans="2:44" ht="31.5" x14ac:dyDescent="0.5">
      <c r="B556" s="1"/>
      <c r="C556" s="15"/>
      <c r="D556" s="16"/>
      <c r="E556" s="15"/>
      <c r="F556" s="17"/>
      <c r="G556" s="8"/>
      <c r="H556" s="8"/>
      <c r="I556" s="8"/>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4" t="s">
        <v>49</v>
      </c>
      <c r="AM556" s="5" t="str">
        <f t="shared" si="33"/>
        <v/>
      </c>
      <c r="AN556" s="5" t="str">
        <f t="shared" si="34"/>
        <v/>
      </c>
      <c r="AO556" s="18" t="str">
        <f t="shared" si="35"/>
        <v/>
      </c>
      <c r="AP556" s="19"/>
      <c r="AQ556" s="20" t="str">
        <f t="shared" si="36"/>
        <v/>
      </c>
      <c r="AR556" s="21"/>
    </row>
    <row r="557" spans="2:44" ht="31.5" x14ac:dyDescent="0.5">
      <c r="B557" s="1"/>
      <c r="C557" s="15"/>
      <c r="D557" s="16"/>
      <c r="E557" s="15"/>
      <c r="F557" s="17"/>
      <c r="G557" s="8"/>
      <c r="H557" s="8"/>
      <c r="I557" s="8"/>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4" t="s">
        <v>49</v>
      </c>
      <c r="AM557" s="5" t="str">
        <f t="shared" si="33"/>
        <v/>
      </c>
      <c r="AN557" s="5" t="str">
        <f t="shared" si="34"/>
        <v/>
      </c>
      <c r="AO557" s="18" t="str">
        <f t="shared" si="35"/>
        <v/>
      </c>
      <c r="AP557" s="19"/>
      <c r="AQ557" s="20" t="str">
        <f t="shared" si="36"/>
        <v/>
      </c>
      <c r="AR557" s="21"/>
    </row>
    <row r="558" spans="2:44" ht="31.5" x14ac:dyDescent="0.5">
      <c r="B558" s="1"/>
      <c r="C558" s="15"/>
      <c r="D558" s="16"/>
      <c r="E558" s="15"/>
      <c r="F558" s="17"/>
      <c r="G558" s="8"/>
      <c r="H558" s="8"/>
      <c r="I558" s="8"/>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4" t="s">
        <v>49</v>
      </c>
      <c r="AM558" s="5" t="str">
        <f t="shared" si="33"/>
        <v/>
      </c>
      <c r="AN558" s="5" t="str">
        <f t="shared" si="34"/>
        <v/>
      </c>
      <c r="AO558" s="18" t="str">
        <f t="shared" si="35"/>
        <v/>
      </c>
      <c r="AP558" s="19"/>
      <c r="AQ558" s="20" t="str">
        <f t="shared" si="36"/>
        <v/>
      </c>
      <c r="AR558" s="21"/>
    </row>
    <row r="559" spans="2:44" ht="31.5" x14ac:dyDescent="0.5">
      <c r="B559" s="1"/>
      <c r="C559" s="15"/>
      <c r="D559" s="16"/>
      <c r="E559" s="15"/>
      <c r="F559" s="17"/>
      <c r="G559" s="8"/>
      <c r="H559" s="8"/>
      <c r="I559" s="8"/>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4" t="s">
        <v>49</v>
      </c>
      <c r="AM559" s="5" t="str">
        <f t="shared" si="33"/>
        <v/>
      </c>
      <c r="AN559" s="5" t="str">
        <f t="shared" si="34"/>
        <v/>
      </c>
      <c r="AO559" s="18" t="str">
        <f t="shared" si="35"/>
        <v/>
      </c>
      <c r="AP559" s="19"/>
      <c r="AQ559" s="20" t="str">
        <f t="shared" si="36"/>
        <v/>
      </c>
      <c r="AR559" s="21"/>
    </row>
    <row r="560" spans="2:44" ht="31.5" x14ac:dyDescent="0.5">
      <c r="B560" s="1"/>
      <c r="C560" s="15"/>
      <c r="D560" s="16"/>
      <c r="E560" s="15"/>
      <c r="F560" s="17"/>
      <c r="G560" s="8"/>
      <c r="H560" s="8"/>
      <c r="I560" s="8"/>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4" t="s">
        <v>49</v>
      </c>
      <c r="AM560" s="5" t="str">
        <f t="shared" si="33"/>
        <v/>
      </c>
      <c r="AN560" s="5" t="str">
        <f t="shared" si="34"/>
        <v/>
      </c>
      <c r="AO560" s="18" t="str">
        <f t="shared" si="35"/>
        <v/>
      </c>
      <c r="AP560" s="19"/>
      <c r="AQ560" s="20" t="str">
        <f t="shared" si="36"/>
        <v/>
      </c>
      <c r="AR560" s="21"/>
    </row>
    <row r="561" spans="2:44" ht="31.5" x14ac:dyDescent="0.5">
      <c r="B561" s="1"/>
      <c r="C561" s="15"/>
      <c r="D561" s="16"/>
      <c r="E561" s="15"/>
      <c r="F561" s="17"/>
      <c r="G561" s="8"/>
      <c r="H561" s="8"/>
      <c r="I561" s="8"/>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4" t="s">
        <v>49</v>
      </c>
      <c r="AM561" s="5" t="str">
        <f t="shared" si="33"/>
        <v/>
      </c>
      <c r="AN561" s="5" t="str">
        <f t="shared" si="34"/>
        <v/>
      </c>
      <c r="AO561" s="18" t="str">
        <f t="shared" si="35"/>
        <v/>
      </c>
      <c r="AP561" s="19"/>
      <c r="AQ561" s="20" t="str">
        <f t="shared" si="36"/>
        <v/>
      </c>
      <c r="AR561" s="21"/>
    </row>
    <row r="562" spans="2:44" ht="31.5" x14ac:dyDescent="0.5">
      <c r="B562" s="1"/>
      <c r="C562" s="15"/>
      <c r="D562" s="16"/>
      <c r="E562" s="15"/>
      <c r="F562" s="17"/>
      <c r="G562" s="8"/>
      <c r="H562" s="8"/>
      <c r="I562" s="8"/>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4" t="s">
        <v>49</v>
      </c>
      <c r="AM562" s="5" t="str">
        <f t="shared" si="33"/>
        <v/>
      </c>
      <c r="AN562" s="5" t="str">
        <f t="shared" si="34"/>
        <v/>
      </c>
      <c r="AO562" s="18" t="str">
        <f t="shared" si="35"/>
        <v/>
      </c>
      <c r="AP562" s="19"/>
      <c r="AQ562" s="20" t="str">
        <f t="shared" si="36"/>
        <v/>
      </c>
      <c r="AR562" s="21"/>
    </row>
    <row r="563" spans="2:44" ht="31.5" x14ac:dyDescent="0.5">
      <c r="B563" s="1"/>
      <c r="C563" s="15"/>
      <c r="D563" s="16"/>
      <c r="E563" s="15"/>
      <c r="F563" s="17"/>
      <c r="G563" s="8"/>
      <c r="H563" s="8"/>
      <c r="I563" s="8"/>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4" t="s">
        <v>49</v>
      </c>
      <c r="AM563" s="5" t="str">
        <f t="shared" ref="AM563:AM626" si="37">IF($B563="","",COUNTIF($G563:$AK563,"P"))</f>
        <v/>
      </c>
      <c r="AN563" s="5" t="str">
        <f t="shared" ref="AN563:AN626" si="38">IF($B563="","",COUNTIF($G563:$AK563,"AB"))</f>
        <v/>
      </c>
      <c r="AO563" s="18" t="str">
        <f t="shared" ref="AO563:AO626" si="39">IF($B563="","",SUMPRODUCT(--($G$11:$AK$11&lt;&gt;""),--($G$12:$AK$12&lt;&gt;"Sun")))</f>
        <v/>
      </c>
      <c r="AP563" s="19"/>
      <c r="AQ563" s="20" t="str">
        <f t="shared" ref="AQ563:AQ626" si="40">IF($B563="","",IF(AO563=0,"",AM563/AO563))</f>
        <v/>
      </c>
      <c r="AR563" s="21"/>
    </row>
    <row r="564" spans="2:44" ht="31.5" x14ac:dyDescent="0.5">
      <c r="B564" s="1"/>
      <c r="C564" s="15"/>
      <c r="D564" s="16"/>
      <c r="E564" s="15"/>
      <c r="F564" s="17"/>
      <c r="G564" s="8"/>
      <c r="H564" s="8"/>
      <c r="I564" s="8"/>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4" t="s">
        <v>49</v>
      </c>
      <c r="AM564" s="5" t="str">
        <f t="shared" si="37"/>
        <v/>
      </c>
      <c r="AN564" s="5" t="str">
        <f t="shared" si="38"/>
        <v/>
      </c>
      <c r="AO564" s="18" t="str">
        <f t="shared" si="39"/>
        <v/>
      </c>
      <c r="AP564" s="19"/>
      <c r="AQ564" s="20" t="str">
        <f t="shared" si="40"/>
        <v/>
      </c>
      <c r="AR564" s="21"/>
    </row>
    <row r="565" spans="2:44" ht="31.5" x14ac:dyDescent="0.5">
      <c r="B565" s="1"/>
      <c r="C565" s="15"/>
      <c r="D565" s="16"/>
      <c r="E565" s="15"/>
      <c r="F565" s="17"/>
      <c r="G565" s="8"/>
      <c r="H565" s="8"/>
      <c r="I565" s="8"/>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4" t="s">
        <v>49</v>
      </c>
      <c r="AM565" s="5" t="str">
        <f t="shared" si="37"/>
        <v/>
      </c>
      <c r="AN565" s="5" t="str">
        <f t="shared" si="38"/>
        <v/>
      </c>
      <c r="AO565" s="18" t="str">
        <f t="shared" si="39"/>
        <v/>
      </c>
      <c r="AP565" s="19"/>
      <c r="AQ565" s="20" t="str">
        <f t="shared" si="40"/>
        <v/>
      </c>
      <c r="AR565" s="21"/>
    </row>
    <row r="566" spans="2:44" ht="31.5" x14ac:dyDescent="0.5">
      <c r="B566" s="1"/>
      <c r="C566" s="15"/>
      <c r="D566" s="16"/>
      <c r="E566" s="15"/>
      <c r="F566" s="17"/>
      <c r="G566" s="8"/>
      <c r="H566" s="8"/>
      <c r="I566" s="8"/>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4" t="s">
        <v>49</v>
      </c>
      <c r="AM566" s="5" t="str">
        <f t="shared" si="37"/>
        <v/>
      </c>
      <c r="AN566" s="5" t="str">
        <f t="shared" si="38"/>
        <v/>
      </c>
      <c r="AO566" s="18" t="str">
        <f t="shared" si="39"/>
        <v/>
      </c>
      <c r="AP566" s="19"/>
      <c r="AQ566" s="20" t="str">
        <f t="shared" si="40"/>
        <v/>
      </c>
      <c r="AR566" s="21"/>
    </row>
    <row r="567" spans="2:44" ht="31.5" x14ac:dyDescent="0.5">
      <c r="B567" s="1"/>
      <c r="C567" s="15"/>
      <c r="D567" s="16"/>
      <c r="E567" s="15"/>
      <c r="F567" s="17"/>
      <c r="G567" s="8"/>
      <c r="H567" s="8"/>
      <c r="I567" s="8"/>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4" t="s">
        <v>49</v>
      </c>
      <c r="AM567" s="5" t="str">
        <f t="shared" si="37"/>
        <v/>
      </c>
      <c r="AN567" s="5" t="str">
        <f t="shared" si="38"/>
        <v/>
      </c>
      <c r="AO567" s="18" t="str">
        <f t="shared" si="39"/>
        <v/>
      </c>
      <c r="AP567" s="19"/>
      <c r="AQ567" s="20" t="str">
        <f t="shared" si="40"/>
        <v/>
      </c>
      <c r="AR567" s="21"/>
    </row>
    <row r="568" spans="2:44" ht="31.5" x14ac:dyDescent="0.5">
      <c r="B568" s="1"/>
      <c r="C568" s="15"/>
      <c r="D568" s="16"/>
      <c r="E568" s="15"/>
      <c r="F568" s="17"/>
      <c r="G568" s="8"/>
      <c r="H568" s="8"/>
      <c r="I568" s="8"/>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4" t="s">
        <v>49</v>
      </c>
      <c r="AM568" s="5" t="str">
        <f t="shared" si="37"/>
        <v/>
      </c>
      <c r="AN568" s="5" t="str">
        <f t="shared" si="38"/>
        <v/>
      </c>
      <c r="AO568" s="18" t="str">
        <f t="shared" si="39"/>
        <v/>
      </c>
      <c r="AP568" s="19"/>
      <c r="AQ568" s="20" t="str">
        <f t="shared" si="40"/>
        <v/>
      </c>
      <c r="AR568" s="21"/>
    </row>
    <row r="569" spans="2:44" ht="31.5" x14ac:dyDescent="0.5">
      <c r="B569" s="1"/>
      <c r="C569" s="15"/>
      <c r="D569" s="16"/>
      <c r="E569" s="15"/>
      <c r="F569" s="17"/>
      <c r="G569" s="8"/>
      <c r="H569" s="8"/>
      <c r="I569" s="8"/>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4" t="s">
        <v>49</v>
      </c>
      <c r="AM569" s="5" t="str">
        <f t="shared" si="37"/>
        <v/>
      </c>
      <c r="AN569" s="5" t="str">
        <f t="shared" si="38"/>
        <v/>
      </c>
      <c r="AO569" s="18" t="str">
        <f t="shared" si="39"/>
        <v/>
      </c>
      <c r="AP569" s="19"/>
      <c r="AQ569" s="20" t="str">
        <f t="shared" si="40"/>
        <v/>
      </c>
      <c r="AR569" s="21"/>
    </row>
    <row r="570" spans="2:44" ht="31.5" x14ac:dyDescent="0.5">
      <c r="B570" s="1"/>
      <c r="C570" s="15"/>
      <c r="D570" s="16"/>
      <c r="E570" s="15"/>
      <c r="F570" s="17"/>
      <c r="G570" s="8"/>
      <c r="H570" s="8"/>
      <c r="I570" s="8"/>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4" t="s">
        <v>49</v>
      </c>
      <c r="AM570" s="5" t="str">
        <f t="shared" si="37"/>
        <v/>
      </c>
      <c r="AN570" s="5" t="str">
        <f t="shared" si="38"/>
        <v/>
      </c>
      <c r="AO570" s="18" t="str">
        <f t="shared" si="39"/>
        <v/>
      </c>
      <c r="AP570" s="19"/>
      <c r="AQ570" s="20" t="str">
        <f t="shared" si="40"/>
        <v/>
      </c>
      <c r="AR570" s="21"/>
    </row>
    <row r="571" spans="2:44" ht="31.5" x14ac:dyDescent="0.5">
      <c r="B571" s="1"/>
      <c r="C571" s="15"/>
      <c r="D571" s="16"/>
      <c r="E571" s="15"/>
      <c r="F571" s="17"/>
      <c r="G571" s="8"/>
      <c r="H571" s="8"/>
      <c r="I571" s="8"/>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4" t="s">
        <v>49</v>
      </c>
      <c r="AM571" s="5" t="str">
        <f t="shared" si="37"/>
        <v/>
      </c>
      <c r="AN571" s="5" t="str">
        <f t="shared" si="38"/>
        <v/>
      </c>
      <c r="AO571" s="18" t="str">
        <f t="shared" si="39"/>
        <v/>
      </c>
      <c r="AP571" s="19"/>
      <c r="AQ571" s="20" t="str">
        <f t="shared" si="40"/>
        <v/>
      </c>
      <c r="AR571" s="21"/>
    </row>
    <row r="572" spans="2:44" ht="31.5" x14ac:dyDescent="0.5">
      <c r="B572" s="1"/>
      <c r="C572" s="15"/>
      <c r="D572" s="16"/>
      <c r="E572" s="15"/>
      <c r="F572" s="17"/>
      <c r="G572" s="8"/>
      <c r="H572" s="8"/>
      <c r="I572" s="8"/>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4" t="s">
        <v>49</v>
      </c>
      <c r="AM572" s="5" t="str">
        <f t="shared" si="37"/>
        <v/>
      </c>
      <c r="AN572" s="5" t="str">
        <f t="shared" si="38"/>
        <v/>
      </c>
      <c r="AO572" s="18" t="str">
        <f t="shared" si="39"/>
        <v/>
      </c>
      <c r="AP572" s="19"/>
      <c r="AQ572" s="20" t="str">
        <f t="shared" si="40"/>
        <v/>
      </c>
      <c r="AR572" s="21"/>
    </row>
    <row r="573" spans="2:44" ht="31.5" x14ac:dyDescent="0.5">
      <c r="B573" s="1"/>
      <c r="C573" s="15"/>
      <c r="D573" s="16"/>
      <c r="E573" s="15"/>
      <c r="F573" s="17"/>
      <c r="G573" s="8"/>
      <c r="H573" s="8"/>
      <c r="I573" s="8"/>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4" t="s">
        <v>49</v>
      </c>
      <c r="AM573" s="5" t="str">
        <f t="shared" si="37"/>
        <v/>
      </c>
      <c r="AN573" s="5" t="str">
        <f t="shared" si="38"/>
        <v/>
      </c>
      <c r="AO573" s="18" t="str">
        <f t="shared" si="39"/>
        <v/>
      </c>
      <c r="AP573" s="19"/>
      <c r="AQ573" s="20" t="str">
        <f t="shared" si="40"/>
        <v/>
      </c>
      <c r="AR573" s="21"/>
    </row>
    <row r="574" spans="2:44" ht="31.5" x14ac:dyDescent="0.5">
      <c r="B574" s="1"/>
      <c r="C574" s="15"/>
      <c r="D574" s="16"/>
      <c r="E574" s="15"/>
      <c r="F574" s="17"/>
      <c r="G574" s="8"/>
      <c r="H574" s="8"/>
      <c r="I574" s="8"/>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4" t="s">
        <v>49</v>
      </c>
      <c r="AM574" s="5" t="str">
        <f t="shared" si="37"/>
        <v/>
      </c>
      <c r="AN574" s="5" t="str">
        <f t="shared" si="38"/>
        <v/>
      </c>
      <c r="AO574" s="18" t="str">
        <f t="shared" si="39"/>
        <v/>
      </c>
      <c r="AP574" s="19"/>
      <c r="AQ574" s="20" t="str">
        <f t="shared" si="40"/>
        <v/>
      </c>
      <c r="AR574" s="21"/>
    </row>
    <row r="575" spans="2:44" ht="31.5" x14ac:dyDescent="0.5">
      <c r="B575" s="1"/>
      <c r="C575" s="15"/>
      <c r="D575" s="16"/>
      <c r="E575" s="15"/>
      <c r="F575" s="17"/>
      <c r="G575" s="8"/>
      <c r="H575" s="8"/>
      <c r="I575" s="8"/>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4" t="s">
        <v>49</v>
      </c>
      <c r="AM575" s="5" t="str">
        <f t="shared" si="37"/>
        <v/>
      </c>
      <c r="AN575" s="5" t="str">
        <f t="shared" si="38"/>
        <v/>
      </c>
      <c r="AO575" s="18" t="str">
        <f t="shared" si="39"/>
        <v/>
      </c>
      <c r="AP575" s="19"/>
      <c r="AQ575" s="20" t="str">
        <f t="shared" si="40"/>
        <v/>
      </c>
      <c r="AR575" s="21"/>
    </row>
    <row r="576" spans="2:44" ht="31.5" x14ac:dyDescent="0.5">
      <c r="B576" s="1"/>
      <c r="C576" s="15"/>
      <c r="D576" s="16"/>
      <c r="E576" s="15"/>
      <c r="F576" s="17"/>
      <c r="G576" s="8"/>
      <c r="H576" s="8"/>
      <c r="I576" s="8"/>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4" t="s">
        <v>49</v>
      </c>
      <c r="AM576" s="5" t="str">
        <f t="shared" si="37"/>
        <v/>
      </c>
      <c r="AN576" s="5" t="str">
        <f t="shared" si="38"/>
        <v/>
      </c>
      <c r="AO576" s="18" t="str">
        <f t="shared" si="39"/>
        <v/>
      </c>
      <c r="AP576" s="19"/>
      <c r="AQ576" s="20" t="str">
        <f t="shared" si="40"/>
        <v/>
      </c>
      <c r="AR576" s="21"/>
    </row>
    <row r="577" spans="2:44" ht="31.5" x14ac:dyDescent="0.5">
      <c r="B577" s="1"/>
      <c r="C577" s="15"/>
      <c r="D577" s="16"/>
      <c r="E577" s="15"/>
      <c r="F577" s="17"/>
      <c r="G577" s="8"/>
      <c r="H577" s="8"/>
      <c r="I577" s="8"/>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4" t="s">
        <v>49</v>
      </c>
      <c r="AM577" s="5" t="str">
        <f t="shared" si="37"/>
        <v/>
      </c>
      <c r="AN577" s="5" t="str">
        <f t="shared" si="38"/>
        <v/>
      </c>
      <c r="AO577" s="18" t="str">
        <f t="shared" si="39"/>
        <v/>
      </c>
      <c r="AP577" s="19"/>
      <c r="AQ577" s="20" t="str">
        <f t="shared" si="40"/>
        <v/>
      </c>
      <c r="AR577" s="21"/>
    </row>
    <row r="578" spans="2:44" ht="31.5" x14ac:dyDescent="0.5">
      <c r="B578" s="1"/>
      <c r="C578" s="15"/>
      <c r="D578" s="16"/>
      <c r="E578" s="15"/>
      <c r="F578" s="17"/>
      <c r="G578" s="8"/>
      <c r="H578" s="8"/>
      <c r="I578" s="8"/>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4" t="s">
        <v>49</v>
      </c>
      <c r="AM578" s="5" t="str">
        <f t="shared" si="37"/>
        <v/>
      </c>
      <c r="AN578" s="5" t="str">
        <f t="shared" si="38"/>
        <v/>
      </c>
      <c r="AO578" s="18" t="str">
        <f t="shared" si="39"/>
        <v/>
      </c>
      <c r="AP578" s="19"/>
      <c r="AQ578" s="20" t="str">
        <f t="shared" si="40"/>
        <v/>
      </c>
      <c r="AR578" s="21"/>
    </row>
    <row r="579" spans="2:44" ht="31.5" x14ac:dyDescent="0.5">
      <c r="B579" s="1"/>
      <c r="C579" s="15"/>
      <c r="D579" s="16"/>
      <c r="E579" s="15"/>
      <c r="F579" s="17"/>
      <c r="G579" s="8"/>
      <c r="H579" s="8"/>
      <c r="I579" s="8"/>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4" t="s">
        <v>49</v>
      </c>
      <c r="AM579" s="5" t="str">
        <f t="shared" si="37"/>
        <v/>
      </c>
      <c r="AN579" s="5" t="str">
        <f t="shared" si="38"/>
        <v/>
      </c>
      <c r="AO579" s="18" t="str">
        <f t="shared" si="39"/>
        <v/>
      </c>
      <c r="AP579" s="19"/>
      <c r="AQ579" s="20" t="str">
        <f t="shared" si="40"/>
        <v/>
      </c>
      <c r="AR579" s="21"/>
    </row>
    <row r="580" spans="2:44" ht="31.5" x14ac:dyDescent="0.5">
      <c r="B580" s="1"/>
      <c r="C580" s="15"/>
      <c r="D580" s="16"/>
      <c r="E580" s="15"/>
      <c r="F580" s="17"/>
      <c r="G580" s="8"/>
      <c r="H580" s="8"/>
      <c r="I580" s="8"/>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4" t="s">
        <v>49</v>
      </c>
      <c r="AM580" s="5" t="str">
        <f t="shared" si="37"/>
        <v/>
      </c>
      <c r="AN580" s="5" t="str">
        <f t="shared" si="38"/>
        <v/>
      </c>
      <c r="AO580" s="18" t="str">
        <f t="shared" si="39"/>
        <v/>
      </c>
      <c r="AP580" s="19"/>
      <c r="AQ580" s="20" t="str">
        <f t="shared" si="40"/>
        <v/>
      </c>
      <c r="AR580" s="21"/>
    </row>
    <row r="581" spans="2:44" ht="31.5" x14ac:dyDescent="0.5">
      <c r="B581" s="1"/>
      <c r="C581" s="15"/>
      <c r="D581" s="16"/>
      <c r="E581" s="15"/>
      <c r="F581" s="17"/>
      <c r="G581" s="8"/>
      <c r="H581" s="8"/>
      <c r="I581" s="8"/>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4" t="s">
        <v>49</v>
      </c>
      <c r="AM581" s="5" t="str">
        <f t="shared" si="37"/>
        <v/>
      </c>
      <c r="AN581" s="5" t="str">
        <f t="shared" si="38"/>
        <v/>
      </c>
      <c r="AO581" s="18" t="str">
        <f t="shared" si="39"/>
        <v/>
      </c>
      <c r="AP581" s="19"/>
      <c r="AQ581" s="20" t="str">
        <f t="shared" si="40"/>
        <v/>
      </c>
      <c r="AR581" s="21"/>
    </row>
    <row r="582" spans="2:44" ht="31.5" x14ac:dyDescent="0.5">
      <c r="B582" s="1"/>
      <c r="C582" s="15"/>
      <c r="D582" s="16"/>
      <c r="E582" s="15"/>
      <c r="F582" s="17"/>
      <c r="G582" s="8"/>
      <c r="H582" s="8"/>
      <c r="I582" s="8"/>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4" t="s">
        <v>49</v>
      </c>
      <c r="AM582" s="5" t="str">
        <f t="shared" si="37"/>
        <v/>
      </c>
      <c r="AN582" s="5" t="str">
        <f t="shared" si="38"/>
        <v/>
      </c>
      <c r="AO582" s="18" t="str">
        <f t="shared" si="39"/>
        <v/>
      </c>
      <c r="AP582" s="19"/>
      <c r="AQ582" s="20" t="str">
        <f t="shared" si="40"/>
        <v/>
      </c>
      <c r="AR582" s="21"/>
    </row>
    <row r="583" spans="2:44" ht="31.5" x14ac:dyDescent="0.5">
      <c r="B583" s="1"/>
      <c r="C583" s="15"/>
      <c r="D583" s="16"/>
      <c r="E583" s="15"/>
      <c r="F583" s="17"/>
      <c r="G583" s="8"/>
      <c r="H583" s="8"/>
      <c r="I583" s="8"/>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4" t="s">
        <v>49</v>
      </c>
      <c r="AM583" s="5" t="str">
        <f t="shared" si="37"/>
        <v/>
      </c>
      <c r="AN583" s="5" t="str">
        <f t="shared" si="38"/>
        <v/>
      </c>
      <c r="AO583" s="18" t="str">
        <f t="shared" si="39"/>
        <v/>
      </c>
      <c r="AP583" s="19"/>
      <c r="AQ583" s="20" t="str">
        <f t="shared" si="40"/>
        <v/>
      </c>
      <c r="AR583" s="21"/>
    </row>
    <row r="584" spans="2:44" ht="31.5" x14ac:dyDescent="0.5">
      <c r="B584" s="1"/>
      <c r="C584" s="15"/>
      <c r="D584" s="16"/>
      <c r="E584" s="15"/>
      <c r="F584" s="17"/>
      <c r="G584" s="8"/>
      <c r="H584" s="8"/>
      <c r="I584" s="8"/>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4" t="s">
        <v>49</v>
      </c>
      <c r="AM584" s="5" t="str">
        <f t="shared" si="37"/>
        <v/>
      </c>
      <c r="AN584" s="5" t="str">
        <f t="shared" si="38"/>
        <v/>
      </c>
      <c r="AO584" s="18" t="str">
        <f t="shared" si="39"/>
        <v/>
      </c>
      <c r="AP584" s="19"/>
      <c r="AQ584" s="20" t="str">
        <f t="shared" si="40"/>
        <v/>
      </c>
      <c r="AR584" s="21"/>
    </row>
    <row r="585" spans="2:44" ht="31.5" x14ac:dyDescent="0.5">
      <c r="B585" s="1"/>
      <c r="C585" s="15"/>
      <c r="D585" s="16"/>
      <c r="E585" s="15"/>
      <c r="F585" s="17"/>
      <c r="G585" s="8"/>
      <c r="H585" s="8"/>
      <c r="I585" s="8"/>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4" t="s">
        <v>49</v>
      </c>
      <c r="AM585" s="5" t="str">
        <f t="shared" si="37"/>
        <v/>
      </c>
      <c r="AN585" s="5" t="str">
        <f t="shared" si="38"/>
        <v/>
      </c>
      <c r="AO585" s="18" t="str">
        <f t="shared" si="39"/>
        <v/>
      </c>
      <c r="AP585" s="19"/>
      <c r="AQ585" s="20" t="str">
        <f t="shared" si="40"/>
        <v/>
      </c>
      <c r="AR585" s="21"/>
    </row>
    <row r="586" spans="2:44" ht="31.5" x14ac:dyDescent="0.5">
      <c r="B586" s="1"/>
      <c r="C586" s="15"/>
      <c r="D586" s="16"/>
      <c r="E586" s="15"/>
      <c r="F586" s="17"/>
      <c r="G586" s="8"/>
      <c r="H586" s="8"/>
      <c r="I586" s="8"/>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4" t="s">
        <v>49</v>
      </c>
      <c r="AM586" s="5" t="str">
        <f t="shared" si="37"/>
        <v/>
      </c>
      <c r="AN586" s="5" t="str">
        <f t="shared" si="38"/>
        <v/>
      </c>
      <c r="AO586" s="18" t="str">
        <f t="shared" si="39"/>
        <v/>
      </c>
      <c r="AP586" s="19"/>
      <c r="AQ586" s="20" t="str">
        <f t="shared" si="40"/>
        <v/>
      </c>
      <c r="AR586" s="21"/>
    </row>
    <row r="587" spans="2:44" ht="31.5" x14ac:dyDescent="0.5">
      <c r="B587" s="1"/>
      <c r="C587" s="15"/>
      <c r="D587" s="16"/>
      <c r="E587" s="15"/>
      <c r="F587" s="17"/>
      <c r="G587" s="8"/>
      <c r="H587" s="8"/>
      <c r="I587" s="8"/>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4" t="s">
        <v>49</v>
      </c>
      <c r="AM587" s="5" t="str">
        <f t="shared" si="37"/>
        <v/>
      </c>
      <c r="AN587" s="5" t="str">
        <f t="shared" si="38"/>
        <v/>
      </c>
      <c r="AO587" s="18" t="str">
        <f t="shared" si="39"/>
        <v/>
      </c>
      <c r="AP587" s="19"/>
      <c r="AQ587" s="20" t="str">
        <f t="shared" si="40"/>
        <v/>
      </c>
      <c r="AR587" s="21"/>
    </row>
    <row r="588" spans="2:44" ht="31.5" x14ac:dyDescent="0.5">
      <c r="B588" s="1"/>
      <c r="C588" s="15"/>
      <c r="D588" s="16"/>
      <c r="E588" s="15"/>
      <c r="F588" s="17"/>
      <c r="G588" s="8"/>
      <c r="H588" s="8"/>
      <c r="I588" s="8"/>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4" t="s">
        <v>49</v>
      </c>
      <c r="AM588" s="5" t="str">
        <f t="shared" si="37"/>
        <v/>
      </c>
      <c r="AN588" s="5" t="str">
        <f t="shared" si="38"/>
        <v/>
      </c>
      <c r="AO588" s="18" t="str">
        <f t="shared" si="39"/>
        <v/>
      </c>
      <c r="AP588" s="19"/>
      <c r="AQ588" s="20" t="str">
        <f t="shared" si="40"/>
        <v/>
      </c>
      <c r="AR588" s="21"/>
    </row>
    <row r="589" spans="2:44" ht="31.5" x14ac:dyDescent="0.5">
      <c r="B589" s="1"/>
      <c r="C589" s="15"/>
      <c r="D589" s="16"/>
      <c r="E589" s="15"/>
      <c r="F589" s="17"/>
      <c r="G589" s="8"/>
      <c r="H589" s="8"/>
      <c r="I589" s="8"/>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4" t="s">
        <v>49</v>
      </c>
      <c r="AM589" s="5" t="str">
        <f t="shared" si="37"/>
        <v/>
      </c>
      <c r="AN589" s="5" t="str">
        <f t="shared" si="38"/>
        <v/>
      </c>
      <c r="AO589" s="18" t="str">
        <f t="shared" si="39"/>
        <v/>
      </c>
      <c r="AP589" s="19"/>
      <c r="AQ589" s="20" t="str">
        <f t="shared" si="40"/>
        <v/>
      </c>
      <c r="AR589" s="21"/>
    </row>
    <row r="590" spans="2:44" ht="31.5" x14ac:dyDescent="0.5">
      <c r="B590" s="1"/>
      <c r="C590" s="15"/>
      <c r="D590" s="16"/>
      <c r="E590" s="15"/>
      <c r="F590" s="17"/>
      <c r="G590" s="8"/>
      <c r="H590" s="8"/>
      <c r="I590" s="8"/>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4" t="s">
        <v>49</v>
      </c>
      <c r="AM590" s="5" t="str">
        <f t="shared" si="37"/>
        <v/>
      </c>
      <c r="AN590" s="5" t="str">
        <f t="shared" si="38"/>
        <v/>
      </c>
      <c r="AO590" s="18" t="str">
        <f t="shared" si="39"/>
        <v/>
      </c>
      <c r="AP590" s="19"/>
      <c r="AQ590" s="20" t="str">
        <f t="shared" si="40"/>
        <v/>
      </c>
      <c r="AR590" s="21"/>
    </row>
    <row r="591" spans="2:44" ht="31.5" x14ac:dyDescent="0.5">
      <c r="B591" s="1"/>
      <c r="C591" s="15"/>
      <c r="D591" s="16"/>
      <c r="E591" s="15"/>
      <c r="F591" s="17"/>
      <c r="G591" s="8"/>
      <c r="H591" s="8"/>
      <c r="I591" s="8"/>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4" t="s">
        <v>49</v>
      </c>
      <c r="AM591" s="5" t="str">
        <f t="shared" si="37"/>
        <v/>
      </c>
      <c r="AN591" s="5" t="str">
        <f t="shared" si="38"/>
        <v/>
      </c>
      <c r="AO591" s="18" t="str">
        <f t="shared" si="39"/>
        <v/>
      </c>
      <c r="AP591" s="19"/>
      <c r="AQ591" s="20" t="str">
        <f t="shared" si="40"/>
        <v/>
      </c>
      <c r="AR591" s="21"/>
    </row>
    <row r="592" spans="2:44" ht="31.5" x14ac:dyDescent="0.5">
      <c r="B592" s="1"/>
      <c r="C592" s="15"/>
      <c r="D592" s="16"/>
      <c r="E592" s="15"/>
      <c r="F592" s="17"/>
      <c r="G592" s="8"/>
      <c r="H592" s="8"/>
      <c r="I592" s="8"/>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4" t="s">
        <v>49</v>
      </c>
      <c r="AM592" s="5" t="str">
        <f t="shared" si="37"/>
        <v/>
      </c>
      <c r="AN592" s="5" t="str">
        <f t="shared" si="38"/>
        <v/>
      </c>
      <c r="AO592" s="18" t="str">
        <f t="shared" si="39"/>
        <v/>
      </c>
      <c r="AP592" s="19"/>
      <c r="AQ592" s="20" t="str">
        <f t="shared" si="40"/>
        <v/>
      </c>
      <c r="AR592" s="21"/>
    </row>
    <row r="593" spans="2:44" ht="31.5" x14ac:dyDescent="0.5">
      <c r="B593" s="1"/>
      <c r="C593" s="15"/>
      <c r="D593" s="16"/>
      <c r="E593" s="15"/>
      <c r="F593" s="17"/>
      <c r="G593" s="8"/>
      <c r="H593" s="8"/>
      <c r="I593" s="8"/>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4" t="s">
        <v>49</v>
      </c>
      <c r="AM593" s="5" t="str">
        <f t="shared" si="37"/>
        <v/>
      </c>
      <c r="AN593" s="5" t="str">
        <f t="shared" si="38"/>
        <v/>
      </c>
      <c r="AO593" s="18" t="str">
        <f t="shared" si="39"/>
        <v/>
      </c>
      <c r="AP593" s="19"/>
      <c r="AQ593" s="20" t="str">
        <f t="shared" si="40"/>
        <v/>
      </c>
      <c r="AR593" s="21"/>
    </row>
    <row r="594" spans="2:44" ht="31.5" x14ac:dyDescent="0.5">
      <c r="B594" s="1"/>
      <c r="C594" s="15"/>
      <c r="D594" s="16"/>
      <c r="E594" s="15"/>
      <c r="F594" s="17"/>
      <c r="G594" s="8"/>
      <c r="H594" s="8"/>
      <c r="I594" s="8"/>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4" t="s">
        <v>49</v>
      </c>
      <c r="AM594" s="5" t="str">
        <f t="shared" si="37"/>
        <v/>
      </c>
      <c r="AN594" s="5" t="str">
        <f t="shared" si="38"/>
        <v/>
      </c>
      <c r="AO594" s="18" t="str">
        <f t="shared" si="39"/>
        <v/>
      </c>
      <c r="AP594" s="19"/>
      <c r="AQ594" s="20" t="str">
        <f t="shared" si="40"/>
        <v/>
      </c>
      <c r="AR594" s="21"/>
    </row>
    <row r="595" spans="2:44" ht="31.5" x14ac:dyDescent="0.5">
      <c r="B595" s="1"/>
      <c r="C595" s="15"/>
      <c r="D595" s="16"/>
      <c r="E595" s="15"/>
      <c r="F595" s="17"/>
      <c r="G595" s="8"/>
      <c r="H595" s="8"/>
      <c r="I595" s="8"/>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4" t="s">
        <v>49</v>
      </c>
      <c r="AM595" s="5" t="str">
        <f t="shared" si="37"/>
        <v/>
      </c>
      <c r="AN595" s="5" t="str">
        <f t="shared" si="38"/>
        <v/>
      </c>
      <c r="AO595" s="18" t="str">
        <f t="shared" si="39"/>
        <v/>
      </c>
      <c r="AP595" s="19"/>
      <c r="AQ595" s="20" t="str">
        <f t="shared" si="40"/>
        <v/>
      </c>
      <c r="AR595" s="21"/>
    </row>
    <row r="596" spans="2:44" ht="31.5" x14ac:dyDescent="0.5">
      <c r="B596" s="1"/>
      <c r="C596" s="15"/>
      <c r="D596" s="16"/>
      <c r="E596" s="15"/>
      <c r="F596" s="17"/>
      <c r="G596" s="8"/>
      <c r="H596" s="8"/>
      <c r="I596" s="8"/>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4" t="s">
        <v>49</v>
      </c>
      <c r="AM596" s="5" t="str">
        <f t="shared" si="37"/>
        <v/>
      </c>
      <c r="AN596" s="5" t="str">
        <f t="shared" si="38"/>
        <v/>
      </c>
      <c r="AO596" s="18" t="str">
        <f t="shared" si="39"/>
        <v/>
      </c>
      <c r="AP596" s="19"/>
      <c r="AQ596" s="20" t="str">
        <f t="shared" si="40"/>
        <v/>
      </c>
      <c r="AR596" s="21"/>
    </row>
    <row r="597" spans="2:44" ht="31.5" x14ac:dyDescent="0.5">
      <c r="B597" s="1"/>
      <c r="C597" s="15"/>
      <c r="D597" s="16"/>
      <c r="E597" s="15"/>
      <c r="F597" s="17"/>
      <c r="G597" s="8"/>
      <c r="H597" s="8"/>
      <c r="I597" s="8"/>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4" t="s">
        <v>49</v>
      </c>
      <c r="AM597" s="5" t="str">
        <f t="shared" si="37"/>
        <v/>
      </c>
      <c r="AN597" s="5" t="str">
        <f t="shared" si="38"/>
        <v/>
      </c>
      <c r="AO597" s="18" t="str">
        <f t="shared" si="39"/>
        <v/>
      </c>
      <c r="AP597" s="19"/>
      <c r="AQ597" s="20" t="str">
        <f t="shared" si="40"/>
        <v/>
      </c>
      <c r="AR597" s="21"/>
    </row>
    <row r="598" spans="2:44" ht="31.5" x14ac:dyDescent="0.5">
      <c r="B598" s="1"/>
      <c r="C598" s="15"/>
      <c r="D598" s="16"/>
      <c r="E598" s="15"/>
      <c r="F598" s="17"/>
      <c r="G598" s="8"/>
      <c r="H598" s="8"/>
      <c r="I598" s="8"/>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4" t="s">
        <v>49</v>
      </c>
      <c r="AM598" s="5" t="str">
        <f t="shared" si="37"/>
        <v/>
      </c>
      <c r="AN598" s="5" t="str">
        <f t="shared" si="38"/>
        <v/>
      </c>
      <c r="AO598" s="18" t="str">
        <f t="shared" si="39"/>
        <v/>
      </c>
      <c r="AP598" s="19"/>
      <c r="AQ598" s="20" t="str">
        <f t="shared" si="40"/>
        <v/>
      </c>
      <c r="AR598" s="21"/>
    </row>
    <row r="599" spans="2:44" ht="31.5" x14ac:dyDescent="0.5">
      <c r="B599" s="1"/>
      <c r="C599" s="15"/>
      <c r="D599" s="16"/>
      <c r="E599" s="15"/>
      <c r="F599" s="17"/>
      <c r="G599" s="8"/>
      <c r="H599" s="8"/>
      <c r="I599" s="8"/>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4" t="s">
        <v>49</v>
      </c>
      <c r="AM599" s="5" t="str">
        <f t="shared" si="37"/>
        <v/>
      </c>
      <c r="AN599" s="5" t="str">
        <f t="shared" si="38"/>
        <v/>
      </c>
      <c r="AO599" s="18" t="str">
        <f t="shared" si="39"/>
        <v/>
      </c>
      <c r="AP599" s="19"/>
      <c r="AQ599" s="20" t="str">
        <f t="shared" si="40"/>
        <v/>
      </c>
      <c r="AR599" s="21"/>
    </row>
    <row r="600" spans="2:44" ht="31.5" x14ac:dyDescent="0.5">
      <c r="B600" s="1"/>
      <c r="C600" s="15"/>
      <c r="D600" s="16"/>
      <c r="E600" s="15"/>
      <c r="F600" s="17"/>
      <c r="G600" s="8"/>
      <c r="H600" s="8"/>
      <c r="I600" s="8"/>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4" t="s">
        <v>49</v>
      </c>
      <c r="AM600" s="5" t="str">
        <f t="shared" si="37"/>
        <v/>
      </c>
      <c r="AN600" s="5" t="str">
        <f t="shared" si="38"/>
        <v/>
      </c>
      <c r="AO600" s="18" t="str">
        <f t="shared" si="39"/>
        <v/>
      </c>
      <c r="AP600" s="19"/>
      <c r="AQ600" s="20" t="str">
        <f t="shared" si="40"/>
        <v/>
      </c>
      <c r="AR600" s="21"/>
    </row>
    <row r="601" spans="2:44" ht="31.5" x14ac:dyDescent="0.5">
      <c r="B601" s="1"/>
      <c r="C601" s="15"/>
      <c r="D601" s="16"/>
      <c r="E601" s="15"/>
      <c r="F601" s="17"/>
      <c r="G601" s="8"/>
      <c r="H601" s="8"/>
      <c r="I601" s="8"/>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4" t="s">
        <v>49</v>
      </c>
      <c r="AM601" s="5" t="str">
        <f t="shared" si="37"/>
        <v/>
      </c>
      <c r="AN601" s="5" t="str">
        <f t="shared" si="38"/>
        <v/>
      </c>
      <c r="AO601" s="18" t="str">
        <f t="shared" si="39"/>
        <v/>
      </c>
      <c r="AP601" s="19"/>
      <c r="AQ601" s="20" t="str">
        <f t="shared" si="40"/>
        <v/>
      </c>
      <c r="AR601" s="21"/>
    </row>
    <row r="602" spans="2:44" ht="31.5" x14ac:dyDescent="0.5">
      <c r="B602" s="1"/>
      <c r="C602" s="15"/>
      <c r="D602" s="16"/>
      <c r="E602" s="15"/>
      <c r="F602" s="17"/>
      <c r="G602" s="8"/>
      <c r="H602" s="8"/>
      <c r="I602" s="8"/>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4" t="s">
        <v>49</v>
      </c>
      <c r="AM602" s="5" t="str">
        <f t="shared" si="37"/>
        <v/>
      </c>
      <c r="AN602" s="5" t="str">
        <f t="shared" si="38"/>
        <v/>
      </c>
      <c r="AO602" s="18" t="str">
        <f t="shared" si="39"/>
        <v/>
      </c>
      <c r="AP602" s="19"/>
      <c r="AQ602" s="20" t="str">
        <f t="shared" si="40"/>
        <v/>
      </c>
      <c r="AR602" s="21"/>
    </row>
    <row r="603" spans="2:44" ht="31.5" x14ac:dyDescent="0.5">
      <c r="B603" s="1"/>
      <c r="C603" s="15"/>
      <c r="D603" s="16"/>
      <c r="E603" s="15"/>
      <c r="F603" s="17"/>
      <c r="G603" s="8"/>
      <c r="H603" s="8"/>
      <c r="I603" s="8"/>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4" t="s">
        <v>49</v>
      </c>
      <c r="AM603" s="5" t="str">
        <f t="shared" si="37"/>
        <v/>
      </c>
      <c r="AN603" s="5" t="str">
        <f t="shared" si="38"/>
        <v/>
      </c>
      <c r="AO603" s="18" t="str">
        <f t="shared" si="39"/>
        <v/>
      </c>
      <c r="AP603" s="19"/>
      <c r="AQ603" s="20" t="str">
        <f t="shared" si="40"/>
        <v/>
      </c>
      <c r="AR603" s="21"/>
    </row>
    <row r="604" spans="2:44" ht="31.5" x14ac:dyDescent="0.5">
      <c r="B604" s="1"/>
      <c r="C604" s="15"/>
      <c r="D604" s="16"/>
      <c r="E604" s="15"/>
      <c r="F604" s="17"/>
      <c r="G604" s="8"/>
      <c r="H604" s="8"/>
      <c r="I604" s="8"/>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4" t="s">
        <v>49</v>
      </c>
      <c r="AM604" s="5" t="str">
        <f t="shared" si="37"/>
        <v/>
      </c>
      <c r="AN604" s="5" t="str">
        <f t="shared" si="38"/>
        <v/>
      </c>
      <c r="AO604" s="18" t="str">
        <f t="shared" si="39"/>
        <v/>
      </c>
      <c r="AP604" s="19"/>
      <c r="AQ604" s="20" t="str">
        <f t="shared" si="40"/>
        <v/>
      </c>
      <c r="AR604" s="21"/>
    </row>
    <row r="605" spans="2:44" ht="31.5" x14ac:dyDescent="0.5">
      <c r="B605" s="1"/>
      <c r="C605" s="15"/>
      <c r="D605" s="16"/>
      <c r="E605" s="15"/>
      <c r="F605" s="17"/>
      <c r="G605" s="8"/>
      <c r="H605" s="8"/>
      <c r="I605" s="8"/>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4" t="s">
        <v>49</v>
      </c>
      <c r="AM605" s="5" t="str">
        <f t="shared" si="37"/>
        <v/>
      </c>
      <c r="AN605" s="5" t="str">
        <f t="shared" si="38"/>
        <v/>
      </c>
      <c r="AO605" s="18" t="str">
        <f t="shared" si="39"/>
        <v/>
      </c>
      <c r="AP605" s="19"/>
      <c r="AQ605" s="20" t="str">
        <f t="shared" si="40"/>
        <v/>
      </c>
      <c r="AR605" s="21"/>
    </row>
    <row r="606" spans="2:44" ht="31.5" x14ac:dyDescent="0.5">
      <c r="B606" s="1"/>
      <c r="C606" s="15"/>
      <c r="D606" s="16"/>
      <c r="E606" s="15"/>
      <c r="F606" s="17"/>
      <c r="G606" s="8"/>
      <c r="H606" s="8"/>
      <c r="I606" s="8"/>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4" t="s">
        <v>49</v>
      </c>
      <c r="AM606" s="5" t="str">
        <f t="shared" si="37"/>
        <v/>
      </c>
      <c r="AN606" s="5" t="str">
        <f t="shared" si="38"/>
        <v/>
      </c>
      <c r="AO606" s="18" t="str">
        <f t="shared" si="39"/>
        <v/>
      </c>
      <c r="AP606" s="19"/>
      <c r="AQ606" s="20" t="str">
        <f t="shared" si="40"/>
        <v/>
      </c>
      <c r="AR606" s="21"/>
    </row>
    <row r="607" spans="2:44" ht="31.5" x14ac:dyDescent="0.5">
      <c r="B607" s="1"/>
      <c r="C607" s="15"/>
      <c r="D607" s="16"/>
      <c r="E607" s="15"/>
      <c r="F607" s="17"/>
      <c r="G607" s="8"/>
      <c r="H607" s="8"/>
      <c r="I607" s="8"/>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4" t="s">
        <v>49</v>
      </c>
      <c r="AM607" s="5" t="str">
        <f t="shared" si="37"/>
        <v/>
      </c>
      <c r="AN607" s="5" t="str">
        <f t="shared" si="38"/>
        <v/>
      </c>
      <c r="AO607" s="18" t="str">
        <f t="shared" si="39"/>
        <v/>
      </c>
      <c r="AP607" s="19"/>
      <c r="AQ607" s="20" t="str">
        <f t="shared" si="40"/>
        <v/>
      </c>
      <c r="AR607" s="21"/>
    </row>
    <row r="608" spans="2:44" ht="31.5" x14ac:dyDescent="0.5">
      <c r="B608" s="1"/>
      <c r="C608" s="15"/>
      <c r="D608" s="16"/>
      <c r="E608" s="15"/>
      <c r="F608" s="17"/>
      <c r="G608" s="8"/>
      <c r="H608" s="8"/>
      <c r="I608" s="8"/>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4" t="s">
        <v>49</v>
      </c>
      <c r="AM608" s="5" t="str">
        <f t="shared" si="37"/>
        <v/>
      </c>
      <c r="AN608" s="5" t="str">
        <f t="shared" si="38"/>
        <v/>
      </c>
      <c r="AO608" s="18" t="str">
        <f t="shared" si="39"/>
        <v/>
      </c>
      <c r="AP608" s="19"/>
      <c r="AQ608" s="20" t="str">
        <f t="shared" si="40"/>
        <v/>
      </c>
      <c r="AR608" s="21"/>
    </row>
    <row r="609" spans="2:44" ht="31.5" x14ac:dyDescent="0.5">
      <c r="B609" s="1"/>
      <c r="C609" s="15"/>
      <c r="D609" s="16"/>
      <c r="E609" s="15"/>
      <c r="F609" s="17"/>
      <c r="G609" s="8"/>
      <c r="H609" s="8"/>
      <c r="I609" s="8"/>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4" t="s">
        <v>49</v>
      </c>
      <c r="AM609" s="5" t="str">
        <f t="shared" si="37"/>
        <v/>
      </c>
      <c r="AN609" s="5" t="str">
        <f t="shared" si="38"/>
        <v/>
      </c>
      <c r="AO609" s="18" t="str">
        <f t="shared" si="39"/>
        <v/>
      </c>
      <c r="AP609" s="19"/>
      <c r="AQ609" s="20" t="str">
        <f t="shared" si="40"/>
        <v/>
      </c>
      <c r="AR609" s="21"/>
    </row>
    <row r="610" spans="2:44" ht="31.5" x14ac:dyDescent="0.5">
      <c r="B610" s="1"/>
      <c r="C610" s="15"/>
      <c r="D610" s="16"/>
      <c r="E610" s="15"/>
      <c r="F610" s="17"/>
      <c r="G610" s="8"/>
      <c r="H610" s="8"/>
      <c r="I610" s="8"/>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4" t="s">
        <v>49</v>
      </c>
      <c r="AM610" s="5" t="str">
        <f t="shared" si="37"/>
        <v/>
      </c>
      <c r="AN610" s="5" t="str">
        <f t="shared" si="38"/>
        <v/>
      </c>
      <c r="AO610" s="18" t="str">
        <f t="shared" si="39"/>
        <v/>
      </c>
      <c r="AP610" s="19"/>
      <c r="AQ610" s="20" t="str">
        <f t="shared" si="40"/>
        <v/>
      </c>
      <c r="AR610" s="21"/>
    </row>
    <row r="611" spans="2:44" ht="31.5" x14ac:dyDescent="0.5">
      <c r="B611" s="1"/>
      <c r="C611" s="15"/>
      <c r="D611" s="16"/>
      <c r="E611" s="15"/>
      <c r="F611" s="17"/>
      <c r="G611" s="8"/>
      <c r="H611" s="8"/>
      <c r="I611" s="8"/>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4" t="s">
        <v>49</v>
      </c>
      <c r="AM611" s="5" t="str">
        <f t="shared" si="37"/>
        <v/>
      </c>
      <c r="AN611" s="5" t="str">
        <f t="shared" si="38"/>
        <v/>
      </c>
      <c r="AO611" s="18" t="str">
        <f t="shared" si="39"/>
        <v/>
      </c>
      <c r="AP611" s="19"/>
      <c r="AQ611" s="20" t="str">
        <f t="shared" si="40"/>
        <v/>
      </c>
      <c r="AR611" s="21"/>
    </row>
    <row r="612" spans="2:44" ht="31.5" x14ac:dyDescent="0.5">
      <c r="B612" s="1"/>
      <c r="C612" s="15"/>
      <c r="D612" s="16"/>
      <c r="E612" s="15"/>
      <c r="F612" s="17"/>
      <c r="G612" s="8"/>
      <c r="H612" s="8"/>
      <c r="I612" s="8"/>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4" t="s">
        <v>49</v>
      </c>
      <c r="AM612" s="5" t="str">
        <f t="shared" si="37"/>
        <v/>
      </c>
      <c r="AN612" s="5" t="str">
        <f t="shared" si="38"/>
        <v/>
      </c>
      <c r="AO612" s="18" t="str">
        <f t="shared" si="39"/>
        <v/>
      </c>
      <c r="AP612" s="19"/>
      <c r="AQ612" s="20" t="str">
        <f t="shared" si="40"/>
        <v/>
      </c>
      <c r="AR612" s="21"/>
    </row>
    <row r="613" spans="2:44" ht="31.5" x14ac:dyDescent="0.5">
      <c r="B613" s="1"/>
      <c r="C613" s="15"/>
      <c r="D613" s="16"/>
      <c r="E613" s="15"/>
      <c r="F613" s="17"/>
      <c r="G613" s="8"/>
      <c r="H613" s="8"/>
      <c r="I613" s="8"/>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4" t="s">
        <v>49</v>
      </c>
      <c r="AM613" s="5" t="str">
        <f t="shared" si="37"/>
        <v/>
      </c>
      <c r="AN613" s="5" t="str">
        <f t="shared" si="38"/>
        <v/>
      </c>
      <c r="AO613" s="18" t="str">
        <f t="shared" si="39"/>
        <v/>
      </c>
      <c r="AP613" s="19"/>
      <c r="AQ613" s="20" t="str">
        <f t="shared" si="40"/>
        <v/>
      </c>
      <c r="AR613" s="21"/>
    </row>
    <row r="614" spans="2:44" ht="31.5" x14ac:dyDescent="0.5">
      <c r="B614" s="1"/>
      <c r="C614" s="15"/>
      <c r="D614" s="16"/>
      <c r="E614" s="15"/>
      <c r="F614" s="17"/>
      <c r="G614" s="8"/>
      <c r="H614" s="8"/>
      <c r="I614" s="8"/>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4" t="s">
        <v>49</v>
      </c>
      <c r="AM614" s="5" t="str">
        <f t="shared" si="37"/>
        <v/>
      </c>
      <c r="AN614" s="5" t="str">
        <f t="shared" si="38"/>
        <v/>
      </c>
      <c r="AO614" s="18" t="str">
        <f t="shared" si="39"/>
        <v/>
      </c>
      <c r="AP614" s="19"/>
      <c r="AQ614" s="20" t="str">
        <f t="shared" si="40"/>
        <v/>
      </c>
      <c r="AR614" s="21"/>
    </row>
    <row r="615" spans="2:44" ht="31.5" x14ac:dyDescent="0.5">
      <c r="B615" s="1"/>
      <c r="C615" s="15"/>
      <c r="D615" s="16"/>
      <c r="E615" s="15"/>
      <c r="F615" s="17"/>
      <c r="G615" s="8"/>
      <c r="H615" s="8"/>
      <c r="I615" s="8"/>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4" t="s">
        <v>49</v>
      </c>
      <c r="AM615" s="5" t="str">
        <f t="shared" si="37"/>
        <v/>
      </c>
      <c r="AN615" s="5" t="str">
        <f t="shared" si="38"/>
        <v/>
      </c>
      <c r="AO615" s="18" t="str">
        <f t="shared" si="39"/>
        <v/>
      </c>
      <c r="AP615" s="19"/>
      <c r="AQ615" s="20" t="str">
        <f t="shared" si="40"/>
        <v/>
      </c>
      <c r="AR615" s="21"/>
    </row>
    <row r="616" spans="2:44" ht="31.5" x14ac:dyDescent="0.5">
      <c r="B616" s="1"/>
      <c r="C616" s="15"/>
      <c r="D616" s="16"/>
      <c r="E616" s="15"/>
      <c r="F616" s="17"/>
      <c r="G616" s="8"/>
      <c r="H616" s="8"/>
      <c r="I616" s="8"/>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4" t="s">
        <v>49</v>
      </c>
      <c r="AM616" s="5" t="str">
        <f t="shared" si="37"/>
        <v/>
      </c>
      <c r="AN616" s="5" t="str">
        <f t="shared" si="38"/>
        <v/>
      </c>
      <c r="AO616" s="18" t="str">
        <f t="shared" si="39"/>
        <v/>
      </c>
      <c r="AP616" s="19"/>
      <c r="AQ616" s="20" t="str">
        <f t="shared" si="40"/>
        <v/>
      </c>
      <c r="AR616" s="21"/>
    </row>
    <row r="617" spans="2:44" ht="31.5" x14ac:dyDescent="0.5">
      <c r="B617" s="1"/>
      <c r="C617" s="15"/>
      <c r="D617" s="16"/>
      <c r="E617" s="15"/>
      <c r="F617" s="17"/>
      <c r="G617" s="8"/>
      <c r="H617" s="8"/>
      <c r="I617" s="8"/>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4" t="s">
        <v>49</v>
      </c>
      <c r="AM617" s="5" t="str">
        <f t="shared" si="37"/>
        <v/>
      </c>
      <c r="AN617" s="5" t="str">
        <f t="shared" si="38"/>
        <v/>
      </c>
      <c r="AO617" s="18" t="str">
        <f t="shared" si="39"/>
        <v/>
      </c>
      <c r="AP617" s="19"/>
      <c r="AQ617" s="20" t="str">
        <f t="shared" si="40"/>
        <v/>
      </c>
      <c r="AR617" s="21"/>
    </row>
    <row r="618" spans="2:44" ht="31.5" x14ac:dyDescent="0.5">
      <c r="B618" s="1"/>
      <c r="C618" s="15"/>
      <c r="D618" s="16"/>
      <c r="E618" s="15"/>
      <c r="F618" s="17"/>
      <c r="G618" s="8"/>
      <c r="H618" s="8"/>
      <c r="I618" s="8"/>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4" t="s">
        <v>49</v>
      </c>
      <c r="AM618" s="5" t="str">
        <f t="shared" si="37"/>
        <v/>
      </c>
      <c r="AN618" s="5" t="str">
        <f t="shared" si="38"/>
        <v/>
      </c>
      <c r="AO618" s="18" t="str">
        <f t="shared" si="39"/>
        <v/>
      </c>
      <c r="AP618" s="19"/>
      <c r="AQ618" s="20" t="str">
        <f t="shared" si="40"/>
        <v/>
      </c>
      <c r="AR618" s="21"/>
    </row>
    <row r="619" spans="2:44" ht="31.5" x14ac:dyDescent="0.5">
      <c r="B619" s="1"/>
      <c r="C619" s="15"/>
      <c r="D619" s="16"/>
      <c r="E619" s="15"/>
      <c r="F619" s="17"/>
      <c r="G619" s="8"/>
      <c r="H619" s="8"/>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4" t="s">
        <v>49</v>
      </c>
      <c r="AM619" s="5" t="str">
        <f t="shared" si="37"/>
        <v/>
      </c>
      <c r="AN619" s="5" t="str">
        <f t="shared" si="38"/>
        <v/>
      </c>
      <c r="AO619" s="18" t="str">
        <f t="shared" si="39"/>
        <v/>
      </c>
      <c r="AP619" s="19"/>
      <c r="AQ619" s="20" t="str">
        <f t="shared" si="40"/>
        <v/>
      </c>
      <c r="AR619" s="21"/>
    </row>
    <row r="620" spans="2:44" ht="31.5" x14ac:dyDescent="0.5">
      <c r="B620" s="1"/>
      <c r="C620" s="15"/>
      <c r="D620" s="16"/>
      <c r="E620" s="15"/>
      <c r="F620" s="17"/>
      <c r="G620" s="8"/>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4" t="s">
        <v>49</v>
      </c>
      <c r="AM620" s="5" t="str">
        <f t="shared" si="37"/>
        <v/>
      </c>
      <c r="AN620" s="5" t="str">
        <f t="shared" si="38"/>
        <v/>
      </c>
      <c r="AO620" s="18" t="str">
        <f t="shared" si="39"/>
        <v/>
      </c>
      <c r="AP620" s="19"/>
      <c r="AQ620" s="20" t="str">
        <f t="shared" si="40"/>
        <v/>
      </c>
      <c r="AR620" s="21"/>
    </row>
    <row r="621" spans="2:44" ht="31.5" x14ac:dyDescent="0.5">
      <c r="B621" s="1"/>
      <c r="C621" s="15"/>
      <c r="D621" s="16"/>
      <c r="E621" s="15"/>
      <c r="F621" s="17"/>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4" t="s">
        <v>49</v>
      </c>
      <c r="AM621" s="5" t="str">
        <f t="shared" si="37"/>
        <v/>
      </c>
      <c r="AN621" s="5" t="str">
        <f t="shared" si="38"/>
        <v/>
      </c>
      <c r="AO621" s="18" t="str">
        <f t="shared" si="39"/>
        <v/>
      </c>
      <c r="AP621" s="19"/>
      <c r="AQ621" s="20" t="str">
        <f t="shared" si="40"/>
        <v/>
      </c>
      <c r="AR621" s="21"/>
    </row>
    <row r="622" spans="2:44" ht="31.5" x14ac:dyDescent="0.5">
      <c r="B622" s="1"/>
      <c r="C622" s="15"/>
      <c r="D622" s="16"/>
      <c r="E622" s="15"/>
      <c r="F622" s="17"/>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4" t="s">
        <v>49</v>
      </c>
      <c r="AM622" s="5" t="str">
        <f t="shared" si="37"/>
        <v/>
      </c>
      <c r="AN622" s="5" t="str">
        <f t="shared" si="38"/>
        <v/>
      </c>
      <c r="AO622" s="18" t="str">
        <f t="shared" si="39"/>
        <v/>
      </c>
      <c r="AP622" s="19"/>
      <c r="AQ622" s="20" t="str">
        <f t="shared" si="40"/>
        <v/>
      </c>
      <c r="AR622" s="21"/>
    </row>
    <row r="623" spans="2:44" ht="31.5" x14ac:dyDescent="0.5">
      <c r="B623" s="1"/>
      <c r="C623" s="15"/>
      <c r="D623" s="16"/>
      <c r="E623" s="15"/>
      <c r="F623" s="17"/>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4" t="s">
        <v>49</v>
      </c>
      <c r="AM623" s="5" t="str">
        <f t="shared" si="37"/>
        <v/>
      </c>
      <c r="AN623" s="5" t="str">
        <f t="shared" si="38"/>
        <v/>
      </c>
      <c r="AO623" s="18" t="str">
        <f t="shared" si="39"/>
        <v/>
      </c>
      <c r="AP623" s="19"/>
      <c r="AQ623" s="20" t="str">
        <f t="shared" si="40"/>
        <v/>
      </c>
      <c r="AR623" s="21"/>
    </row>
    <row r="624" spans="2:44" ht="31.5" x14ac:dyDescent="0.5">
      <c r="B624" s="1"/>
      <c r="C624" s="15"/>
      <c r="D624" s="16"/>
      <c r="E624" s="15"/>
      <c r="F624" s="17"/>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4" t="s">
        <v>49</v>
      </c>
      <c r="AM624" s="5" t="str">
        <f t="shared" si="37"/>
        <v/>
      </c>
      <c r="AN624" s="5" t="str">
        <f t="shared" si="38"/>
        <v/>
      </c>
      <c r="AO624" s="18" t="str">
        <f t="shared" si="39"/>
        <v/>
      </c>
      <c r="AP624" s="19"/>
      <c r="AQ624" s="20" t="str">
        <f t="shared" si="40"/>
        <v/>
      </c>
      <c r="AR624" s="21"/>
    </row>
    <row r="625" spans="2:44" ht="31.5" x14ac:dyDescent="0.5">
      <c r="B625" s="1"/>
      <c r="C625" s="15"/>
      <c r="D625" s="16"/>
      <c r="E625" s="15"/>
      <c r="F625" s="17"/>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4" t="s">
        <v>49</v>
      </c>
      <c r="AM625" s="5" t="str">
        <f t="shared" si="37"/>
        <v/>
      </c>
      <c r="AN625" s="5" t="str">
        <f t="shared" si="38"/>
        <v/>
      </c>
      <c r="AO625" s="18" t="str">
        <f t="shared" si="39"/>
        <v/>
      </c>
      <c r="AP625" s="19"/>
      <c r="AQ625" s="20" t="str">
        <f t="shared" si="40"/>
        <v/>
      </c>
      <c r="AR625" s="21"/>
    </row>
    <row r="626" spans="2:44" ht="31.5" x14ac:dyDescent="0.5">
      <c r="B626" s="1"/>
      <c r="C626" s="15"/>
      <c r="D626" s="16"/>
      <c r="E626" s="15"/>
      <c r="F626" s="17"/>
      <c r="G626" s="8"/>
      <c r="H626" s="8"/>
      <c r="I626" s="8"/>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4" t="s">
        <v>49</v>
      </c>
      <c r="AM626" s="5" t="str">
        <f t="shared" si="37"/>
        <v/>
      </c>
      <c r="AN626" s="5" t="str">
        <f t="shared" si="38"/>
        <v/>
      </c>
      <c r="AO626" s="18" t="str">
        <f t="shared" si="39"/>
        <v/>
      </c>
      <c r="AP626" s="19"/>
      <c r="AQ626" s="20" t="str">
        <f t="shared" si="40"/>
        <v/>
      </c>
      <c r="AR626" s="21"/>
    </row>
    <row r="627" spans="2:44" ht="31.5" x14ac:dyDescent="0.5">
      <c r="B627" s="1"/>
      <c r="C627" s="15"/>
      <c r="D627" s="16"/>
      <c r="E627" s="15"/>
      <c r="F627" s="17"/>
      <c r="G627" s="8"/>
      <c r="H627" s="8"/>
      <c r="I627" s="8"/>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4" t="s">
        <v>49</v>
      </c>
      <c r="AM627" s="5" t="str">
        <f t="shared" ref="AM627:AM690" si="41">IF($B627="","",COUNTIF($G627:$AK627,"P"))</f>
        <v/>
      </c>
      <c r="AN627" s="5" t="str">
        <f t="shared" ref="AN627:AN690" si="42">IF($B627="","",COUNTIF($G627:$AK627,"AB"))</f>
        <v/>
      </c>
      <c r="AO627" s="18" t="str">
        <f t="shared" ref="AO627:AO690" si="43">IF($B627="","",SUMPRODUCT(--($G$11:$AK$11&lt;&gt;""),--($G$12:$AK$12&lt;&gt;"Sun")))</f>
        <v/>
      </c>
      <c r="AP627" s="19"/>
      <c r="AQ627" s="20" t="str">
        <f t="shared" ref="AQ627:AQ690" si="44">IF($B627="","",IF(AO627=0,"",AM627/AO627))</f>
        <v/>
      </c>
      <c r="AR627" s="21"/>
    </row>
    <row r="628" spans="2:44" ht="31.5" x14ac:dyDescent="0.5">
      <c r="B628" s="1"/>
      <c r="C628" s="15"/>
      <c r="D628" s="16"/>
      <c r="E628" s="15"/>
      <c r="F628" s="17"/>
      <c r="G628" s="8"/>
      <c r="H628" s="8"/>
      <c r="I628" s="8"/>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4" t="s">
        <v>49</v>
      </c>
      <c r="AM628" s="5" t="str">
        <f t="shared" si="41"/>
        <v/>
      </c>
      <c r="AN628" s="5" t="str">
        <f t="shared" si="42"/>
        <v/>
      </c>
      <c r="AO628" s="18" t="str">
        <f t="shared" si="43"/>
        <v/>
      </c>
      <c r="AP628" s="19"/>
      <c r="AQ628" s="20" t="str">
        <f t="shared" si="44"/>
        <v/>
      </c>
      <c r="AR628" s="21"/>
    </row>
    <row r="629" spans="2:44" ht="31.5" x14ac:dyDescent="0.5">
      <c r="B629" s="1"/>
      <c r="C629" s="15"/>
      <c r="D629" s="16"/>
      <c r="E629" s="15"/>
      <c r="F629" s="17"/>
      <c r="G629" s="8"/>
      <c r="H629" s="8"/>
      <c r="I629" s="8"/>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4" t="s">
        <v>49</v>
      </c>
      <c r="AM629" s="5" t="str">
        <f t="shared" si="41"/>
        <v/>
      </c>
      <c r="AN629" s="5" t="str">
        <f t="shared" si="42"/>
        <v/>
      </c>
      <c r="AO629" s="18" t="str">
        <f t="shared" si="43"/>
        <v/>
      </c>
      <c r="AP629" s="19"/>
      <c r="AQ629" s="20" t="str">
        <f t="shared" si="44"/>
        <v/>
      </c>
      <c r="AR629" s="21"/>
    </row>
    <row r="630" spans="2:44" ht="31.5" x14ac:dyDescent="0.5">
      <c r="B630" s="1"/>
      <c r="C630" s="15"/>
      <c r="D630" s="16"/>
      <c r="E630" s="15"/>
      <c r="F630" s="17"/>
      <c r="G630" s="8"/>
      <c r="H630" s="8"/>
      <c r="I630" s="8"/>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4" t="s">
        <v>49</v>
      </c>
      <c r="AM630" s="5" t="str">
        <f t="shared" si="41"/>
        <v/>
      </c>
      <c r="AN630" s="5" t="str">
        <f t="shared" si="42"/>
        <v/>
      </c>
      <c r="AO630" s="18" t="str">
        <f t="shared" si="43"/>
        <v/>
      </c>
      <c r="AP630" s="19"/>
      <c r="AQ630" s="20" t="str">
        <f t="shared" si="44"/>
        <v/>
      </c>
      <c r="AR630" s="21"/>
    </row>
    <row r="631" spans="2:44" ht="31.5" x14ac:dyDescent="0.5">
      <c r="B631" s="1"/>
      <c r="C631" s="15"/>
      <c r="D631" s="16"/>
      <c r="E631" s="15"/>
      <c r="F631" s="17"/>
      <c r="G631" s="8"/>
      <c r="H631" s="8"/>
      <c r="I631" s="8"/>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4" t="s">
        <v>49</v>
      </c>
      <c r="AM631" s="5" t="str">
        <f t="shared" si="41"/>
        <v/>
      </c>
      <c r="AN631" s="5" t="str">
        <f t="shared" si="42"/>
        <v/>
      </c>
      <c r="AO631" s="18" t="str">
        <f t="shared" si="43"/>
        <v/>
      </c>
      <c r="AP631" s="19"/>
      <c r="AQ631" s="20" t="str">
        <f t="shared" si="44"/>
        <v/>
      </c>
      <c r="AR631" s="21"/>
    </row>
    <row r="632" spans="2:44" ht="31.5" x14ac:dyDescent="0.5">
      <c r="B632" s="1"/>
      <c r="C632" s="15"/>
      <c r="D632" s="16"/>
      <c r="E632" s="15"/>
      <c r="F632" s="17"/>
      <c r="G632" s="8"/>
      <c r="H632" s="8"/>
      <c r="I632" s="8"/>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4" t="s">
        <v>49</v>
      </c>
      <c r="AM632" s="5" t="str">
        <f t="shared" si="41"/>
        <v/>
      </c>
      <c r="AN632" s="5" t="str">
        <f t="shared" si="42"/>
        <v/>
      </c>
      <c r="AO632" s="18" t="str">
        <f t="shared" si="43"/>
        <v/>
      </c>
      <c r="AP632" s="19"/>
      <c r="AQ632" s="20" t="str">
        <f t="shared" si="44"/>
        <v/>
      </c>
      <c r="AR632" s="21"/>
    </row>
    <row r="633" spans="2:44" ht="31.5" x14ac:dyDescent="0.5">
      <c r="B633" s="1"/>
      <c r="C633" s="15"/>
      <c r="D633" s="16"/>
      <c r="E633" s="15"/>
      <c r="F633" s="17"/>
      <c r="G633" s="8"/>
      <c r="H633" s="8"/>
      <c r="I633" s="8"/>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4" t="s">
        <v>49</v>
      </c>
      <c r="AM633" s="5" t="str">
        <f t="shared" si="41"/>
        <v/>
      </c>
      <c r="AN633" s="5" t="str">
        <f t="shared" si="42"/>
        <v/>
      </c>
      <c r="AO633" s="18" t="str">
        <f t="shared" si="43"/>
        <v/>
      </c>
      <c r="AP633" s="19"/>
      <c r="AQ633" s="20" t="str">
        <f t="shared" si="44"/>
        <v/>
      </c>
      <c r="AR633" s="21"/>
    </row>
    <row r="634" spans="2:44" ht="31.5" x14ac:dyDescent="0.5">
      <c r="B634" s="1"/>
      <c r="C634" s="15"/>
      <c r="D634" s="16"/>
      <c r="E634" s="15"/>
      <c r="F634" s="17"/>
      <c r="G634" s="8"/>
      <c r="H634" s="8"/>
      <c r="I634" s="8"/>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4" t="s">
        <v>49</v>
      </c>
      <c r="AM634" s="5" t="str">
        <f t="shared" si="41"/>
        <v/>
      </c>
      <c r="AN634" s="5" t="str">
        <f t="shared" si="42"/>
        <v/>
      </c>
      <c r="AO634" s="18" t="str">
        <f t="shared" si="43"/>
        <v/>
      </c>
      <c r="AP634" s="19"/>
      <c r="AQ634" s="20" t="str">
        <f t="shared" si="44"/>
        <v/>
      </c>
      <c r="AR634" s="21"/>
    </row>
    <row r="635" spans="2:44" ht="31.5" x14ac:dyDescent="0.5">
      <c r="B635" s="1"/>
      <c r="C635" s="15"/>
      <c r="D635" s="16"/>
      <c r="E635" s="15"/>
      <c r="F635" s="17"/>
      <c r="G635" s="8"/>
      <c r="H635" s="8"/>
      <c r="I635" s="8"/>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4" t="s">
        <v>49</v>
      </c>
      <c r="AM635" s="5" t="str">
        <f t="shared" si="41"/>
        <v/>
      </c>
      <c r="AN635" s="5" t="str">
        <f t="shared" si="42"/>
        <v/>
      </c>
      <c r="AO635" s="18" t="str">
        <f t="shared" si="43"/>
        <v/>
      </c>
      <c r="AP635" s="19"/>
      <c r="AQ635" s="20" t="str">
        <f t="shared" si="44"/>
        <v/>
      </c>
      <c r="AR635" s="21"/>
    </row>
    <row r="636" spans="2:44" ht="31.5" x14ac:dyDescent="0.5">
      <c r="B636" s="1"/>
      <c r="C636" s="15"/>
      <c r="D636" s="16"/>
      <c r="E636" s="15"/>
      <c r="F636" s="17"/>
      <c r="G636" s="8"/>
      <c r="H636" s="8"/>
      <c r="I636" s="8"/>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4" t="s">
        <v>49</v>
      </c>
      <c r="AM636" s="5" t="str">
        <f t="shared" si="41"/>
        <v/>
      </c>
      <c r="AN636" s="5" t="str">
        <f t="shared" si="42"/>
        <v/>
      </c>
      <c r="AO636" s="18" t="str">
        <f t="shared" si="43"/>
        <v/>
      </c>
      <c r="AP636" s="19"/>
      <c r="AQ636" s="20" t="str">
        <f t="shared" si="44"/>
        <v/>
      </c>
      <c r="AR636" s="21"/>
    </row>
    <row r="637" spans="2:44" ht="31.5" x14ac:dyDescent="0.5">
      <c r="B637" s="1"/>
      <c r="C637" s="15"/>
      <c r="D637" s="16"/>
      <c r="E637" s="15"/>
      <c r="F637" s="17"/>
      <c r="G637" s="8"/>
      <c r="H637" s="8"/>
      <c r="I637" s="8"/>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4" t="s">
        <v>49</v>
      </c>
      <c r="AM637" s="5" t="str">
        <f t="shared" si="41"/>
        <v/>
      </c>
      <c r="AN637" s="5" t="str">
        <f t="shared" si="42"/>
        <v/>
      </c>
      <c r="AO637" s="18" t="str">
        <f t="shared" si="43"/>
        <v/>
      </c>
      <c r="AP637" s="19"/>
      <c r="AQ637" s="20" t="str">
        <f t="shared" si="44"/>
        <v/>
      </c>
      <c r="AR637" s="21"/>
    </row>
    <row r="638" spans="2:44" ht="31.5" x14ac:dyDescent="0.5">
      <c r="B638" s="1"/>
      <c r="C638" s="15"/>
      <c r="D638" s="16"/>
      <c r="E638" s="15"/>
      <c r="F638" s="17"/>
      <c r="G638" s="8"/>
      <c r="H638" s="8"/>
      <c r="I638" s="8"/>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4" t="s">
        <v>49</v>
      </c>
      <c r="AM638" s="5" t="str">
        <f t="shared" si="41"/>
        <v/>
      </c>
      <c r="AN638" s="5" t="str">
        <f t="shared" si="42"/>
        <v/>
      </c>
      <c r="AO638" s="18" t="str">
        <f t="shared" si="43"/>
        <v/>
      </c>
      <c r="AP638" s="19"/>
      <c r="AQ638" s="20" t="str">
        <f t="shared" si="44"/>
        <v/>
      </c>
      <c r="AR638" s="21"/>
    </row>
    <row r="639" spans="2:44" ht="31.5" x14ac:dyDescent="0.5">
      <c r="B639" s="1"/>
      <c r="C639" s="15"/>
      <c r="D639" s="16"/>
      <c r="E639" s="15"/>
      <c r="F639" s="17"/>
      <c r="G639" s="8"/>
      <c r="H639" s="8"/>
      <c r="I639" s="8"/>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4" t="s">
        <v>49</v>
      </c>
      <c r="AM639" s="5" t="str">
        <f t="shared" si="41"/>
        <v/>
      </c>
      <c r="AN639" s="5" t="str">
        <f t="shared" si="42"/>
        <v/>
      </c>
      <c r="AO639" s="18" t="str">
        <f t="shared" si="43"/>
        <v/>
      </c>
      <c r="AP639" s="19"/>
      <c r="AQ639" s="20" t="str">
        <f t="shared" si="44"/>
        <v/>
      </c>
      <c r="AR639" s="21"/>
    </row>
    <row r="640" spans="2:44" ht="31.5" x14ac:dyDescent="0.5">
      <c r="B640" s="1"/>
      <c r="C640" s="15"/>
      <c r="D640" s="16"/>
      <c r="E640" s="15"/>
      <c r="F640" s="17"/>
      <c r="G640" s="8"/>
      <c r="H640" s="8"/>
      <c r="I640" s="8"/>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4" t="s">
        <v>49</v>
      </c>
      <c r="AM640" s="5" t="str">
        <f t="shared" si="41"/>
        <v/>
      </c>
      <c r="AN640" s="5" t="str">
        <f t="shared" si="42"/>
        <v/>
      </c>
      <c r="AO640" s="18" t="str">
        <f t="shared" si="43"/>
        <v/>
      </c>
      <c r="AP640" s="19"/>
      <c r="AQ640" s="20" t="str">
        <f t="shared" si="44"/>
        <v/>
      </c>
      <c r="AR640" s="21"/>
    </row>
    <row r="641" spans="2:44" ht="31.5" x14ac:dyDescent="0.5">
      <c r="B641" s="1"/>
      <c r="C641" s="15"/>
      <c r="D641" s="16"/>
      <c r="E641" s="15"/>
      <c r="F641" s="17"/>
      <c r="G641" s="8"/>
      <c r="H641" s="8"/>
      <c r="I641" s="8"/>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4" t="s">
        <v>49</v>
      </c>
      <c r="AM641" s="5" t="str">
        <f t="shared" si="41"/>
        <v/>
      </c>
      <c r="AN641" s="5" t="str">
        <f t="shared" si="42"/>
        <v/>
      </c>
      <c r="AO641" s="18" t="str">
        <f t="shared" si="43"/>
        <v/>
      </c>
      <c r="AP641" s="19"/>
      <c r="AQ641" s="20" t="str">
        <f t="shared" si="44"/>
        <v/>
      </c>
      <c r="AR641" s="21"/>
    </row>
    <row r="642" spans="2:44" ht="31.5" x14ac:dyDescent="0.5">
      <c r="B642" s="1"/>
      <c r="C642" s="15"/>
      <c r="D642" s="16"/>
      <c r="E642" s="15"/>
      <c r="F642" s="17"/>
      <c r="G642" s="8"/>
      <c r="H642" s="8"/>
      <c r="I642" s="8"/>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4" t="s">
        <v>49</v>
      </c>
      <c r="AM642" s="5" t="str">
        <f t="shared" si="41"/>
        <v/>
      </c>
      <c r="AN642" s="5" t="str">
        <f t="shared" si="42"/>
        <v/>
      </c>
      <c r="AO642" s="18" t="str">
        <f t="shared" si="43"/>
        <v/>
      </c>
      <c r="AP642" s="19"/>
      <c r="AQ642" s="20" t="str">
        <f t="shared" si="44"/>
        <v/>
      </c>
      <c r="AR642" s="21"/>
    </row>
    <row r="643" spans="2:44" ht="31.5" x14ac:dyDescent="0.5">
      <c r="B643" s="1"/>
      <c r="C643" s="15"/>
      <c r="D643" s="16"/>
      <c r="E643" s="15"/>
      <c r="F643" s="17"/>
      <c r="G643" s="8"/>
      <c r="H643" s="8"/>
      <c r="I643" s="8"/>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4" t="s">
        <v>49</v>
      </c>
      <c r="AM643" s="5" t="str">
        <f t="shared" si="41"/>
        <v/>
      </c>
      <c r="AN643" s="5" t="str">
        <f t="shared" si="42"/>
        <v/>
      </c>
      <c r="AO643" s="18" t="str">
        <f t="shared" si="43"/>
        <v/>
      </c>
      <c r="AP643" s="19"/>
      <c r="AQ643" s="20" t="str">
        <f t="shared" si="44"/>
        <v/>
      </c>
      <c r="AR643" s="21"/>
    </row>
    <row r="644" spans="2:44" ht="31.5" x14ac:dyDescent="0.5">
      <c r="B644" s="1"/>
      <c r="C644" s="15"/>
      <c r="D644" s="16"/>
      <c r="E644" s="15"/>
      <c r="F644" s="17"/>
      <c r="G644" s="8"/>
      <c r="H644" s="8"/>
      <c r="I644" s="8"/>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4" t="s">
        <v>49</v>
      </c>
      <c r="AM644" s="5" t="str">
        <f t="shared" si="41"/>
        <v/>
      </c>
      <c r="AN644" s="5" t="str">
        <f t="shared" si="42"/>
        <v/>
      </c>
      <c r="AO644" s="18" t="str">
        <f t="shared" si="43"/>
        <v/>
      </c>
      <c r="AP644" s="19"/>
      <c r="AQ644" s="20" t="str">
        <f t="shared" si="44"/>
        <v/>
      </c>
      <c r="AR644" s="21"/>
    </row>
    <row r="645" spans="2:44" ht="31.5" x14ac:dyDescent="0.5">
      <c r="B645" s="1"/>
      <c r="C645" s="15"/>
      <c r="D645" s="16"/>
      <c r="E645" s="15"/>
      <c r="F645" s="17"/>
      <c r="G645" s="8"/>
      <c r="H645" s="8"/>
      <c r="I645" s="8"/>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4" t="s">
        <v>49</v>
      </c>
      <c r="AM645" s="5" t="str">
        <f t="shared" si="41"/>
        <v/>
      </c>
      <c r="AN645" s="5" t="str">
        <f t="shared" si="42"/>
        <v/>
      </c>
      <c r="AO645" s="18" t="str">
        <f t="shared" si="43"/>
        <v/>
      </c>
      <c r="AP645" s="19"/>
      <c r="AQ645" s="20" t="str">
        <f t="shared" si="44"/>
        <v/>
      </c>
      <c r="AR645" s="21"/>
    </row>
    <row r="646" spans="2:44" ht="31.5" x14ac:dyDescent="0.5">
      <c r="B646" s="1"/>
      <c r="C646" s="15"/>
      <c r="D646" s="16"/>
      <c r="E646" s="15"/>
      <c r="F646" s="17"/>
      <c r="G646" s="8"/>
      <c r="H646" s="8"/>
      <c r="I646" s="8"/>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4" t="s">
        <v>49</v>
      </c>
      <c r="AM646" s="5" t="str">
        <f t="shared" si="41"/>
        <v/>
      </c>
      <c r="AN646" s="5" t="str">
        <f t="shared" si="42"/>
        <v/>
      </c>
      <c r="AO646" s="18" t="str">
        <f t="shared" si="43"/>
        <v/>
      </c>
      <c r="AP646" s="19"/>
      <c r="AQ646" s="20" t="str">
        <f t="shared" si="44"/>
        <v/>
      </c>
      <c r="AR646" s="21"/>
    </row>
    <row r="647" spans="2:44" ht="31.5" x14ac:dyDescent="0.5">
      <c r="B647" s="1"/>
      <c r="C647" s="15"/>
      <c r="D647" s="16"/>
      <c r="E647" s="15"/>
      <c r="F647" s="17"/>
      <c r="G647" s="8"/>
      <c r="H647" s="8"/>
      <c r="I647" s="8"/>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4" t="s">
        <v>49</v>
      </c>
      <c r="AM647" s="5" t="str">
        <f t="shared" si="41"/>
        <v/>
      </c>
      <c r="AN647" s="5" t="str">
        <f t="shared" si="42"/>
        <v/>
      </c>
      <c r="AO647" s="18" t="str">
        <f t="shared" si="43"/>
        <v/>
      </c>
      <c r="AP647" s="19"/>
      <c r="AQ647" s="20" t="str">
        <f t="shared" si="44"/>
        <v/>
      </c>
      <c r="AR647" s="21"/>
    </row>
    <row r="648" spans="2:44" ht="31.5" x14ac:dyDescent="0.5">
      <c r="B648" s="1"/>
      <c r="C648" s="15"/>
      <c r="D648" s="16"/>
      <c r="E648" s="15"/>
      <c r="F648" s="17"/>
      <c r="G648" s="8"/>
      <c r="H648" s="8"/>
      <c r="I648" s="8"/>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4" t="s">
        <v>49</v>
      </c>
      <c r="AM648" s="5" t="str">
        <f t="shared" si="41"/>
        <v/>
      </c>
      <c r="AN648" s="5" t="str">
        <f t="shared" si="42"/>
        <v/>
      </c>
      <c r="AO648" s="18" t="str">
        <f t="shared" si="43"/>
        <v/>
      </c>
      <c r="AP648" s="19"/>
      <c r="AQ648" s="20" t="str">
        <f t="shared" si="44"/>
        <v/>
      </c>
      <c r="AR648" s="21"/>
    </row>
    <row r="649" spans="2:44" ht="31.5" x14ac:dyDescent="0.5">
      <c r="B649" s="1"/>
      <c r="C649" s="15"/>
      <c r="D649" s="16"/>
      <c r="E649" s="15"/>
      <c r="F649" s="17"/>
      <c r="G649" s="8"/>
      <c r="H649" s="8"/>
      <c r="I649" s="8"/>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4" t="s">
        <v>49</v>
      </c>
      <c r="AM649" s="5" t="str">
        <f t="shared" si="41"/>
        <v/>
      </c>
      <c r="AN649" s="5" t="str">
        <f t="shared" si="42"/>
        <v/>
      </c>
      <c r="AO649" s="18" t="str">
        <f t="shared" si="43"/>
        <v/>
      </c>
      <c r="AP649" s="19"/>
      <c r="AQ649" s="20" t="str">
        <f t="shared" si="44"/>
        <v/>
      </c>
      <c r="AR649" s="21"/>
    </row>
    <row r="650" spans="2:44" ht="31.5" x14ac:dyDescent="0.5">
      <c r="B650" s="1"/>
      <c r="C650" s="15"/>
      <c r="D650" s="16"/>
      <c r="E650" s="15"/>
      <c r="F650" s="17"/>
      <c r="G650" s="8"/>
      <c r="H650" s="8"/>
      <c r="I650" s="8"/>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4" t="s">
        <v>49</v>
      </c>
      <c r="AM650" s="5" t="str">
        <f t="shared" si="41"/>
        <v/>
      </c>
      <c r="AN650" s="5" t="str">
        <f t="shared" si="42"/>
        <v/>
      </c>
      <c r="AO650" s="18" t="str">
        <f t="shared" si="43"/>
        <v/>
      </c>
      <c r="AP650" s="19"/>
      <c r="AQ650" s="20" t="str">
        <f t="shared" si="44"/>
        <v/>
      </c>
      <c r="AR650" s="21"/>
    </row>
    <row r="651" spans="2:44" ht="31.5" x14ac:dyDescent="0.5">
      <c r="B651" s="1"/>
      <c r="C651" s="15"/>
      <c r="D651" s="16"/>
      <c r="E651" s="15"/>
      <c r="F651" s="17"/>
      <c r="G651" s="8"/>
      <c r="H651" s="8"/>
      <c r="I651" s="8"/>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4" t="s">
        <v>49</v>
      </c>
      <c r="AM651" s="5" t="str">
        <f t="shared" si="41"/>
        <v/>
      </c>
      <c r="AN651" s="5" t="str">
        <f t="shared" si="42"/>
        <v/>
      </c>
      <c r="AO651" s="18" t="str">
        <f t="shared" si="43"/>
        <v/>
      </c>
      <c r="AP651" s="19"/>
      <c r="AQ651" s="20" t="str">
        <f t="shared" si="44"/>
        <v/>
      </c>
      <c r="AR651" s="21"/>
    </row>
    <row r="652" spans="2:44" ht="31.5" x14ac:dyDescent="0.5">
      <c r="B652" s="1"/>
      <c r="C652" s="15"/>
      <c r="D652" s="16"/>
      <c r="E652" s="15"/>
      <c r="F652" s="17"/>
      <c r="G652" s="8"/>
      <c r="H652" s="8"/>
      <c r="I652" s="8"/>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4" t="s">
        <v>49</v>
      </c>
      <c r="AM652" s="5" t="str">
        <f t="shared" si="41"/>
        <v/>
      </c>
      <c r="AN652" s="5" t="str">
        <f t="shared" si="42"/>
        <v/>
      </c>
      <c r="AO652" s="18" t="str">
        <f t="shared" si="43"/>
        <v/>
      </c>
      <c r="AP652" s="19"/>
      <c r="AQ652" s="20" t="str">
        <f t="shared" si="44"/>
        <v/>
      </c>
      <c r="AR652" s="21"/>
    </row>
    <row r="653" spans="2:44" ht="31.5" x14ac:dyDescent="0.5">
      <c r="B653" s="1"/>
      <c r="C653" s="15"/>
      <c r="D653" s="16"/>
      <c r="E653" s="15"/>
      <c r="F653" s="17"/>
      <c r="G653" s="8"/>
      <c r="H653" s="8"/>
      <c r="I653" s="8"/>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4" t="s">
        <v>49</v>
      </c>
      <c r="AM653" s="5" t="str">
        <f t="shared" si="41"/>
        <v/>
      </c>
      <c r="AN653" s="5" t="str">
        <f t="shared" si="42"/>
        <v/>
      </c>
      <c r="AO653" s="18" t="str">
        <f t="shared" si="43"/>
        <v/>
      </c>
      <c r="AP653" s="19"/>
      <c r="AQ653" s="20" t="str">
        <f t="shared" si="44"/>
        <v/>
      </c>
      <c r="AR653" s="21"/>
    </row>
    <row r="654" spans="2:44" ht="31.5" x14ac:dyDescent="0.5">
      <c r="B654" s="1"/>
      <c r="C654" s="15"/>
      <c r="D654" s="16"/>
      <c r="E654" s="15"/>
      <c r="F654" s="17"/>
      <c r="G654" s="8"/>
      <c r="H654" s="8"/>
      <c r="I654" s="8"/>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4" t="s">
        <v>49</v>
      </c>
      <c r="AM654" s="5" t="str">
        <f t="shared" si="41"/>
        <v/>
      </c>
      <c r="AN654" s="5" t="str">
        <f t="shared" si="42"/>
        <v/>
      </c>
      <c r="AO654" s="18" t="str">
        <f t="shared" si="43"/>
        <v/>
      </c>
      <c r="AP654" s="19"/>
      <c r="AQ654" s="20" t="str">
        <f t="shared" si="44"/>
        <v/>
      </c>
      <c r="AR654" s="21"/>
    </row>
    <row r="655" spans="2:44" ht="31.5" x14ac:dyDescent="0.5">
      <c r="B655" s="1"/>
      <c r="C655" s="15"/>
      <c r="D655" s="16"/>
      <c r="E655" s="15"/>
      <c r="F655" s="17"/>
      <c r="G655" s="8"/>
      <c r="H655" s="8"/>
      <c r="I655" s="8"/>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4" t="s">
        <v>49</v>
      </c>
      <c r="AM655" s="5" t="str">
        <f t="shared" si="41"/>
        <v/>
      </c>
      <c r="AN655" s="5" t="str">
        <f t="shared" si="42"/>
        <v/>
      </c>
      <c r="AO655" s="18" t="str">
        <f t="shared" si="43"/>
        <v/>
      </c>
      <c r="AP655" s="19"/>
      <c r="AQ655" s="20" t="str">
        <f t="shared" si="44"/>
        <v/>
      </c>
      <c r="AR655" s="21"/>
    </row>
    <row r="656" spans="2:44" ht="31.5" x14ac:dyDescent="0.5">
      <c r="B656" s="1"/>
      <c r="C656" s="15"/>
      <c r="D656" s="16"/>
      <c r="E656" s="15"/>
      <c r="F656" s="17"/>
      <c r="G656" s="8"/>
      <c r="H656" s="8"/>
      <c r="I656" s="8"/>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4" t="s">
        <v>49</v>
      </c>
      <c r="AM656" s="5" t="str">
        <f t="shared" si="41"/>
        <v/>
      </c>
      <c r="AN656" s="5" t="str">
        <f t="shared" si="42"/>
        <v/>
      </c>
      <c r="AO656" s="18" t="str">
        <f t="shared" si="43"/>
        <v/>
      </c>
      <c r="AP656" s="19"/>
      <c r="AQ656" s="20" t="str">
        <f t="shared" si="44"/>
        <v/>
      </c>
      <c r="AR656" s="21"/>
    </row>
    <row r="657" spans="2:44" ht="31.5" x14ac:dyDescent="0.5">
      <c r="B657" s="1"/>
      <c r="C657" s="15"/>
      <c r="D657" s="16"/>
      <c r="E657" s="15"/>
      <c r="F657" s="17"/>
      <c r="G657" s="8"/>
      <c r="H657" s="8"/>
      <c r="I657" s="8"/>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4" t="s">
        <v>49</v>
      </c>
      <c r="AM657" s="5" t="str">
        <f t="shared" si="41"/>
        <v/>
      </c>
      <c r="AN657" s="5" t="str">
        <f t="shared" si="42"/>
        <v/>
      </c>
      <c r="AO657" s="18" t="str">
        <f t="shared" si="43"/>
        <v/>
      </c>
      <c r="AP657" s="19"/>
      <c r="AQ657" s="20" t="str">
        <f t="shared" si="44"/>
        <v/>
      </c>
      <c r="AR657" s="21"/>
    </row>
    <row r="658" spans="2:44" ht="31.5" x14ac:dyDescent="0.5">
      <c r="B658" s="1"/>
      <c r="C658" s="15"/>
      <c r="D658" s="16"/>
      <c r="E658" s="15"/>
      <c r="F658" s="17"/>
      <c r="G658" s="8"/>
      <c r="H658" s="8"/>
      <c r="I658" s="8"/>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4" t="s">
        <v>49</v>
      </c>
      <c r="AM658" s="5" t="str">
        <f t="shared" si="41"/>
        <v/>
      </c>
      <c r="AN658" s="5" t="str">
        <f t="shared" si="42"/>
        <v/>
      </c>
      <c r="AO658" s="18" t="str">
        <f t="shared" si="43"/>
        <v/>
      </c>
      <c r="AP658" s="19"/>
      <c r="AQ658" s="20" t="str">
        <f t="shared" si="44"/>
        <v/>
      </c>
      <c r="AR658" s="21"/>
    </row>
    <row r="659" spans="2:44" ht="31.5" x14ac:dyDescent="0.5">
      <c r="B659" s="1"/>
      <c r="C659" s="15"/>
      <c r="D659" s="16"/>
      <c r="E659" s="15"/>
      <c r="F659" s="17"/>
      <c r="G659" s="8"/>
      <c r="H659" s="8"/>
      <c r="I659" s="8"/>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4" t="s">
        <v>49</v>
      </c>
      <c r="AM659" s="5" t="str">
        <f t="shared" si="41"/>
        <v/>
      </c>
      <c r="AN659" s="5" t="str">
        <f t="shared" si="42"/>
        <v/>
      </c>
      <c r="AO659" s="18" t="str">
        <f t="shared" si="43"/>
        <v/>
      </c>
      <c r="AP659" s="19"/>
      <c r="AQ659" s="20" t="str">
        <f t="shared" si="44"/>
        <v/>
      </c>
      <c r="AR659" s="21"/>
    </row>
    <row r="660" spans="2:44" ht="31.5" x14ac:dyDescent="0.5">
      <c r="B660" s="1"/>
      <c r="C660" s="15"/>
      <c r="D660" s="16"/>
      <c r="E660" s="15"/>
      <c r="F660" s="17"/>
      <c r="G660" s="8"/>
      <c r="H660" s="8"/>
      <c r="I660" s="8"/>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4" t="s">
        <v>49</v>
      </c>
      <c r="AM660" s="5" t="str">
        <f t="shared" si="41"/>
        <v/>
      </c>
      <c r="AN660" s="5" t="str">
        <f t="shared" si="42"/>
        <v/>
      </c>
      <c r="AO660" s="18" t="str">
        <f t="shared" si="43"/>
        <v/>
      </c>
      <c r="AP660" s="19"/>
      <c r="AQ660" s="20" t="str">
        <f t="shared" si="44"/>
        <v/>
      </c>
      <c r="AR660" s="21"/>
    </row>
    <row r="661" spans="2:44" ht="31.5" x14ac:dyDescent="0.5">
      <c r="B661" s="1"/>
      <c r="C661" s="15"/>
      <c r="D661" s="16"/>
      <c r="E661" s="15"/>
      <c r="F661" s="17"/>
      <c r="G661" s="8"/>
      <c r="H661" s="8"/>
      <c r="I661" s="8"/>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4" t="s">
        <v>49</v>
      </c>
      <c r="AM661" s="5" t="str">
        <f t="shared" si="41"/>
        <v/>
      </c>
      <c r="AN661" s="5" t="str">
        <f t="shared" si="42"/>
        <v/>
      </c>
      <c r="AO661" s="18" t="str">
        <f t="shared" si="43"/>
        <v/>
      </c>
      <c r="AP661" s="19"/>
      <c r="AQ661" s="20" t="str">
        <f t="shared" si="44"/>
        <v/>
      </c>
      <c r="AR661" s="21"/>
    </row>
    <row r="662" spans="2:44" ht="31.5" x14ac:dyDescent="0.5">
      <c r="B662" s="1"/>
      <c r="C662" s="15"/>
      <c r="D662" s="16"/>
      <c r="E662" s="15"/>
      <c r="F662" s="17"/>
      <c r="G662" s="8"/>
      <c r="H662" s="8"/>
      <c r="I662" s="8"/>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4" t="s">
        <v>49</v>
      </c>
      <c r="AM662" s="5" t="str">
        <f t="shared" si="41"/>
        <v/>
      </c>
      <c r="AN662" s="5" t="str">
        <f t="shared" si="42"/>
        <v/>
      </c>
      <c r="AO662" s="18" t="str">
        <f t="shared" si="43"/>
        <v/>
      </c>
      <c r="AP662" s="19"/>
      <c r="AQ662" s="20" t="str">
        <f t="shared" si="44"/>
        <v/>
      </c>
      <c r="AR662" s="21"/>
    </row>
    <row r="663" spans="2:44" ht="31.5" x14ac:dyDescent="0.5">
      <c r="B663" s="1"/>
      <c r="C663" s="15"/>
      <c r="D663" s="16"/>
      <c r="E663" s="15"/>
      <c r="F663" s="17"/>
      <c r="G663" s="8"/>
      <c r="H663" s="8"/>
      <c r="I663" s="8"/>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4" t="s">
        <v>49</v>
      </c>
      <c r="AM663" s="5" t="str">
        <f t="shared" si="41"/>
        <v/>
      </c>
      <c r="AN663" s="5" t="str">
        <f t="shared" si="42"/>
        <v/>
      </c>
      <c r="AO663" s="18" t="str">
        <f t="shared" si="43"/>
        <v/>
      </c>
      <c r="AP663" s="19"/>
      <c r="AQ663" s="20" t="str">
        <f t="shared" si="44"/>
        <v/>
      </c>
      <c r="AR663" s="21"/>
    </row>
    <row r="664" spans="2:44" ht="31.5" x14ac:dyDescent="0.5">
      <c r="B664" s="1"/>
      <c r="C664" s="15"/>
      <c r="D664" s="16"/>
      <c r="E664" s="15"/>
      <c r="F664" s="17"/>
      <c r="G664" s="8"/>
      <c r="H664" s="8"/>
      <c r="I664" s="8"/>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4" t="s">
        <v>49</v>
      </c>
      <c r="AM664" s="5" t="str">
        <f t="shared" si="41"/>
        <v/>
      </c>
      <c r="AN664" s="5" t="str">
        <f t="shared" si="42"/>
        <v/>
      </c>
      <c r="AO664" s="18" t="str">
        <f t="shared" si="43"/>
        <v/>
      </c>
      <c r="AP664" s="19"/>
      <c r="AQ664" s="20" t="str">
        <f t="shared" si="44"/>
        <v/>
      </c>
      <c r="AR664" s="21"/>
    </row>
    <row r="665" spans="2:44" ht="31.5" x14ac:dyDescent="0.5">
      <c r="B665" s="1"/>
      <c r="C665" s="15"/>
      <c r="D665" s="16"/>
      <c r="E665" s="15"/>
      <c r="F665" s="17"/>
      <c r="G665" s="8"/>
      <c r="H665" s="8"/>
      <c r="I665" s="8"/>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4" t="s">
        <v>49</v>
      </c>
      <c r="AM665" s="5" t="str">
        <f t="shared" si="41"/>
        <v/>
      </c>
      <c r="AN665" s="5" t="str">
        <f t="shared" si="42"/>
        <v/>
      </c>
      <c r="AO665" s="18" t="str">
        <f t="shared" si="43"/>
        <v/>
      </c>
      <c r="AP665" s="19"/>
      <c r="AQ665" s="20" t="str">
        <f t="shared" si="44"/>
        <v/>
      </c>
      <c r="AR665" s="21"/>
    </row>
    <row r="666" spans="2:44" ht="31.5" x14ac:dyDescent="0.5">
      <c r="B666" s="1"/>
      <c r="C666" s="15"/>
      <c r="D666" s="16"/>
      <c r="E666" s="15"/>
      <c r="F666" s="17"/>
      <c r="G666" s="8"/>
      <c r="H666" s="8"/>
      <c r="I666" s="8"/>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4" t="s">
        <v>49</v>
      </c>
      <c r="AM666" s="5" t="str">
        <f t="shared" si="41"/>
        <v/>
      </c>
      <c r="AN666" s="5" t="str">
        <f t="shared" si="42"/>
        <v/>
      </c>
      <c r="AO666" s="18" t="str">
        <f t="shared" si="43"/>
        <v/>
      </c>
      <c r="AP666" s="19"/>
      <c r="AQ666" s="20" t="str">
        <f t="shared" si="44"/>
        <v/>
      </c>
      <c r="AR666" s="21"/>
    </row>
    <row r="667" spans="2:44" ht="31.5" x14ac:dyDescent="0.5">
      <c r="B667" s="1"/>
      <c r="C667" s="15"/>
      <c r="D667" s="16"/>
      <c r="E667" s="15"/>
      <c r="F667" s="17"/>
      <c r="G667" s="8"/>
      <c r="H667" s="8"/>
      <c r="I667" s="8"/>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4" t="s">
        <v>49</v>
      </c>
      <c r="AM667" s="5" t="str">
        <f t="shared" si="41"/>
        <v/>
      </c>
      <c r="AN667" s="5" t="str">
        <f t="shared" si="42"/>
        <v/>
      </c>
      <c r="AO667" s="18" t="str">
        <f t="shared" si="43"/>
        <v/>
      </c>
      <c r="AP667" s="19"/>
      <c r="AQ667" s="20" t="str">
        <f t="shared" si="44"/>
        <v/>
      </c>
      <c r="AR667" s="21"/>
    </row>
    <row r="668" spans="2:44" ht="31.5" x14ac:dyDescent="0.5">
      <c r="B668" s="1"/>
      <c r="C668" s="15"/>
      <c r="D668" s="16"/>
      <c r="E668" s="15"/>
      <c r="F668" s="17"/>
      <c r="G668" s="8"/>
      <c r="H668" s="8"/>
      <c r="I668" s="8"/>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4" t="s">
        <v>49</v>
      </c>
      <c r="AM668" s="5" t="str">
        <f t="shared" si="41"/>
        <v/>
      </c>
      <c r="AN668" s="5" t="str">
        <f t="shared" si="42"/>
        <v/>
      </c>
      <c r="AO668" s="18" t="str">
        <f t="shared" si="43"/>
        <v/>
      </c>
      <c r="AP668" s="19"/>
      <c r="AQ668" s="20" t="str">
        <f t="shared" si="44"/>
        <v/>
      </c>
      <c r="AR668" s="21"/>
    </row>
    <row r="669" spans="2:44" ht="31.5" x14ac:dyDescent="0.5">
      <c r="B669" s="1"/>
      <c r="C669" s="15"/>
      <c r="D669" s="16"/>
      <c r="E669" s="15"/>
      <c r="F669" s="17"/>
      <c r="G669" s="8"/>
      <c r="H669" s="8"/>
      <c r="I669" s="8"/>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4" t="s">
        <v>49</v>
      </c>
      <c r="AM669" s="5" t="str">
        <f t="shared" si="41"/>
        <v/>
      </c>
      <c r="AN669" s="5" t="str">
        <f t="shared" si="42"/>
        <v/>
      </c>
      <c r="AO669" s="18" t="str">
        <f t="shared" si="43"/>
        <v/>
      </c>
      <c r="AP669" s="19"/>
      <c r="AQ669" s="20" t="str">
        <f t="shared" si="44"/>
        <v/>
      </c>
      <c r="AR669" s="21"/>
    </row>
    <row r="670" spans="2:44" ht="31.5" x14ac:dyDescent="0.5">
      <c r="B670" s="1"/>
      <c r="C670" s="15"/>
      <c r="D670" s="16"/>
      <c r="E670" s="15"/>
      <c r="F670" s="17"/>
      <c r="G670" s="8"/>
      <c r="H670" s="8"/>
      <c r="I670" s="8"/>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4" t="s">
        <v>49</v>
      </c>
      <c r="AM670" s="5" t="str">
        <f t="shared" si="41"/>
        <v/>
      </c>
      <c r="AN670" s="5" t="str">
        <f t="shared" si="42"/>
        <v/>
      </c>
      <c r="AO670" s="18" t="str">
        <f t="shared" si="43"/>
        <v/>
      </c>
      <c r="AP670" s="19"/>
      <c r="AQ670" s="20" t="str">
        <f t="shared" si="44"/>
        <v/>
      </c>
      <c r="AR670" s="21"/>
    </row>
    <row r="671" spans="2:44" ht="31.5" x14ac:dyDescent="0.5">
      <c r="B671" s="1"/>
      <c r="C671" s="15"/>
      <c r="D671" s="16"/>
      <c r="E671" s="15"/>
      <c r="F671" s="17"/>
      <c r="G671" s="8"/>
      <c r="H671" s="8"/>
      <c r="I671" s="8"/>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4" t="s">
        <v>49</v>
      </c>
      <c r="AM671" s="5" t="str">
        <f t="shared" si="41"/>
        <v/>
      </c>
      <c r="AN671" s="5" t="str">
        <f t="shared" si="42"/>
        <v/>
      </c>
      <c r="AO671" s="18" t="str">
        <f t="shared" si="43"/>
        <v/>
      </c>
      <c r="AP671" s="19"/>
      <c r="AQ671" s="20" t="str">
        <f t="shared" si="44"/>
        <v/>
      </c>
      <c r="AR671" s="21"/>
    </row>
    <row r="672" spans="2:44" ht="31.5" x14ac:dyDescent="0.5">
      <c r="B672" s="1"/>
      <c r="C672" s="15"/>
      <c r="D672" s="16"/>
      <c r="E672" s="15"/>
      <c r="F672" s="17"/>
      <c r="G672" s="8"/>
      <c r="H672" s="8"/>
      <c r="I672" s="8"/>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4" t="s">
        <v>49</v>
      </c>
      <c r="AM672" s="5" t="str">
        <f t="shared" si="41"/>
        <v/>
      </c>
      <c r="AN672" s="5" t="str">
        <f t="shared" si="42"/>
        <v/>
      </c>
      <c r="AO672" s="18" t="str">
        <f t="shared" si="43"/>
        <v/>
      </c>
      <c r="AP672" s="19"/>
      <c r="AQ672" s="20" t="str">
        <f t="shared" si="44"/>
        <v/>
      </c>
      <c r="AR672" s="21"/>
    </row>
    <row r="673" spans="2:44" ht="31.5" x14ac:dyDescent="0.5">
      <c r="B673" s="1"/>
      <c r="C673" s="15"/>
      <c r="D673" s="16"/>
      <c r="E673" s="15"/>
      <c r="F673" s="17"/>
      <c r="G673" s="8"/>
      <c r="H673" s="8"/>
      <c r="I673" s="8"/>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4" t="s">
        <v>49</v>
      </c>
      <c r="AM673" s="5" t="str">
        <f t="shared" si="41"/>
        <v/>
      </c>
      <c r="AN673" s="5" t="str">
        <f t="shared" si="42"/>
        <v/>
      </c>
      <c r="AO673" s="18" t="str">
        <f t="shared" si="43"/>
        <v/>
      </c>
      <c r="AP673" s="19"/>
      <c r="AQ673" s="20" t="str">
        <f t="shared" si="44"/>
        <v/>
      </c>
      <c r="AR673" s="21"/>
    </row>
    <row r="674" spans="2:44" ht="31.5" x14ac:dyDescent="0.5">
      <c r="B674" s="1"/>
      <c r="C674" s="15"/>
      <c r="D674" s="16"/>
      <c r="E674" s="15"/>
      <c r="F674" s="17"/>
      <c r="G674" s="8"/>
      <c r="H674" s="8"/>
      <c r="I674" s="8"/>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4" t="s">
        <v>49</v>
      </c>
      <c r="AM674" s="5" t="str">
        <f t="shared" si="41"/>
        <v/>
      </c>
      <c r="AN674" s="5" t="str">
        <f t="shared" si="42"/>
        <v/>
      </c>
      <c r="AO674" s="18" t="str">
        <f t="shared" si="43"/>
        <v/>
      </c>
      <c r="AP674" s="19"/>
      <c r="AQ674" s="20" t="str">
        <f t="shared" si="44"/>
        <v/>
      </c>
      <c r="AR674" s="21"/>
    </row>
    <row r="675" spans="2:44" ht="31.5" x14ac:dyDescent="0.5">
      <c r="B675" s="1"/>
      <c r="C675" s="15"/>
      <c r="D675" s="16"/>
      <c r="E675" s="15"/>
      <c r="F675" s="17"/>
      <c r="G675" s="8"/>
      <c r="H675" s="8"/>
      <c r="I675" s="8"/>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4" t="s">
        <v>49</v>
      </c>
      <c r="AM675" s="5" t="str">
        <f t="shared" si="41"/>
        <v/>
      </c>
      <c r="AN675" s="5" t="str">
        <f t="shared" si="42"/>
        <v/>
      </c>
      <c r="AO675" s="18" t="str">
        <f t="shared" si="43"/>
        <v/>
      </c>
      <c r="AP675" s="19"/>
      <c r="AQ675" s="20" t="str">
        <f t="shared" si="44"/>
        <v/>
      </c>
      <c r="AR675" s="21"/>
    </row>
    <row r="676" spans="2:44" ht="31.5" x14ac:dyDescent="0.5">
      <c r="B676" s="1"/>
      <c r="C676" s="15"/>
      <c r="D676" s="16"/>
      <c r="E676" s="15"/>
      <c r="F676" s="17"/>
      <c r="G676" s="8"/>
      <c r="H676" s="8"/>
      <c r="I676" s="8"/>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4" t="s">
        <v>49</v>
      </c>
      <c r="AM676" s="5" t="str">
        <f t="shared" si="41"/>
        <v/>
      </c>
      <c r="AN676" s="5" t="str">
        <f t="shared" si="42"/>
        <v/>
      </c>
      <c r="AO676" s="18" t="str">
        <f t="shared" si="43"/>
        <v/>
      </c>
      <c r="AP676" s="19"/>
      <c r="AQ676" s="20" t="str">
        <f t="shared" si="44"/>
        <v/>
      </c>
      <c r="AR676" s="21"/>
    </row>
    <row r="677" spans="2:44" ht="31.5" x14ac:dyDescent="0.5">
      <c r="B677" s="1"/>
      <c r="C677" s="15"/>
      <c r="D677" s="16"/>
      <c r="E677" s="15"/>
      <c r="F677" s="17"/>
      <c r="G677" s="8"/>
      <c r="H677" s="8"/>
      <c r="I677" s="8"/>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4" t="s">
        <v>49</v>
      </c>
      <c r="AM677" s="5" t="str">
        <f t="shared" si="41"/>
        <v/>
      </c>
      <c r="AN677" s="5" t="str">
        <f t="shared" si="42"/>
        <v/>
      </c>
      <c r="AO677" s="18" t="str">
        <f t="shared" si="43"/>
        <v/>
      </c>
      <c r="AP677" s="19"/>
      <c r="AQ677" s="20" t="str">
        <f t="shared" si="44"/>
        <v/>
      </c>
      <c r="AR677" s="21"/>
    </row>
    <row r="678" spans="2:44" ht="31.5" x14ac:dyDescent="0.5">
      <c r="B678" s="1"/>
      <c r="C678" s="15"/>
      <c r="D678" s="16"/>
      <c r="E678" s="15"/>
      <c r="F678" s="17"/>
      <c r="G678" s="8"/>
      <c r="H678" s="8"/>
      <c r="I678" s="8"/>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4" t="s">
        <v>49</v>
      </c>
      <c r="AM678" s="5" t="str">
        <f t="shared" si="41"/>
        <v/>
      </c>
      <c r="AN678" s="5" t="str">
        <f t="shared" si="42"/>
        <v/>
      </c>
      <c r="AO678" s="18" t="str">
        <f t="shared" si="43"/>
        <v/>
      </c>
      <c r="AP678" s="19"/>
      <c r="AQ678" s="20" t="str">
        <f t="shared" si="44"/>
        <v/>
      </c>
      <c r="AR678" s="21"/>
    </row>
    <row r="679" spans="2:44" ht="31.5" x14ac:dyDescent="0.5">
      <c r="B679" s="1"/>
      <c r="C679" s="15"/>
      <c r="D679" s="16"/>
      <c r="E679" s="15"/>
      <c r="F679" s="17"/>
      <c r="G679" s="8"/>
      <c r="H679" s="8"/>
      <c r="I679" s="8"/>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4" t="s">
        <v>49</v>
      </c>
      <c r="AM679" s="5" t="str">
        <f t="shared" si="41"/>
        <v/>
      </c>
      <c r="AN679" s="5" t="str">
        <f t="shared" si="42"/>
        <v/>
      </c>
      <c r="AO679" s="18" t="str">
        <f t="shared" si="43"/>
        <v/>
      </c>
      <c r="AP679" s="19"/>
      <c r="AQ679" s="20" t="str">
        <f t="shared" si="44"/>
        <v/>
      </c>
      <c r="AR679" s="21"/>
    </row>
    <row r="680" spans="2:44" ht="31.5" x14ac:dyDescent="0.5">
      <c r="B680" s="1"/>
      <c r="C680" s="15"/>
      <c r="D680" s="16"/>
      <c r="E680" s="15"/>
      <c r="F680" s="17"/>
      <c r="G680" s="8"/>
      <c r="H680" s="8"/>
      <c r="I680" s="8"/>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4" t="s">
        <v>49</v>
      </c>
      <c r="AM680" s="5" t="str">
        <f t="shared" si="41"/>
        <v/>
      </c>
      <c r="AN680" s="5" t="str">
        <f t="shared" si="42"/>
        <v/>
      </c>
      <c r="AO680" s="18" t="str">
        <f t="shared" si="43"/>
        <v/>
      </c>
      <c r="AP680" s="19"/>
      <c r="AQ680" s="20" t="str">
        <f t="shared" si="44"/>
        <v/>
      </c>
      <c r="AR680" s="21"/>
    </row>
    <row r="681" spans="2:44" ht="31.5" x14ac:dyDescent="0.5">
      <c r="B681" s="1"/>
      <c r="C681" s="15"/>
      <c r="D681" s="16"/>
      <c r="E681" s="15"/>
      <c r="F681" s="17"/>
      <c r="G681" s="8"/>
      <c r="H681" s="8"/>
      <c r="I681" s="8"/>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4" t="s">
        <v>49</v>
      </c>
      <c r="AM681" s="5" t="str">
        <f t="shared" si="41"/>
        <v/>
      </c>
      <c r="AN681" s="5" t="str">
        <f t="shared" si="42"/>
        <v/>
      </c>
      <c r="AO681" s="18" t="str">
        <f t="shared" si="43"/>
        <v/>
      </c>
      <c r="AP681" s="19"/>
      <c r="AQ681" s="20" t="str">
        <f t="shared" si="44"/>
        <v/>
      </c>
      <c r="AR681" s="21"/>
    </row>
    <row r="682" spans="2:44" ht="31.5" x14ac:dyDescent="0.5">
      <c r="B682" s="1"/>
      <c r="C682" s="15"/>
      <c r="D682" s="16"/>
      <c r="E682" s="15"/>
      <c r="F682" s="17"/>
      <c r="G682" s="8"/>
      <c r="H682" s="8"/>
      <c r="I682" s="8"/>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4" t="s">
        <v>49</v>
      </c>
      <c r="AM682" s="5" t="str">
        <f t="shared" si="41"/>
        <v/>
      </c>
      <c r="AN682" s="5" t="str">
        <f t="shared" si="42"/>
        <v/>
      </c>
      <c r="AO682" s="18" t="str">
        <f t="shared" si="43"/>
        <v/>
      </c>
      <c r="AP682" s="19"/>
      <c r="AQ682" s="20" t="str">
        <f t="shared" si="44"/>
        <v/>
      </c>
      <c r="AR682" s="21"/>
    </row>
    <row r="683" spans="2:44" ht="31.5" x14ac:dyDescent="0.5">
      <c r="B683" s="1"/>
      <c r="C683" s="15"/>
      <c r="D683" s="16"/>
      <c r="E683" s="15"/>
      <c r="F683" s="17"/>
      <c r="G683" s="8"/>
      <c r="H683" s="8"/>
      <c r="I683" s="8"/>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4" t="s">
        <v>49</v>
      </c>
      <c r="AM683" s="5" t="str">
        <f t="shared" si="41"/>
        <v/>
      </c>
      <c r="AN683" s="5" t="str">
        <f t="shared" si="42"/>
        <v/>
      </c>
      <c r="AO683" s="18" t="str">
        <f t="shared" si="43"/>
        <v/>
      </c>
      <c r="AP683" s="19"/>
      <c r="AQ683" s="20" t="str">
        <f t="shared" si="44"/>
        <v/>
      </c>
      <c r="AR683" s="21"/>
    </row>
    <row r="684" spans="2:44" ht="31.5" x14ac:dyDescent="0.5">
      <c r="B684" s="1"/>
      <c r="C684" s="15"/>
      <c r="D684" s="16"/>
      <c r="E684" s="15"/>
      <c r="F684" s="17"/>
      <c r="G684" s="8"/>
      <c r="H684" s="8"/>
      <c r="I684" s="8"/>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4" t="s">
        <v>49</v>
      </c>
      <c r="AM684" s="5" t="str">
        <f t="shared" si="41"/>
        <v/>
      </c>
      <c r="AN684" s="5" t="str">
        <f t="shared" si="42"/>
        <v/>
      </c>
      <c r="AO684" s="18" t="str">
        <f t="shared" si="43"/>
        <v/>
      </c>
      <c r="AP684" s="19"/>
      <c r="AQ684" s="20" t="str">
        <f t="shared" si="44"/>
        <v/>
      </c>
      <c r="AR684" s="21"/>
    </row>
    <row r="685" spans="2:44" ht="31.5" x14ac:dyDescent="0.5">
      <c r="B685" s="1"/>
      <c r="C685" s="15"/>
      <c r="D685" s="16"/>
      <c r="E685" s="15"/>
      <c r="F685" s="17"/>
      <c r="G685" s="8"/>
      <c r="H685" s="8"/>
      <c r="I685" s="8"/>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4" t="s">
        <v>49</v>
      </c>
      <c r="AM685" s="5" t="str">
        <f t="shared" si="41"/>
        <v/>
      </c>
      <c r="AN685" s="5" t="str">
        <f t="shared" si="42"/>
        <v/>
      </c>
      <c r="AO685" s="18" t="str">
        <f t="shared" si="43"/>
        <v/>
      </c>
      <c r="AP685" s="19"/>
      <c r="AQ685" s="20" t="str">
        <f t="shared" si="44"/>
        <v/>
      </c>
      <c r="AR685" s="21"/>
    </row>
    <row r="686" spans="2:44" ht="31.5" x14ac:dyDescent="0.5">
      <c r="B686" s="1"/>
      <c r="C686" s="15"/>
      <c r="D686" s="16"/>
      <c r="E686" s="15"/>
      <c r="F686" s="17"/>
      <c r="G686" s="8"/>
      <c r="H686" s="8"/>
      <c r="I686" s="8"/>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4" t="s">
        <v>49</v>
      </c>
      <c r="AM686" s="5" t="str">
        <f t="shared" si="41"/>
        <v/>
      </c>
      <c r="AN686" s="5" t="str">
        <f t="shared" si="42"/>
        <v/>
      </c>
      <c r="AO686" s="18" t="str">
        <f t="shared" si="43"/>
        <v/>
      </c>
      <c r="AP686" s="19"/>
      <c r="AQ686" s="20" t="str">
        <f t="shared" si="44"/>
        <v/>
      </c>
      <c r="AR686" s="21"/>
    </row>
    <row r="687" spans="2:44" ht="31.5" x14ac:dyDescent="0.5">
      <c r="B687" s="1"/>
      <c r="C687" s="15"/>
      <c r="D687" s="16"/>
      <c r="E687" s="15"/>
      <c r="F687" s="17"/>
      <c r="G687" s="8"/>
      <c r="H687" s="8"/>
      <c r="I687" s="8"/>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4" t="s">
        <v>49</v>
      </c>
      <c r="AM687" s="5" t="str">
        <f t="shared" si="41"/>
        <v/>
      </c>
      <c r="AN687" s="5" t="str">
        <f t="shared" si="42"/>
        <v/>
      </c>
      <c r="AO687" s="18" t="str">
        <f t="shared" si="43"/>
        <v/>
      </c>
      <c r="AP687" s="19"/>
      <c r="AQ687" s="20" t="str">
        <f t="shared" si="44"/>
        <v/>
      </c>
      <c r="AR687" s="21"/>
    </row>
    <row r="688" spans="2:44" ht="31.5" x14ac:dyDescent="0.5">
      <c r="B688" s="1"/>
      <c r="C688" s="15"/>
      <c r="D688" s="16"/>
      <c r="E688" s="15"/>
      <c r="F688" s="17"/>
      <c r="G688" s="8"/>
      <c r="H688" s="8"/>
      <c r="I688" s="8"/>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4" t="s">
        <v>49</v>
      </c>
      <c r="AM688" s="5" t="str">
        <f t="shared" si="41"/>
        <v/>
      </c>
      <c r="AN688" s="5" t="str">
        <f t="shared" si="42"/>
        <v/>
      </c>
      <c r="AO688" s="18" t="str">
        <f t="shared" si="43"/>
        <v/>
      </c>
      <c r="AP688" s="19"/>
      <c r="AQ688" s="20" t="str">
        <f t="shared" si="44"/>
        <v/>
      </c>
      <c r="AR688" s="21"/>
    </row>
    <row r="689" spans="2:44" ht="31.5" x14ac:dyDescent="0.5">
      <c r="B689" s="1"/>
      <c r="C689" s="15"/>
      <c r="D689" s="16"/>
      <c r="E689" s="15"/>
      <c r="F689" s="17"/>
      <c r="G689" s="8"/>
      <c r="H689" s="8"/>
      <c r="I689" s="8"/>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4" t="s">
        <v>49</v>
      </c>
      <c r="AM689" s="5" t="str">
        <f t="shared" si="41"/>
        <v/>
      </c>
      <c r="AN689" s="5" t="str">
        <f t="shared" si="42"/>
        <v/>
      </c>
      <c r="AO689" s="18" t="str">
        <f t="shared" si="43"/>
        <v/>
      </c>
      <c r="AP689" s="19"/>
      <c r="AQ689" s="20" t="str">
        <f t="shared" si="44"/>
        <v/>
      </c>
      <c r="AR689" s="21"/>
    </row>
    <row r="690" spans="2:44" ht="31.5" x14ac:dyDescent="0.5">
      <c r="B690" s="1"/>
      <c r="C690" s="15"/>
      <c r="D690" s="16"/>
      <c r="E690" s="15"/>
      <c r="F690" s="17"/>
      <c r="G690" s="8"/>
      <c r="H690" s="8"/>
      <c r="I690" s="8"/>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4" t="s">
        <v>49</v>
      </c>
      <c r="AM690" s="5" t="str">
        <f t="shared" si="41"/>
        <v/>
      </c>
      <c r="AN690" s="5" t="str">
        <f t="shared" si="42"/>
        <v/>
      </c>
      <c r="AO690" s="18" t="str">
        <f t="shared" si="43"/>
        <v/>
      </c>
      <c r="AP690" s="19"/>
      <c r="AQ690" s="20" t="str">
        <f t="shared" si="44"/>
        <v/>
      </c>
      <c r="AR690" s="21"/>
    </row>
    <row r="691" spans="2:44" ht="31.5" x14ac:dyDescent="0.5">
      <c r="B691" s="1"/>
      <c r="C691" s="15"/>
      <c r="D691" s="16"/>
      <c r="E691" s="15"/>
      <c r="F691" s="17"/>
      <c r="G691" s="8"/>
      <c r="H691" s="8"/>
      <c r="I691" s="8"/>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4" t="s">
        <v>49</v>
      </c>
      <c r="AM691" s="5" t="str">
        <f t="shared" ref="AM691:AM754" si="45">IF($B691="","",COUNTIF($G691:$AK691,"P"))</f>
        <v/>
      </c>
      <c r="AN691" s="5" t="str">
        <f t="shared" ref="AN691:AN754" si="46">IF($B691="","",COUNTIF($G691:$AK691,"AB"))</f>
        <v/>
      </c>
      <c r="AO691" s="18" t="str">
        <f t="shared" ref="AO691:AO754" si="47">IF($B691="","",SUMPRODUCT(--($G$11:$AK$11&lt;&gt;""),--($G$12:$AK$12&lt;&gt;"Sun")))</f>
        <v/>
      </c>
      <c r="AP691" s="19"/>
      <c r="AQ691" s="20" t="str">
        <f t="shared" ref="AQ691:AQ754" si="48">IF($B691="","",IF(AO691=0,"",AM691/AO691))</f>
        <v/>
      </c>
      <c r="AR691" s="21"/>
    </row>
    <row r="692" spans="2:44" ht="31.5" x14ac:dyDescent="0.5">
      <c r="B692" s="1"/>
      <c r="C692" s="15"/>
      <c r="D692" s="16"/>
      <c r="E692" s="15"/>
      <c r="F692" s="17"/>
      <c r="G692" s="8"/>
      <c r="H692" s="8"/>
      <c r="I692" s="8"/>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4" t="s">
        <v>49</v>
      </c>
      <c r="AM692" s="5" t="str">
        <f t="shared" si="45"/>
        <v/>
      </c>
      <c r="AN692" s="5" t="str">
        <f t="shared" si="46"/>
        <v/>
      </c>
      <c r="AO692" s="18" t="str">
        <f t="shared" si="47"/>
        <v/>
      </c>
      <c r="AP692" s="19"/>
      <c r="AQ692" s="20" t="str">
        <f t="shared" si="48"/>
        <v/>
      </c>
      <c r="AR692" s="21"/>
    </row>
    <row r="693" spans="2:44" ht="31.5" x14ac:dyDescent="0.5">
      <c r="B693" s="1"/>
      <c r="C693" s="15"/>
      <c r="D693" s="16"/>
      <c r="E693" s="15"/>
      <c r="F693" s="17"/>
      <c r="G693" s="8"/>
      <c r="H693" s="8"/>
      <c r="I693" s="8"/>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4" t="s">
        <v>49</v>
      </c>
      <c r="AM693" s="5" t="str">
        <f t="shared" si="45"/>
        <v/>
      </c>
      <c r="AN693" s="5" t="str">
        <f t="shared" si="46"/>
        <v/>
      </c>
      <c r="AO693" s="18" t="str">
        <f t="shared" si="47"/>
        <v/>
      </c>
      <c r="AP693" s="19"/>
      <c r="AQ693" s="20" t="str">
        <f t="shared" si="48"/>
        <v/>
      </c>
      <c r="AR693" s="21"/>
    </row>
    <row r="694" spans="2:44" ht="31.5" x14ac:dyDescent="0.5">
      <c r="B694" s="1"/>
      <c r="C694" s="15"/>
      <c r="D694" s="16"/>
      <c r="E694" s="15"/>
      <c r="F694" s="17"/>
      <c r="G694" s="8"/>
      <c r="H694" s="8"/>
      <c r="I694" s="8"/>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4" t="s">
        <v>49</v>
      </c>
      <c r="AM694" s="5" t="str">
        <f t="shared" si="45"/>
        <v/>
      </c>
      <c r="AN694" s="5" t="str">
        <f t="shared" si="46"/>
        <v/>
      </c>
      <c r="AO694" s="18" t="str">
        <f t="shared" si="47"/>
        <v/>
      </c>
      <c r="AP694" s="19"/>
      <c r="AQ694" s="20" t="str">
        <f t="shared" si="48"/>
        <v/>
      </c>
      <c r="AR694" s="21"/>
    </row>
    <row r="695" spans="2:44" ht="31.5" x14ac:dyDescent="0.5">
      <c r="B695" s="1"/>
      <c r="C695" s="15"/>
      <c r="D695" s="16"/>
      <c r="E695" s="15"/>
      <c r="F695" s="17"/>
      <c r="G695" s="8"/>
      <c r="H695" s="8"/>
      <c r="I695" s="8"/>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4" t="s">
        <v>49</v>
      </c>
      <c r="AM695" s="5" t="str">
        <f t="shared" si="45"/>
        <v/>
      </c>
      <c r="AN695" s="5" t="str">
        <f t="shared" si="46"/>
        <v/>
      </c>
      <c r="AO695" s="18" t="str">
        <f t="shared" si="47"/>
        <v/>
      </c>
      <c r="AP695" s="19"/>
      <c r="AQ695" s="20" t="str">
        <f t="shared" si="48"/>
        <v/>
      </c>
      <c r="AR695" s="21"/>
    </row>
    <row r="696" spans="2:44" ht="31.5" x14ac:dyDescent="0.5">
      <c r="B696" s="1"/>
      <c r="C696" s="15"/>
      <c r="D696" s="16"/>
      <c r="E696" s="15"/>
      <c r="F696" s="17"/>
      <c r="G696" s="8"/>
      <c r="H696" s="8"/>
      <c r="I696" s="8"/>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4" t="s">
        <v>49</v>
      </c>
      <c r="AM696" s="5" t="str">
        <f t="shared" si="45"/>
        <v/>
      </c>
      <c r="AN696" s="5" t="str">
        <f t="shared" si="46"/>
        <v/>
      </c>
      <c r="AO696" s="18" t="str">
        <f t="shared" si="47"/>
        <v/>
      </c>
      <c r="AP696" s="19"/>
      <c r="AQ696" s="20" t="str">
        <f t="shared" si="48"/>
        <v/>
      </c>
      <c r="AR696" s="21"/>
    </row>
    <row r="697" spans="2:44" ht="31.5" x14ac:dyDescent="0.5">
      <c r="B697" s="1"/>
      <c r="C697" s="15"/>
      <c r="D697" s="16"/>
      <c r="E697" s="15"/>
      <c r="F697" s="17"/>
      <c r="G697" s="8"/>
      <c r="H697" s="8"/>
      <c r="I697" s="8"/>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4" t="s">
        <v>49</v>
      </c>
      <c r="AM697" s="5" t="str">
        <f t="shared" si="45"/>
        <v/>
      </c>
      <c r="AN697" s="5" t="str">
        <f t="shared" si="46"/>
        <v/>
      </c>
      <c r="AO697" s="18" t="str">
        <f t="shared" si="47"/>
        <v/>
      </c>
      <c r="AP697" s="19"/>
      <c r="AQ697" s="20" t="str">
        <f t="shared" si="48"/>
        <v/>
      </c>
      <c r="AR697" s="21"/>
    </row>
    <row r="698" spans="2:44" ht="31.5" x14ac:dyDescent="0.5">
      <c r="B698" s="1"/>
      <c r="C698" s="15"/>
      <c r="D698" s="16"/>
      <c r="E698" s="15"/>
      <c r="F698" s="17"/>
      <c r="G698" s="8"/>
      <c r="H698" s="8"/>
      <c r="I698" s="8"/>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4" t="s">
        <v>49</v>
      </c>
      <c r="AM698" s="5" t="str">
        <f t="shared" si="45"/>
        <v/>
      </c>
      <c r="AN698" s="5" t="str">
        <f t="shared" si="46"/>
        <v/>
      </c>
      <c r="AO698" s="18" t="str">
        <f t="shared" si="47"/>
        <v/>
      </c>
      <c r="AP698" s="19"/>
      <c r="AQ698" s="20" t="str">
        <f t="shared" si="48"/>
        <v/>
      </c>
      <c r="AR698" s="21"/>
    </row>
    <row r="699" spans="2:44" ht="31.5" x14ac:dyDescent="0.5">
      <c r="B699" s="1"/>
      <c r="C699" s="15"/>
      <c r="D699" s="16"/>
      <c r="E699" s="15"/>
      <c r="F699" s="17"/>
      <c r="G699" s="8"/>
      <c r="H699" s="8"/>
      <c r="I699" s="8"/>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4" t="s">
        <v>49</v>
      </c>
      <c r="AM699" s="5" t="str">
        <f t="shared" si="45"/>
        <v/>
      </c>
      <c r="AN699" s="5" t="str">
        <f t="shared" si="46"/>
        <v/>
      </c>
      <c r="AO699" s="18" t="str">
        <f t="shared" si="47"/>
        <v/>
      </c>
      <c r="AP699" s="19"/>
      <c r="AQ699" s="20" t="str">
        <f t="shared" si="48"/>
        <v/>
      </c>
      <c r="AR699" s="21"/>
    </row>
    <row r="700" spans="2:44" ht="31.5" x14ac:dyDescent="0.5">
      <c r="B700" s="1"/>
      <c r="C700" s="15"/>
      <c r="D700" s="16"/>
      <c r="E700" s="15"/>
      <c r="F700" s="17"/>
      <c r="G700" s="8"/>
      <c r="H700" s="8"/>
      <c r="I700" s="8"/>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4" t="s">
        <v>49</v>
      </c>
      <c r="AM700" s="5" t="str">
        <f t="shared" si="45"/>
        <v/>
      </c>
      <c r="AN700" s="5" t="str">
        <f t="shared" si="46"/>
        <v/>
      </c>
      <c r="AO700" s="18" t="str">
        <f t="shared" si="47"/>
        <v/>
      </c>
      <c r="AP700" s="19"/>
      <c r="AQ700" s="20" t="str">
        <f t="shared" si="48"/>
        <v/>
      </c>
      <c r="AR700" s="21"/>
    </row>
    <row r="701" spans="2:44" ht="31.5" x14ac:dyDescent="0.5">
      <c r="B701" s="1"/>
      <c r="C701" s="15"/>
      <c r="D701" s="16"/>
      <c r="E701" s="15"/>
      <c r="F701" s="17"/>
      <c r="G701" s="8"/>
      <c r="H701" s="8"/>
      <c r="I701" s="8"/>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4" t="s">
        <v>49</v>
      </c>
      <c r="AM701" s="5" t="str">
        <f t="shared" si="45"/>
        <v/>
      </c>
      <c r="AN701" s="5" t="str">
        <f t="shared" si="46"/>
        <v/>
      </c>
      <c r="AO701" s="18" t="str">
        <f t="shared" si="47"/>
        <v/>
      </c>
      <c r="AP701" s="19"/>
      <c r="AQ701" s="20" t="str">
        <f t="shared" si="48"/>
        <v/>
      </c>
      <c r="AR701" s="21"/>
    </row>
    <row r="702" spans="2:44" ht="31.5" x14ac:dyDescent="0.5">
      <c r="B702" s="1"/>
      <c r="C702" s="15"/>
      <c r="D702" s="16"/>
      <c r="E702" s="15"/>
      <c r="F702" s="17"/>
      <c r="G702" s="8"/>
      <c r="H702" s="8"/>
      <c r="I702" s="8"/>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4" t="s">
        <v>49</v>
      </c>
      <c r="AM702" s="5" t="str">
        <f t="shared" si="45"/>
        <v/>
      </c>
      <c r="AN702" s="5" t="str">
        <f t="shared" si="46"/>
        <v/>
      </c>
      <c r="AO702" s="18" t="str">
        <f t="shared" si="47"/>
        <v/>
      </c>
      <c r="AP702" s="19"/>
      <c r="AQ702" s="20" t="str">
        <f t="shared" si="48"/>
        <v/>
      </c>
      <c r="AR702" s="21"/>
    </row>
    <row r="703" spans="2:44" ht="31.5" x14ac:dyDescent="0.5">
      <c r="B703" s="1"/>
      <c r="C703" s="15"/>
      <c r="D703" s="16"/>
      <c r="E703" s="15"/>
      <c r="F703" s="17"/>
      <c r="G703" s="8"/>
      <c r="H703" s="8"/>
      <c r="I703" s="8"/>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4" t="s">
        <v>49</v>
      </c>
      <c r="AM703" s="5" t="str">
        <f t="shared" si="45"/>
        <v/>
      </c>
      <c r="AN703" s="5" t="str">
        <f t="shared" si="46"/>
        <v/>
      </c>
      <c r="AO703" s="18" t="str">
        <f t="shared" si="47"/>
        <v/>
      </c>
      <c r="AP703" s="19"/>
      <c r="AQ703" s="20" t="str">
        <f t="shared" si="48"/>
        <v/>
      </c>
      <c r="AR703" s="21"/>
    </row>
    <row r="704" spans="2:44" ht="31.5" x14ac:dyDescent="0.5">
      <c r="B704" s="1"/>
      <c r="C704" s="15"/>
      <c r="D704" s="16"/>
      <c r="E704" s="15"/>
      <c r="F704" s="17"/>
      <c r="G704" s="8"/>
      <c r="H704" s="8"/>
      <c r="I704" s="8"/>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4" t="s">
        <v>49</v>
      </c>
      <c r="AM704" s="5" t="str">
        <f t="shared" si="45"/>
        <v/>
      </c>
      <c r="AN704" s="5" t="str">
        <f t="shared" si="46"/>
        <v/>
      </c>
      <c r="AO704" s="18" t="str">
        <f t="shared" si="47"/>
        <v/>
      </c>
      <c r="AP704" s="19"/>
      <c r="AQ704" s="20" t="str">
        <f t="shared" si="48"/>
        <v/>
      </c>
      <c r="AR704" s="21"/>
    </row>
    <row r="705" spans="2:44" ht="31.5" x14ac:dyDescent="0.5">
      <c r="B705" s="1"/>
      <c r="C705" s="15"/>
      <c r="D705" s="16"/>
      <c r="E705" s="15"/>
      <c r="F705" s="17"/>
      <c r="G705" s="8"/>
      <c r="H705" s="8"/>
      <c r="I705" s="8"/>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4" t="s">
        <v>49</v>
      </c>
      <c r="AM705" s="5" t="str">
        <f t="shared" si="45"/>
        <v/>
      </c>
      <c r="AN705" s="5" t="str">
        <f t="shared" si="46"/>
        <v/>
      </c>
      <c r="AO705" s="18" t="str">
        <f t="shared" si="47"/>
        <v/>
      </c>
      <c r="AP705" s="19"/>
      <c r="AQ705" s="20" t="str">
        <f t="shared" si="48"/>
        <v/>
      </c>
      <c r="AR705" s="21"/>
    </row>
    <row r="706" spans="2:44" ht="31.5" x14ac:dyDescent="0.5">
      <c r="B706" s="1"/>
      <c r="C706" s="15"/>
      <c r="D706" s="16"/>
      <c r="E706" s="15"/>
      <c r="F706" s="17"/>
      <c r="G706" s="8"/>
      <c r="H706" s="8"/>
      <c r="I706" s="8"/>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4" t="s">
        <v>49</v>
      </c>
      <c r="AM706" s="5" t="str">
        <f t="shared" si="45"/>
        <v/>
      </c>
      <c r="AN706" s="5" t="str">
        <f t="shared" si="46"/>
        <v/>
      </c>
      <c r="AO706" s="18" t="str">
        <f t="shared" si="47"/>
        <v/>
      </c>
      <c r="AP706" s="19"/>
      <c r="AQ706" s="20" t="str">
        <f t="shared" si="48"/>
        <v/>
      </c>
      <c r="AR706" s="21"/>
    </row>
    <row r="707" spans="2:44" ht="31.5" x14ac:dyDescent="0.5">
      <c r="B707" s="1"/>
      <c r="C707" s="15"/>
      <c r="D707" s="16"/>
      <c r="E707" s="15"/>
      <c r="F707" s="17"/>
      <c r="G707" s="8"/>
      <c r="H707" s="8"/>
      <c r="I707" s="8"/>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4" t="s">
        <v>49</v>
      </c>
      <c r="AM707" s="5" t="str">
        <f t="shared" si="45"/>
        <v/>
      </c>
      <c r="AN707" s="5" t="str">
        <f t="shared" si="46"/>
        <v/>
      </c>
      <c r="AO707" s="18" t="str">
        <f t="shared" si="47"/>
        <v/>
      </c>
      <c r="AP707" s="19"/>
      <c r="AQ707" s="20" t="str">
        <f t="shared" si="48"/>
        <v/>
      </c>
      <c r="AR707" s="21"/>
    </row>
    <row r="708" spans="2:44" ht="31.5" x14ac:dyDescent="0.5">
      <c r="B708" s="1"/>
      <c r="C708" s="15"/>
      <c r="D708" s="16"/>
      <c r="E708" s="15"/>
      <c r="F708" s="17"/>
      <c r="G708" s="8"/>
      <c r="H708" s="8"/>
      <c r="I708" s="8"/>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4" t="s">
        <v>49</v>
      </c>
      <c r="AM708" s="5" t="str">
        <f t="shared" si="45"/>
        <v/>
      </c>
      <c r="AN708" s="5" t="str">
        <f t="shared" si="46"/>
        <v/>
      </c>
      <c r="AO708" s="18" t="str">
        <f t="shared" si="47"/>
        <v/>
      </c>
      <c r="AP708" s="19"/>
      <c r="AQ708" s="20" t="str">
        <f t="shared" si="48"/>
        <v/>
      </c>
      <c r="AR708" s="21"/>
    </row>
    <row r="709" spans="2:44" ht="31.5" x14ac:dyDescent="0.5">
      <c r="B709" s="1"/>
      <c r="C709" s="15"/>
      <c r="D709" s="16"/>
      <c r="E709" s="15"/>
      <c r="F709" s="17"/>
      <c r="G709" s="8"/>
      <c r="H709" s="8"/>
      <c r="I709" s="8"/>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4" t="s">
        <v>49</v>
      </c>
      <c r="AM709" s="5" t="str">
        <f t="shared" si="45"/>
        <v/>
      </c>
      <c r="AN709" s="5" t="str">
        <f t="shared" si="46"/>
        <v/>
      </c>
      <c r="AO709" s="18" t="str">
        <f t="shared" si="47"/>
        <v/>
      </c>
      <c r="AP709" s="19"/>
      <c r="AQ709" s="20" t="str">
        <f t="shared" si="48"/>
        <v/>
      </c>
      <c r="AR709" s="21"/>
    </row>
    <row r="710" spans="2:44" ht="31.5" x14ac:dyDescent="0.5">
      <c r="B710" s="1"/>
      <c r="C710" s="15"/>
      <c r="D710" s="16"/>
      <c r="E710" s="15"/>
      <c r="F710" s="17"/>
      <c r="G710" s="8"/>
      <c r="H710" s="8"/>
      <c r="I710" s="8"/>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4" t="s">
        <v>49</v>
      </c>
      <c r="AM710" s="5" t="str">
        <f t="shared" si="45"/>
        <v/>
      </c>
      <c r="AN710" s="5" t="str">
        <f t="shared" si="46"/>
        <v/>
      </c>
      <c r="AO710" s="18" t="str">
        <f t="shared" si="47"/>
        <v/>
      </c>
      <c r="AP710" s="19"/>
      <c r="AQ710" s="20" t="str">
        <f t="shared" si="48"/>
        <v/>
      </c>
      <c r="AR710" s="21"/>
    </row>
    <row r="711" spans="2:44" ht="31.5" x14ac:dyDescent="0.5">
      <c r="B711" s="1"/>
      <c r="C711" s="15"/>
      <c r="D711" s="16"/>
      <c r="E711" s="15"/>
      <c r="F711" s="17"/>
      <c r="G711" s="8"/>
      <c r="H711" s="8"/>
      <c r="I711" s="8"/>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4" t="s">
        <v>49</v>
      </c>
      <c r="AM711" s="5" t="str">
        <f t="shared" si="45"/>
        <v/>
      </c>
      <c r="AN711" s="5" t="str">
        <f t="shared" si="46"/>
        <v/>
      </c>
      <c r="AO711" s="18" t="str">
        <f t="shared" si="47"/>
        <v/>
      </c>
      <c r="AP711" s="19"/>
      <c r="AQ711" s="20" t="str">
        <f t="shared" si="48"/>
        <v/>
      </c>
      <c r="AR711" s="21"/>
    </row>
    <row r="712" spans="2:44" ht="31.5" x14ac:dyDescent="0.5">
      <c r="B712" s="1"/>
      <c r="C712" s="15"/>
      <c r="D712" s="16"/>
      <c r="E712" s="15"/>
      <c r="F712" s="17"/>
      <c r="G712" s="8"/>
      <c r="H712" s="8"/>
      <c r="I712" s="8"/>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4" t="s">
        <v>49</v>
      </c>
      <c r="AM712" s="5" t="str">
        <f t="shared" si="45"/>
        <v/>
      </c>
      <c r="AN712" s="5" t="str">
        <f t="shared" si="46"/>
        <v/>
      </c>
      <c r="AO712" s="18" t="str">
        <f t="shared" si="47"/>
        <v/>
      </c>
      <c r="AP712" s="19"/>
      <c r="AQ712" s="20" t="str">
        <f t="shared" si="48"/>
        <v/>
      </c>
      <c r="AR712" s="21"/>
    </row>
    <row r="713" spans="2:44" ht="31.5" x14ac:dyDescent="0.5">
      <c r="B713" s="1"/>
      <c r="C713" s="15"/>
      <c r="D713" s="16"/>
      <c r="E713" s="15"/>
      <c r="F713" s="17"/>
      <c r="G713" s="8"/>
      <c r="H713" s="8"/>
      <c r="I713" s="8"/>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4" t="s">
        <v>49</v>
      </c>
      <c r="AM713" s="5" t="str">
        <f t="shared" si="45"/>
        <v/>
      </c>
      <c r="AN713" s="5" t="str">
        <f t="shared" si="46"/>
        <v/>
      </c>
      <c r="AO713" s="18" t="str">
        <f t="shared" si="47"/>
        <v/>
      </c>
      <c r="AP713" s="19"/>
      <c r="AQ713" s="20" t="str">
        <f t="shared" si="48"/>
        <v/>
      </c>
      <c r="AR713" s="21"/>
    </row>
    <row r="714" spans="2:44" ht="31.5" x14ac:dyDescent="0.5">
      <c r="B714" s="1"/>
      <c r="C714" s="15"/>
      <c r="D714" s="16"/>
      <c r="E714" s="15"/>
      <c r="F714" s="17"/>
      <c r="G714" s="8"/>
      <c r="H714" s="8"/>
      <c r="I714" s="8"/>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4" t="s">
        <v>49</v>
      </c>
      <c r="AM714" s="5" t="str">
        <f t="shared" si="45"/>
        <v/>
      </c>
      <c r="AN714" s="5" t="str">
        <f t="shared" si="46"/>
        <v/>
      </c>
      <c r="AO714" s="18" t="str">
        <f t="shared" si="47"/>
        <v/>
      </c>
      <c r="AP714" s="19"/>
      <c r="AQ714" s="20" t="str">
        <f t="shared" si="48"/>
        <v/>
      </c>
      <c r="AR714" s="21"/>
    </row>
    <row r="715" spans="2:44" ht="31.5" x14ac:dyDescent="0.5">
      <c r="B715" s="1"/>
      <c r="C715" s="15"/>
      <c r="D715" s="16"/>
      <c r="E715" s="15"/>
      <c r="F715" s="17"/>
      <c r="G715" s="8"/>
      <c r="H715" s="8"/>
      <c r="I715" s="8"/>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4" t="s">
        <v>49</v>
      </c>
      <c r="AM715" s="5" t="str">
        <f t="shared" si="45"/>
        <v/>
      </c>
      <c r="AN715" s="5" t="str">
        <f t="shared" si="46"/>
        <v/>
      </c>
      <c r="AO715" s="18" t="str">
        <f t="shared" si="47"/>
        <v/>
      </c>
      <c r="AP715" s="19"/>
      <c r="AQ715" s="20" t="str">
        <f t="shared" si="48"/>
        <v/>
      </c>
      <c r="AR715" s="21"/>
    </row>
    <row r="716" spans="2:44" ht="31.5" x14ac:dyDescent="0.5">
      <c r="B716" s="1"/>
      <c r="C716" s="15"/>
      <c r="D716" s="16"/>
      <c r="E716" s="15"/>
      <c r="F716" s="17"/>
      <c r="G716" s="8"/>
      <c r="H716" s="8"/>
      <c r="I716" s="8"/>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4" t="s">
        <v>49</v>
      </c>
      <c r="AM716" s="5" t="str">
        <f t="shared" si="45"/>
        <v/>
      </c>
      <c r="AN716" s="5" t="str">
        <f t="shared" si="46"/>
        <v/>
      </c>
      <c r="AO716" s="18" t="str">
        <f t="shared" si="47"/>
        <v/>
      </c>
      <c r="AP716" s="19"/>
      <c r="AQ716" s="20" t="str">
        <f t="shared" si="48"/>
        <v/>
      </c>
      <c r="AR716" s="21"/>
    </row>
    <row r="717" spans="2:44" ht="31.5" x14ac:dyDescent="0.5">
      <c r="B717" s="1"/>
      <c r="C717" s="15"/>
      <c r="D717" s="16"/>
      <c r="E717" s="15"/>
      <c r="F717" s="17"/>
      <c r="G717" s="8"/>
      <c r="H717" s="8"/>
      <c r="I717" s="8"/>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4" t="s">
        <v>49</v>
      </c>
      <c r="AM717" s="5" t="str">
        <f t="shared" si="45"/>
        <v/>
      </c>
      <c r="AN717" s="5" t="str">
        <f t="shared" si="46"/>
        <v/>
      </c>
      <c r="AO717" s="18" t="str">
        <f t="shared" si="47"/>
        <v/>
      </c>
      <c r="AP717" s="19"/>
      <c r="AQ717" s="20" t="str">
        <f t="shared" si="48"/>
        <v/>
      </c>
      <c r="AR717" s="21"/>
    </row>
    <row r="718" spans="2:44" ht="31.5" x14ac:dyDescent="0.5">
      <c r="B718" s="1"/>
      <c r="C718" s="15"/>
      <c r="D718" s="16"/>
      <c r="E718" s="15"/>
      <c r="F718" s="17"/>
      <c r="G718" s="8"/>
      <c r="H718" s="8"/>
      <c r="I718" s="8"/>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4" t="s">
        <v>49</v>
      </c>
      <c r="AM718" s="5" t="str">
        <f t="shared" si="45"/>
        <v/>
      </c>
      <c r="AN718" s="5" t="str">
        <f t="shared" si="46"/>
        <v/>
      </c>
      <c r="AO718" s="18" t="str">
        <f t="shared" si="47"/>
        <v/>
      </c>
      <c r="AP718" s="19"/>
      <c r="AQ718" s="20" t="str">
        <f t="shared" si="48"/>
        <v/>
      </c>
      <c r="AR718" s="21"/>
    </row>
    <row r="719" spans="2:44" ht="31.5" x14ac:dyDescent="0.5">
      <c r="B719" s="1"/>
      <c r="C719" s="15"/>
      <c r="D719" s="16"/>
      <c r="E719" s="15"/>
      <c r="F719" s="17"/>
      <c r="G719" s="8"/>
      <c r="H719" s="8"/>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4" t="s">
        <v>49</v>
      </c>
      <c r="AM719" s="5" t="str">
        <f t="shared" si="45"/>
        <v/>
      </c>
      <c r="AN719" s="5" t="str">
        <f t="shared" si="46"/>
        <v/>
      </c>
      <c r="AO719" s="18" t="str">
        <f t="shared" si="47"/>
        <v/>
      </c>
      <c r="AP719" s="19"/>
      <c r="AQ719" s="20" t="str">
        <f t="shared" si="48"/>
        <v/>
      </c>
      <c r="AR719" s="21"/>
    </row>
    <row r="720" spans="2:44" ht="31.5" x14ac:dyDescent="0.5">
      <c r="B720" s="1"/>
      <c r="C720" s="15"/>
      <c r="D720" s="16"/>
      <c r="E720" s="15"/>
      <c r="F720" s="17"/>
      <c r="G720" s="8"/>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4" t="s">
        <v>49</v>
      </c>
      <c r="AM720" s="5" t="str">
        <f t="shared" si="45"/>
        <v/>
      </c>
      <c r="AN720" s="5" t="str">
        <f t="shared" si="46"/>
        <v/>
      </c>
      <c r="AO720" s="18" t="str">
        <f t="shared" si="47"/>
        <v/>
      </c>
      <c r="AP720" s="19"/>
      <c r="AQ720" s="20" t="str">
        <f t="shared" si="48"/>
        <v/>
      </c>
      <c r="AR720" s="21"/>
    </row>
    <row r="721" spans="2:44" ht="31.5" x14ac:dyDescent="0.5">
      <c r="B721" s="1"/>
      <c r="C721" s="15"/>
      <c r="D721" s="16"/>
      <c r="E721" s="15"/>
      <c r="F721" s="17"/>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4" t="s">
        <v>49</v>
      </c>
      <c r="AM721" s="5" t="str">
        <f t="shared" si="45"/>
        <v/>
      </c>
      <c r="AN721" s="5" t="str">
        <f t="shared" si="46"/>
        <v/>
      </c>
      <c r="AO721" s="18" t="str">
        <f t="shared" si="47"/>
        <v/>
      </c>
      <c r="AP721" s="19"/>
      <c r="AQ721" s="20" t="str">
        <f t="shared" si="48"/>
        <v/>
      </c>
      <c r="AR721" s="21"/>
    </row>
    <row r="722" spans="2:44" ht="31.5" x14ac:dyDescent="0.5">
      <c r="B722" s="1"/>
      <c r="C722" s="15"/>
      <c r="D722" s="16"/>
      <c r="E722" s="15"/>
      <c r="F722" s="17"/>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4" t="s">
        <v>49</v>
      </c>
      <c r="AM722" s="5" t="str">
        <f t="shared" si="45"/>
        <v/>
      </c>
      <c r="AN722" s="5" t="str">
        <f t="shared" si="46"/>
        <v/>
      </c>
      <c r="AO722" s="18" t="str">
        <f t="shared" si="47"/>
        <v/>
      </c>
      <c r="AP722" s="19"/>
      <c r="AQ722" s="20" t="str">
        <f t="shared" si="48"/>
        <v/>
      </c>
      <c r="AR722" s="21"/>
    </row>
    <row r="723" spans="2:44" ht="31.5" x14ac:dyDescent="0.5">
      <c r="B723" s="1"/>
      <c r="C723" s="15"/>
      <c r="D723" s="16"/>
      <c r="E723" s="15"/>
      <c r="F723" s="17"/>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4" t="s">
        <v>49</v>
      </c>
      <c r="AM723" s="5" t="str">
        <f t="shared" si="45"/>
        <v/>
      </c>
      <c r="AN723" s="5" t="str">
        <f t="shared" si="46"/>
        <v/>
      </c>
      <c r="AO723" s="18" t="str">
        <f t="shared" si="47"/>
        <v/>
      </c>
      <c r="AP723" s="19"/>
      <c r="AQ723" s="20" t="str">
        <f t="shared" si="48"/>
        <v/>
      </c>
      <c r="AR723" s="21"/>
    </row>
    <row r="724" spans="2:44" ht="31.5" x14ac:dyDescent="0.5">
      <c r="B724" s="1"/>
      <c r="C724" s="15"/>
      <c r="D724" s="16"/>
      <c r="E724" s="15"/>
      <c r="F724" s="17"/>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4" t="s">
        <v>49</v>
      </c>
      <c r="AM724" s="5" t="str">
        <f t="shared" si="45"/>
        <v/>
      </c>
      <c r="AN724" s="5" t="str">
        <f t="shared" si="46"/>
        <v/>
      </c>
      <c r="AO724" s="18" t="str">
        <f t="shared" si="47"/>
        <v/>
      </c>
      <c r="AP724" s="19"/>
      <c r="AQ724" s="20" t="str">
        <f t="shared" si="48"/>
        <v/>
      </c>
      <c r="AR724" s="21"/>
    </row>
    <row r="725" spans="2:44" ht="31.5" x14ac:dyDescent="0.5">
      <c r="B725" s="1"/>
      <c r="C725" s="15"/>
      <c r="D725" s="16"/>
      <c r="E725" s="15"/>
      <c r="F725" s="17"/>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4" t="s">
        <v>49</v>
      </c>
      <c r="AM725" s="5" t="str">
        <f t="shared" si="45"/>
        <v/>
      </c>
      <c r="AN725" s="5" t="str">
        <f t="shared" si="46"/>
        <v/>
      </c>
      <c r="AO725" s="18" t="str">
        <f t="shared" si="47"/>
        <v/>
      </c>
      <c r="AP725" s="19"/>
      <c r="AQ725" s="20" t="str">
        <f t="shared" si="48"/>
        <v/>
      </c>
      <c r="AR725" s="21"/>
    </row>
    <row r="726" spans="2:44" ht="31.5" x14ac:dyDescent="0.5">
      <c r="B726" s="1"/>
      <c r="C726" s="15"/>
      <c r="D726" s="16"/>
      <c r="E726" s="15"/>
      <c r="F726" s="17"/>
      <c r="G726" s="8"/>
      <c r="H726" s="8"/>
      <c r="I726" s="8"/>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4" t="s">
        <v>49</v>
      </c>
      <c r="AM726" s="5" t="str">
        <f t="shared" si="45"/>
        <v/>
      </c>
      <c r="AN726" s="5" t="str">
        <f t="shared" si="46"/>
        <v/>
      </c>
      <c r="AO726" s="18" t="str">
        <f t="shared" si="47"/>
        <v/>
      </c>
      <c r="AP726" s="19"/>
      <c r="AQ726" s="20" t="str">
        <f t="shared" si="48"/>
        <v/>
      </c>
      <c r="AR726" s="21"/>
    </row>
    <row r="727" spans="2:44" ht="31.5" x14ac:dyDescent="0.5">
      <c r="B727" s="1"/>
      <c r="C727" s="15"/>
      <c r="D727" s="16"/>
      <c r="E727" s="15"/>
      <c r="F727" s="17"/>
      <c r="G727" s="8"/>
      <c r="H727" s="8"/>
      <c r="I727" s="8"/>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4" t="s">
        <v>49</v>
      </c>
      <c r="AM727" s="5" t="str">
        <f t="shared" si="45"/>
        <v/>
      </c>
      <c r="AN727" s="5" t="str">
        <f t="shared" si="46"/>
        <v/>
      </c>
      <c r="AO727" s="18" t="str">
        <f t="shared" si="47"/>
        <v/>
      </c>
      <c r="AP727" s="19"/>
      <c r="AQ727" s="20" t="str">
        <f t="shared" si="48"/>
        <v/>
      </c>
      <c r="AR727" s="21"/>
    </row>
    <row r="728" spans="2:44" ht="31.5" x14ac:dyDescent="0.5">
      <c r="B728" s="1"/>
      <c r="C728" s="15"/>
      <c r="D728" s="16"/>
      <c r="E728" s="15"/>
      <c r="F728" s="17"/>
      <c r="G728" s="8"/>
      <c r="H728" s="8"/>
      <c r="I728" s="8"/>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4" t="s">
        <v>49</v>
      </c>
      <c r="AM728" s="5" t="str">
        <f t="shared" si="45"/>
        <v/>
      </c>
      <c r="AN728" s="5" t="str">
        <f t="shared" si="46"/>
        <v/>
      </c>
      <c r="AO728" s="18" t="str">
        <f t="shared" si="47"/>
        <v/>
      </c>
      <c r="AP728" s="19"/>
      <c r="AQ728" s="20" t="str">
        <f t="shared" si="48"/>
        <v/>
      </c>
      <c r="AR728" s="21"/>
    </row>
    <row r="729" spans="2:44" ht="31.5" x14ac:dyDescent="0.5">
      <c r="B729" s="1"/>
      <c r="C729" s="15"/>
      <c r="D729" s="16"/>
      <c r="E729" s="15"/>
      <c r="F729" s="17"/>
      <c r="G729" s="8"/>
      <c r="H729" s="8"/>
      <c r="I729" s="8"/>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4" t="s">
        <v>49</v>
      </c>
      <c r="AM729" s="5" t="str">
        <f t="shared" si="45"/>
        <v/>
      </c>
      <c r="AN729" s="5" t="str">
        <f t="shared" si="46"/>
        <v/>
      </c>
      <c r="AO729" s="18" t="str">
        <f t="shared" si="47"/>
        <v/>
      </c>
      <c r="AP729" s="19"/>
      <c r="AQ729" s="20" t="str">
        <f t="shared" si="48"/>
        <v/>
      </c>
      <c r="AR729" s="21"/>
    </row>
    <row r="730" spans="2:44" ht="31.5" x14ac:dyDescent="0.5">
      <c r="B730" s="1"/>
      <c r="C730" s="15"/>
      <c r="D730" s="16"/>
      <c r="E730" s="15"/>
      <c r="F730" s="17"/>
      <c r="G730" s="8"/>
      <c r="H730" s="8"/>
      <c r="I730" s="8"/>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4" t="s">
        <v>49</v>
      </c>
      <c r="AM730" s="5" t="str">
        <f t="shared" si="45"/>
        <v/>
      </c>
      <c r="AN730" s="5" t="str">
        <f t="shared" si="46"/>
        <v/>
      </c>
      <c r="AO730" s="18" t="str">
        <f t="shared" si="47"/>
        <v/>
      </c>
      <c r="AP730" s="19"/>
      <c r="AQ730" s="20" t="str">
        <f t="shared" si="48"/>
        <v/>
      </c>
      <c r="AR730" s="21"/>
    </row>
    <row r="731" spans="2:44" ht="31.5" x14ac:dyDescent="0.5">
      <c r="B731" s="1"/>
      <c r="C731" s="15"/>
      <c r="D731" s="16"/>
      <c r="E731" s="15"/>
      <c r="F731" s="17"/>
      <c r="G731" s="8"/>
      <c r="H731" s="8"/>
      <c r="I731" s="8"/>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4" t="s">
        <v>49</v>
      </c>
      <c r="AM731" s="5" t="str">
        <f t="shared" si="45"/>
        <v/>
      </c>
      <c r="AN731" s="5" t="str">
        <f t="shared" si="46"/>
        <v/>
      </c>
      <c r="AO731" s="18" t="str">
        <f t="shared" si="47"/>
        <v/>
      </c>
      <c r="AP731" s="19"/>
      <c r="AQ731" s="20" t="str">
        <f t="shared" si="48"/>
        <v/>
      </c>
      <c r="AR731" s="21"/>
    </row>
    <row r="732" spans="2:44" ht="31.5" x14ac:dyDescent="0.5">
      <c r="B732" s="1"/>
      <c r="C732" s="15"/>
      <c r="D732" s="16"/>
      <c r="E732" s="15"/>
      <c r="F732" s="17"/>
      <c r="G732" s="8"/>
      <c r="H732" s="8"/>
      <c r="I732" s="8"/>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4" t="s">
        <v>49</v>
      </c>
      <c r="AM732" s="5" t="str">
        <f t="shared" si="45"/>
        <v/>
      </c>
      <c r="AN732" s="5" t="str">
        <f t="shared" si="46"/>
        <v/>
      </c>
      <c r="AO732" s="18" t="str">
        <f t="shared" si="47"/>
        <v/>
      </c>
      <c r="AP732" s="19"/>
      <c r="AQ732" s="20" t="str">
        <f t="shared" si="48"/>
        <v/>
      </c>
      <c r="AR732" s="21"/>
    </row>
    <row r="733" spans="2:44" ht="31.5" x14ac:dyDescent="0.5">
      <c r="B733" s="1"/>
      <c r="C733" s="15"/>
      <c r="D733" s="16"/>
      <c r="E733" s="15"/>
      <c r="F733" s="17"/>
      <c r="G733" s="8"/>
      <c r="H733" s="8"/>
      <c r="I733" s="8"/>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4" t="s">
        <v>49</v>
      </c>
      <c r="AM733" s="5" t="str">
        <f t="shared" si="45"/>
        <v/>
      </c>
      <c r="AN733" s="5" t="str">
        <f t="shared" si="46"/>
        <v/>
      </c>
      <c r="AO733" s="18" t="str">
        <f t="shared" si="47"/>
        <v/>
      </c>
      <c r="AP733" s="19"/>
      <c r="AQ733" s="20" t="str">
        <f t="shared" si="48"/>
        <v/>
      </c>
      <c r="AR733" s="21"/>
    </row>
    <row r="734" spans="2:44" ht="31.5" x14ac:dyDescent="0.5">
      <c r="B734" s="1"/>
      <c r="C734" s="15"/>
      <c r="D734" s="16"/>
      <c r="E734" s="15"/>
      <c r="F734" s="17"/>
      <c r="G734" s="8"/>
      <c r="H734" s="8"/>
      <c r="I734" s="8"/>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4" t="s">
        <v>49</v>
      </c>
      <c r="AM734" s="5" t="str">
        <f t="shared" si="45"/>
        <v/>
      </c>
      <c r="AN734" s="5" t="str">
        <f t="shared" si="46"/>
        <v/>
      </c>
      <c r="AO734" s="18" t="str">
        <f t="shared" si="47"/>
        <v/>
      </c>
      <c r="AP734" s="19"/>
      <c r="AQ734" s="20" t="str">
        <f t="shared" si="48"/>
        <v/>
      </c>
      <c r="AR734" s="21"/>
    </row>
    <row r="735" spans="2:44" ht="31.5" x14ac:dyDescent="0.5">
      <c r="B735" s="1"/>
      <c r="C735" s="15"/>
      <c r="D735" s="16"/>
      <c r="E735" s="15"/>
      <c r="F735" s="17"/>
      <c r="G735" s="8"/>
      <c r="H735" s="8"/>
      <c r="I735" s="8"/>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4" t="s">
        <v>49</v>
      </c>
      <c r="AM735" s="5" t="str">
        <f t="shared" si="45"/>
        <v/>
      </c>
      <c r="AN735" s="5" t="str">
        <f t="shared" si="46"/>
        <v/>
      </c>
      <c r="AO735" s="18" t="str">
        <f t="shared" si="47"/>
        <v/>
      </c>
      <c r="AP735" s="19"/>
      <c r="AQ735" s="20" t="str">
        <f t="shared" si="48"/>
        <v/>
      </c>
      <c r="AR735" s="21"/>
    </row>
    <row r="736" spans="2:44" ht="31.5" x14ac:dyDescent="0.5">
      <c r="B736" s="1"/>
      <c r="C736" s="15"/>
      <c r="D736" s="16"/>
      <c r="E736" s="15"/>
      <c r="F736" s="17"/>
      <c r="G736" s="8"/>
      <c r="H736" s="8"/>
      <c r="I736" s="8"/>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4" t="s">
        <v>49</v>
      </c>
      <c r="AM736" s="5" t="str">
        <f t="shared" si="45"/>
        <v/>
      </c>
      <c r="AN736" s="5" t="str">
        <f t="shared" si="46"/>
        <v/>
      </c>
      <c r="AO736" s="18" t="str">
        <f t="shared" si="47"/>
        <v/>
      </c>
      <c r="AP736" s="19"/>
      <c r="AQ736" s="20" t="str">
        <f t="shared" si="48"/>
        <v/>
      </c>
      <c r="AR736" s="21"/>
    </row>
    <row r="737" spans="2:44" ht="31.5" x14ac:dyDescent="0.5">
      <c r="B737" s="1"/>
      <c r="C737" s="15"/>
      <c r="D737" s="16"/>
      <c r="E737" s="15"/>
      <c r="F737" s="17"/>
      <c r="G737" s="8"/>
      <c r="H737" s="8"/>
      <c r="I737" s="8"/>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4" t="s">
        <v>49</v>
      </c>
      <c r="AM737" s="5" t="str">
        <f t="shared" si="45"/>
        <v/>
      </c>
      <c r="AN737" s="5" t="str">
        <f t="shared" si="46"/>
        <v/>
      </c>
      <c r="AO737" s="18" t="str">
        <f t="shared" si="47"/>
        <v/>
      </c>
      <c r="AP737" s="19"/>
      <c r="AQ737" s="20" t="str">
        <f t="shared" si="48"/>
        <v/>
      </c>
      <c r="AR737" s="21"/>
    </row>
    <row r="738" spans="2:44" ht="31.5" x14ac:dyDescent="0.5">
      <c r="B738" s="1"/>
      <c r="C738" s="15"/>
      <c r="D738" s="16"/>
      <c r="E738" s="15"/>
      <c r="F738" s="17"/>
      <c r="G738" s="8"/>
      <c r="H738" s="8"/>
      <c r="I738" s="8"/>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4" t="s">
        <v>49</v>
      </c>
      <c r="AM738" s="5" t="str">
        <f t="shared" si="45"/>
        <v/>
      </c>
      <c r="AN738" s="5" t="str">
        <f t="shared" si="46"/>
        <v/>
      </c>
      <c r="AO738" s="18" t="str">
        <f t="shared" si="47"/>
        <v/>
      </c>
      <c r="AP738" s="19"/>
      <c r="AQ738" s="20" t="str">
        <f t="shared" si="48"/>
        <v/>
      </c>
      <c r="AR738" s="21"/>
    </row>
    <row r="739" spans="2:44" ht="31.5" x14ac:dyDescent="0.5">
      <c r="B739" s="1"/>
      <c r="C739" s="15"/>
      <c r="D739" s="16"/>
      <c r="E739" s="15"/>
      <c r="F739" s="17"/>
      <c r="G739" s="8"/>
      <c r="H739" s="8"/>
      <c r="I739" s="8"/>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4" t="s">
        <v>49</v>
      </c>
      <c r="AM739" s="5" t="str">
        <f t="shared" si="45"/>
        <v/>
      </c>
      <c r="AN739" s="5" t="str">
        <f t="shared" si="46"/>
        <v/>
      </c>
      <c r="AO739" s="18" t="str">
        <f t="shared" si="47"/>
        <v/>
      </c>
      <c r="AP739" s="19"/>
      <c r="AQ739" s="20" t="str">
        <f t="shared" si="48"/>
        <v/>
      </c>
      <c r="AR739" s="21"/>
    </row>
    <row r="740" spans="2:44" ht="31.5" x14ac:dyDescent="0.5">
      <c r="B740" s="1"/>
      <c r="C740" s="15"/>
      <c r="D740" s="16"/>
      <c r="E740" s="15"/>
      <c r="F740" s="17"/>
      <c r="G740" s="8"/>
      <c r="H740" s="8"/>
      <c r="I740" s="8"/>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4" t="s">
        <v>49</v>
      </c>
      <c r="AM740" s="5" t="str">
        <f t="shared" si="45"/>
        <v/>
      </c>
      <c r="AN740" s="5" t="str">
        <f t="shared" si="46"/>
        <v/>
      </c>
      <c r="AO740" s="18" t="str">
        <f t="shared" si="47"/>
        <v/>
      </c>
      <c r="AP740" s="19"/>
      <c r="AQ740" s="20" t="str">
        <f t="shared" si="48"/>
        <v/>
      </c>
      <c r="AR740" s="21"/>
    </row>
    <row r="741" spans="2:44" ht="31.5" x14ac:dyDescent="0.5">
      <c r="B741" s="1"/>
      <c r="C741" s="15"/>
      <c r="D741" s="16"/>
      <c r="E741" s="15"/>
      <c r="F741" s="17"/>
      <c r="G741" s="8"/>
      <c r="H741" s="8"/>
      <c r="I741" s="8"/>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4" t="s">
        <v>49</v>
      </c>
      <c r="AM741" s="5" t="str">
        <f t="shared" si="45"/>
        <v/>
      </c>
      <c r="AN741" s="5" t="str">
        <f t="shared" si="46"/>
        <v/>
      </c>
      <c r="AO741" s="18" t="str">
        <f t="shared" si="47"/>
        <v/>
      </c>
      <c r="AP741" s="19"/>
      <c r="AQ741" s="20" t="str">
        <f t="shared" si="48"/>
        <v/>
      </c>
      <c r="AR741" s="21"/>
    </row>
    <row r="742" spans="2:44" ht="31.5" x14ac:dyDescent="0.5">
      <c r="B742" s="1"/>
      <c r="C742" s="15"/>
      <c r="D742" s="16"/>
      <c r="E742" s="15"/>
      <c r="F742" s="17"/>
      <c r="G742" s="8"/>
      <c r="H742" s="8"/>
      <c r="I742" s="8"/>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4" t="s">
        <v>49</v>
      </c>
      <c r="AM742" s="5" t="str">
        <f t="shared" si="45"/>
        <v/>
      </c>
      <c r="AN742" s="5" t="str">
        <f t="shared" si="46"/>
        <v/>
      </c>
      <c r="AO742" s="18" t="str">
        <f t="shared" si="47"/>
        <v/>
      </c>
      <c r="AP742" s="19"/>
      <c r="AQ742" s="20" t="str">
        <f t="shared" si="48"/>
        <v/>
      </c>
      <c r="AR742" s="21"/>
    </row>
    <row r="743" spans="2:44" ht="31.5" x14ac:dyDescent="0.5">
      <c r="B743" s="1"/>
      <c r="C743" s="15"/>
      <c r="D743" s="16"/>
      <c r="E743" s="15"/>
      <c r="F743" s="17"/>
      <c r="G743" s="8"/>
      <c r="H743" s="8"/>
      <c r="I743" s="8"/>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4" t="s">
        <v>49</v>
      </c>
      <c r="AM743" s="5" t="str">
        <f t="shared" si="45"/>
        <v/>
      </c>
      <c r="AN743" s="5" t="str">
        <f t="shared" si="46"/>
        <v/>
      </c>
      <c r="AO743" s="18" t="str">
        <f t="shared" si="47"/>
        <v/>
      </c>
      <c r="AP743" s="19"/>
      <c r="AQ743" s="20" t="str">
        <f t="shared" si="48"/>
        <v/>
      </c>
      <c r="AR743" s="21"/>
    </row>
    <row r="744" spans="2:44" ht="31.5" x14ac:dyDescent="0.5">
      <c r="B744" s="1"/>
      <c r="C744" s="15"/>
      <c r="D744" s="16"/>
      <c r="E744" s="15"/>
      <c r="F744" s="17"/>
      <c r="G744" s="8"/>
      <c r="H744" s="8"/>
      <c r="I744" s="8"/>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4" t="s">
        <v>49</v>
      </c>
      <c r="AM744" s="5" t="str">
        <f t="shared" si="45"/>
        <v/>
      </c>
      <c r="AN744" s="5" t="str">
        <f t="shared" si="46"/>
        <v/>
      </c>
      <c r="AO744" s="18" t="str">
        <f t="shared" si="47"/>
        <v/>
      </c>
      <c r="AP744" s="19"/>
      <c r="AQ744" s="20" t="str">
        <f t="shared" si="48"/>
        <v/>
      </c>
      <c r="AR744" s="21"/>
    </row>
    <row r="745" spans="2:44" ht="31.5" x14ac:dyDescent="0.5">
      <c r="B745" s="1"/>
      <c r="C745" s="15"/>
      <c r="D745" s="16"/>
      <c r="E745" s="15"/>
      <c r="F745" s="17"/>
      <c r="G745" s="8"/>
      <c r="H745" s="8"/>
      <c r="I745" s="8"/>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4" t="s">
        <v>49</v>
      </c>
      <c r="AM745" s="5" t="str">
        <f t="shared" si="45"/>
        <v/>
      </c>
      <c r="AN745" s="5" t="str">
        <f t="shared" si="46"/>
        <v/>
      </c>
      <c r="AO745" s="18" t="str">
        <f t="shared" si="47"/>
        <v/>
      </c>
      <c r="AP745" s="19"/>
      <c r="AQ745" s="20" t="str">
        <f t="shared" si="48"/>
        <v/>
      </c>
      <c r="AR745" s="21"/>
    </row>
    <row r="746" spans="2:44" ht="31.5" x14ac:dyDescent="0.5">
      <c r="B746" s="1"/>
      <c r="C746" s="15"/>
      <c r="D746" s="16"/>
      <c r="E746" s="15"/>
      <c r="F746" s="17"/>
      <c r="G746" s="8"/>
      <c r="H746" s="8"/>
      <c r="I746" s="8"/>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4" t="s">
        <v>49</v>
      </c>
      <c r="AM746" s="5" t="str">
        <f t="shared" si="45"/>
        <v/>
      </c>
      <c r="AN746" s="5" t="str">
        <f t="shared" si="46"/>
        <v/>
      </c>
      <c r="AO746" s="18" t="str">
        <f t="shared" si="47"/>
        <v/>
      </c>
      <c r="AP746" s="19"/>
      <c r="AQ746" s="20" t="str">
        <f t="shared" si="48"/>
        <v/>
      </c>
      <c r="AR746" s="21"/>
    </row>
    <row r="747" spans="2:44" ht="31.5" x14ac:dyDescent="0.5">
      <c r="B747" s="1"/>
      <c r="C747" s="15"/>
      <c r="D747" s="16"/>
      <c r="E747" s="15"/>
      <c r="F747" s="17"/>
      <c r="G747" s="8"/>
      <c r="H747" s="8"/>
      <c r="I747" s="8"/>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4" t="s">
        <v>49</v>
      </c>
      <c r="AM747" s="5" t="str">
        <f t="shared" si="45"/>
        <v/>
      </c>
      <c r="AN747" s="5" t="str">
        <f t="shared" si="46"/>
        <v/>
      </c>
      <c r="AO747" s="18" t="str">
        <f t="shared" si="47"/>
        <v/>
      </c>
      <c r="AP747" s="19"/>
      <c r="AQ747" s="20" t="str">
        <f t="shared" si="48"/>
        <v/>
      </c>
      <c r="AR747" s="21"/>
    </row>
    <row r="748" spans="2:44" ht="31.5" x14ac:dyDescent="0.5">
      <c r="B748" s="1"/>
      <c r="C748" s="15"/>
      <c r="D748" s="16"/>
      <c r="E748" s="15"/>
      <c r="F748" s="17"/>
      <c r="G748" s="8"/>
      <c r="H748" s="8"/>
      <c r="I748" s="8"/>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4" t="s">
        <v>49</v>
      </c>
      <c r="AM748" s="5" t="str">
        <f t="shared" si="45"/>
        <v/>
      </c>
      <c r="AN748" s="5" t="str">
        <f t="shared" si="46"/>
        <v/>
      </c>
      <c r="AO748" s="18" t="str">
        <f t="shared" si="47"/>
        <v/>
      </c>
      <c r="AP748" s="19"/>
      <c r="AQ748" s="20" t="str">
        <f t="shared" si="48"/>
        <v/>
      </c>
      <c r="AR748" s="21"/>
    </row>
    <row r="749" spans="2:44" ht="31.5" x14ac:dyDescent="0.5">
      <c r="B749" s="1"/>
      <c r="C749" s="15"/>
      <c r="D749" s="16"/>
      <c r="E749" s="15"/>
      <c r="F749" s="17"/>
      <c r="G749" s="8"/>
      <c r="H749" s="8"/>
      <c r="I749" s="8"/>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4" t="s">
        <v>49</v>
      </c>
      <c r="AM749" s="5" t="str">
        <f t="shared" si="45"/>
        <v/>
      </c>
      <c r="AN749" s="5" t="str">
        <f t="shared" si="46"/>
        <v/>
      </c>
      <c r="AO749" s="18" t="str">
        <f t="shared" si="47"/>
        <v/>
      </c>
      <c r="AP749" s="19"/>
      <c r="AQ749" s="20" t="str">
        <f t="shared" si="48"/>
        <v/>
      </c>
      <c r="AR749" s="21"/>
    </row>
    <row r="750" spans="2:44" ht="31.5" x14ac:dyDescent="0.5">
      <c r="B750" s="1"/>
      <c r="C750" s="15"/>
      <c r="D750" s="16"/>
      <c r="E750" s="15"/>
      <c r="F750" s="17"/>
      <c r="G750" s="8"/>
      <c r="H750" s="8"/>
      <c r="I750" s="8"/>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4" t="s">
        <v>49</v>
      </c>
      <c r="AM750" s="5" t="str">
        <f t="shared" si="45"/>
        <v/>
      </c>
      <c r="AN750" s="5" t="str">
        <f t="shared" si="46"/>
        <v/>
      </c>
      <c r="AO750" s="18" t="str">
        <f t="shared" si="47"/>
        <v/>
      </c>
      <c r="AP750" s="19"/>
      <c r="AQ750" s="20" t="str">
        <f t="shared" si="48"/>
        <v/>
      </c>
      <c r="AR750" s="21"/>
    </row>
    <row r="751" spans="2:44" ht="31.5" x14ac:dyDescent="0.5">
      <c r="B751" s="1"/>
      <c r="C751" s="15"/>
      <c r="D751" s="16"/>
      <c r="E751" s="15"/>
      <c r="F751" s="17"/>
      <c r="G751" s="8"/>
      <c r="H751" s="8"/>
      <c r="I751" s="8"/>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4" t="s">
        <v>49</v>
      </c>
      <c r="AM751" s="5" t="str">
        <f t="shared" si="45"/>
        <v/>
      </c>
      <c r="AN751" s="5" t="str">
        <f t="shared" si="46"/>
        <v/>
      </c>
      <c r="AO751" s="18" t="str">
        <f t="shared" si="47"/>
        <v/>
      </c>
      <c r="AP751" s="19"/>
      <c r="AQ751" s="20" t="str">
        <f t="shared" si="48"/>
        <v/>
      </c>
      <c r="AR751" s="21"/>
    </row>
    <row r="752" spans="2:44" ht="31.5" x14ac:dyDescent="0.5">
      <c r="B752" s="1"/>
      <c r="C752" s="15"/>
      <c r="D752" s="16"/>
      <c r="E752" s="15"/>
      <c r="F752" s="17"/>
      <c r="G752" s="8"/>
      <c r="H752" s="8"/>
      <c r="I752" s="8"/>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4" t="s">
        <v>49</v>
      </c>
      <c r="AM752" s="5" t="str">
        <f t="shared" si="45"/>
        <v/>
      </c>
      <c r="AN752" s="5" t="str">
        <f t="shared" si="46"/>
        <v/>
      </c>
      <c r="AO752" s="18" t="str">
        <f t="shared" si="47"/>
        <v/>
      </c>
      <c r="AP752" s="19"/>
      <c r="AQ752" s="20" t="str">
        <f t="shared" si="48"/>
        <v/>
      </c>
      <c r="AR752" s="21"/>
    </row>
    <row r="753" spans="2:44" ht="31.5" x14ac:dyDescent="0.5">
      <c r="B753" s="1"/>
      <c r="C753" s="15"/>
      <c r="D753" s="16"/>
      <c r="E753" s="15"/>
      <c r="F753" s="17"/>
      <c r="G753" s="8"/>
      <c r="H753" s="8"/>
      <c r="I753" s="8"/>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4" t="s">
        <v>49</v>
      </c>
      <c r="AM753" s="5" t="str">
        <f t="shared" si="45"/>
        <v/>
      </c>
      <c r="AN753" s="5" t="str">
        <f t="shared" si="46"/>
        <v/>
      </c>
      <c r="AO753" s="18" t="str">
        <f t="shared" si="47"/>
        <v/>
      </c>
      <c r="AP753" s="19"/>
      <c r="AQ753" s="20" t="str">
        <f t="shared" si="48"/>
        <v/>
      </c>
      <c r="AR753" s="21"/>
    </row>
    <row r="754" spans="2:44" ht="31.5" x14ac:dyDescent="0.5">
      <c r="B754" s="1"/>
      <c r="C754" s="15"/>
      <c r="D754" s="16"/>
      <c r="E754" s="15"/>
      <c r="F754" s="17"/>
      <c r="G754" s="8"/>
      <c r="H754" s="8"/>
      <c r="I754" s="8"/>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4" t="s">
        <v>49</v>
      </c>
      <c r="AM754" s="5" t="str">
        <f t="shared" si="45"/>
        <v/>
      </c>
      <c r="AN754" s="5" t="str">
        <f t="shared" si="46"/>
        <v/>
      </c>
      <c r="AO754" s="18" t="str">
        <f t="shared" si="47"/>
        <v/>
      </c>
      <c r="AP754" s="19"/>
      <c r="AQ754" s="20" t="str">
        <f t="shared" si="48"/>
        <v/>
      </c>
      <c r="AR754" s="21"/>
    </row>
    <row r="755" spans="2:44" ht="31.5" x14ac:dyDescent="0.5">
      <c r="B755" s="1"/>
      <c r="C755" s="15"/>
      <c r="D755" s="16"/>
      <c r="E755" s="15"/>
      <c r="F755" s="17"/>
      <c r="G755" s="8"/>
      <c r="H755" s="8"/>
      <c r="I755" s="8"/>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4" t="s">
        <v>49</v>
      </c>
      <c r="AM755" s="5" t="str">
        <f t="shared" ref="AM755:AM818" si="49">IF($B755="","",COUNTIF($G755:$AK755,"P"))</f>
        <v/>
      </c>
      <c r="AN755" s="5" t="str">
        <f t="shared" ref="AN755:AN818" si="50">IF($B755="","",COUNTIF($G755:$AK755,"AB"))</f>
        <v/>
      </c>
      <c r="AO755" s="18" t="str">
        <f t="shared" ref="AO755:AO818" si="51">IF($B755="","",SUMPRODUCT(--($G$11:$AK$11&lt;&gt;""),--($G$12:$AK$12&lt;&gt;"Sun")))</f>
        <v/>
      </c>
      <c r="AP755" s="19"/>
      <c r="AQ755" s="20" t="str">
        <f t="shared" ref="AQ755:AQ818" si="52">IF($B755="","",IF(AO755=0,"",AM755/AO755))</f>
        <v/>
      </c>
      <c r="AR755" s="21"/>
    </row>
    <row r="756" spans="2:44" ht="31.5" x14ac:dyDescent="0.5">
      <c r="B756" s="1"/>
      <c r="C756" s="15"/>
      <c r="D756" s="16"/>
      <c r="E756" s="15"/>
      <c r="F756" s="17"/>
      <c r="G756" s="8"/>
      <c r="H756" s="8"/>
      <c r="I756" s="8"/>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4" t="s">
        <v>49</v>
      </c>
      <c r="AM756" s="5" t="str">
        <f t="shared" si="49"/>
        <v/>
      </c>
      <c r="AN756" s="5" t="str">
        <f t="shared" si="50"/>
        <v/>
      </c>
      <c r="AO756" s="18" t="str">
        <f t="shared" si="51"/>
        <v/>
      </c>
      <c r="AP756" s="19"/>
      <c r="AQ756" s="20" t="str">
        <f t="shared" si="52"/>
        <v/>
      </c>
      <c r="AR756" s="21"/>
    </row>
    <row r="757" spans="2:44" ht="31.5" x14ac:dyDescent="0.5">
      <c r="B757" s="1"/>
      <c r="C757" s="15"/>
      <c r="D757" s="16"/>
      <c r="E757" s="15"/>
      <c r="F757" s="17"/>
      <c r="G757" s="8"/>
      <c r="H757" s="8"/>
      <c r="I757" s="8"/>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4" t="s">
        <v>49</v>
      </c>
      <c r="AM757" s="5" t="str">
        <f t="shared" si="49"/>
        <v/>
      </c>
      <c r="AN757" s="5" t="str">
        <f t="shared" si="50"/>
        <v/>
      </c>
      <c r="AO757" s="18" t="str">
        <f t="shared" si="51"/>
        <v/>
      </c>
      <c r="AP757" s="19"/>
      <c r="AQ757" s="20" t="str">
        <f t="shared" si="52"/>
        <v/>
      </c>
      <c r="AR757" s="21"/>
    </row>
    <row r="758" spans="2:44" ht="31.5" x14ac:dyDescent="0.5">
      <c r="B758" s="1"/>
      <c r="C758" s="15"/>
      <c r="D758" s="16"/>
      <c r="E758" s="15"/>
      <c r="F758" s="17"/>
      <c r="G758" s="8"/>
      <c r="H758" s="8"/>
      <c r="I758" s="8"/>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4" t="s">
        <v>49</v>
      </c>
      <c r="AM758" s="5" t="str">
        <f t="shared" si="49"/>
        <v/>
      </c>
      <c r="AN758" s="5" t="str">
        <f t="shared" si="50"/>
        <v/>
      </c>
      <c r="AO758" s="18" t="str">
        <f t="shared" si="51"/>
        <v/>
      </c>
      <c r="AP758" s="19"/>
      <c r="AQ758" s="20" t="str">
        <f t="shared" si="52"/>
        <v/>
      </c>
      <c r="AR758" s="21"/>
    </row>
    <row r="759" spans="2:44" ht="31.5" x14ac:dyDescent="0.5">
      <c r="B759" s="1"/>
      <c r="C759" s="15"/>
      <c r="D759" s="16"/>
      <c r="E759" s="15"/>
      <c r="F759" s="17"/>
      <c r="G759" s="8"/>
      <c r="H759" s="8"/>
      <c r="I759" s="8"/>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4" t="s">
        <v>49</v>
      </c>
      <c r="AM759" s="5" t="str">
        <f t="shared" si="49"/>
        <v/>
      </c>
      <c r="AN759" s="5" t="str">
        <f t="shared" si="50"/>
        <v/>
      </c>
      <c r="AO759" s="18" t="str">
        <f t="shared" si="51"/>
        <v/>
      </c>
      <c r="AP759" s="19"/>
      <c r="AQ759" s="20" t="str">
        <f t="shared" si="52"/>
        <v/>
      </c>
      <c r="AR759" s="21"/>
    </row>
    <row r="760" spans="2:44" ht="31.5" x14ac:dyDescent="0.5">
      <c r="B760" s="1"/>
      <c r="C760" s="15"/>
      <c r="D760" s="16"/>
      <c r="E760" s="15"/>
      <c r="F760" s="17"/>
      <c r="G760" s="8"/>
      <c r="H760" s="8"/>
      <c r="I760" s="8"/>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4" t="s">
        <v>49</v>
      </c>
      <c r="AM760" s="5" t="str">
        <f t="shared" si="49"/>
        <v/>
      </c>
      <c r="AN760" s="5" t="str">
        <f t="shared" si="50"/>
        <v/>
      </c>
      <c r="AO760" s="18" t="str">
        <f t="shared" si="51"/>
        <v/>
      </c>
      <c r="AP760" s="19"/>
      <c r="AQ760" s="20" t="str">
        <f t="shared" si="52"/>
        <v/>
      </c>
      <c r="AR760" s="21"/>
    </row>
    <row r="761" spans="2:44" ht="31.5" x14ac:dyDescent="0.5">
      <c r="B761" s="1"/>
      <c r="C761" s="15"/>
      <c r="D761" s="16"/>
      <c r="E761" s="15"/>
      <c r="F761" s="17"/>
      <c r="G761" s="8"/>
      <c r="H761" s="8"/>
      <c r="I761" s="8"/>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4" t="s">
        <v>49</v>
      </c>
      <c r="AM761" s="5" t="str">
        <f t="shared" si="49"/>
        <v/>
      </c>
      <c r="AN761" s="5" t="str">
        <f t="shared" si="50"/>
        <v/>
      </c>
      <c r="AO761" s="18" t="str">
        <f t="shared" si="51"/>
        <v/>
      </c>
      <c r="AP761" s="19"/>
      <c r="AQ761" s="20" t="str">
        <f t="shared" si="52"/>
        <v/>
      </c>
      <c r="AR761" s="21"/>
    </row>
    <row r="762" spans="2:44" ht="31.5" x14ac:dyDescent="0.5">
      <c r="B762" s="1"/>
      <c r="C762" s="15"/>
      <c r="D762" s="16"/>
      <c r="E762" s="15"/>
      <c r="F762" s="17"/>
      <c r="G762" s="8"/>
      <c r="H762" s="8"/>
      <c r="I762" s="8"/>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4" t="s">
        <v>49</v>
      </c>
      <c r="AM762" s="5" t="str">
        <f t="shared" si="49"/>
        <v/>
      </c>
      <c r="AN762" s="5" t="str">
        <f t="shared" si="50"/>
        <v/>
      </c>
      <c r="AO762" s="18" t="str">
        <f t="shared" si="51"/>
        <v/>
      </c>
      <c r="AP762" s="19"/>
      <c r="AQ762" s="20" t="str">
        <f t="shared" si="52"/>
        <v/>
      </c>
      <c r="AR762" s="21"/>
    </row>
    <row r="763" spans="2:44" ht="31.5" x14ac:dyDescent="0.5">
      <c r="B763" s="1"/>
      <c r="C763" s="15"/>
      <c r="D763" s="16"/>
      <c r="E763" s="15"/>
      <c r="F763" s="17"/>
      <c r="G763" s="8"/>
      <c r="H763" s="8"/>
      <c r="I763" s="8"/>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4" t="s">
        <v>49</v>
      </c>
      <c r="AM763" s="5" t="str">
        <f t="shared" si="49"/>
        <v/>
      </c>
      <c r="AN763" s="5" t="str">
        <f t="shared" si="50"/>
        <v/>
      </c>
      <c r="AO763" s="18" t="str">
        <f t="shared" si="51"/>
        <v/>
      </c>
      <c r="AP763" s="19"/>
      <c r="AQ763" s="20" t="str">
        <f t="shared" si="52"/>
        <v/>
      </c>
      <c r="AR763" s="21"/>
    </row>
    <row r="764" spans="2:44" ht="31.5" x14ac:dyDescent="0.5">
      <c r="B764" s="1"/>
      <c r="C764" s="15"/>
      <c r="D764" s="16"/>
      <c r="E764" s="15"/>
      <c r="F764" s="17"/>
      <c r="G764" s="8"/>
      <c r="H764" s="8"/>
      <c r="I764" s="8"/>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4" t="s">
        <v>49</v>
      </c>
      <c r="AM764" s="5" t="str">
        <f t="shared" si="49"/>
        <v/>
      </c>
      <c r="AN764" s="5" t="str">
        <f t="shared" si="50"/>
        <v/>
      </c>
      <c r="AO764" s="18" t="str">
        <f t="shared" si="51"/>
        <v/>
      </c>
      <c r="AP764" s="19"/>
      <c r="AQ764" s="20" t="str">
        <f t="shared" si="52"/>
        <v/>
      </c>
      <c r="AR764" s="21"/>
    </row>
    <row r="765" spans="2:44" ht="31.5" x14ac:dyDescent="0.5">
      <c r="B765" s="1"/>
      <c r="C765" s="15"/>
      <c r="D765" s="16"/>
      <c r="E765" s="15"/>
      <c r="F765" s="17"/>
      <c r="G765" s="8"/>
      <c r="H765" s="8"/>
      <c r="I765" s="8"/>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4" t="s">
        <v>49</v>
      </c>
      <c r="AM765" s="5" t="str">
        <f t="shared" si="49"/>
        <v/>
      </c>
      <c r="AN765" s="5" t="str">
        <f t="shared" si="50"/>
        <v/>
      </c>
      <c r="AO765" s="18" t="str">
        <f t="shared" si="51"/>
        <v/>
      </c>
      <c r="AP765" s="19"/>
      <c r="AQ765" s="20" t="str">
        <f t="shared" si="52"/>
        <v/>
      </c>
      <c r="AR765" s="21"/>
    </row>
    <row r="766" spans="2:44" ht="31.5" x14ac:dyDescent="0.5">
      <c r="B766" s="1"/>
      <c r="C766" s="15"/>
      <c r="D766" s="16"/>
      <c r="E766" s="15"/>
      <c r="F766" s="17"/>
      <c r="G766" s="8"/>
      <c r="H766" s="8"/>
      <c r="I766" s="8"/>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4" t="s">
        <v>49</v>
      </c>
      <c r="AM766" s="5" t="str">
        <f t="shared" si="49"/>
        <v/>
      </c>
      <c r="AN766" s="5" t="str">
        <f t="shared" si="50"/>
        <v/>
      </c>
      <c r="AO766" s="18" t="str">
        <f t="shared" si="51"/>
        <v/>
      </c>
      <c r="AP766" s="19"/>
      <c r="AQ766" s="20" t="str">
        <f t="shared" si="52"/>
        <v/>
      </c>
      <c r="AR766" s="21"/>
    </row>
    <row r="767" spans="2:44" ht="31.5" x14ac:dyDescent="0.5">
      <c r="B767" s="1"/>
      <c r="C767" s="15"/>
      <c r="D767" s="16"/>
      <c r="E767" s="15"/>
      <c r="F767" s="17"/>
      <c r="G767" s="8"/>
      <c r="H767" s="8"/>
      <c r="I767" s="8"/>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4" t="s">
        <v>49</v>
      </c>
      <c r="AM767" s="5" t="str">
        <f t="shared" si="49"/>
        <v/>
      </c>
      <c r="AN767" s="5" t="str">
        <f t="shared" si="50"/>
        <v/>
      </c>
      <c r="AO767" s="18" t="str">
        <f t="shared" si="51"/>
        <v/>
      </c>
      <c r="AP767" s="19"/>
      <c r="AQ767" s="20" t="str">
        <f t="shared" si="52"/>
        <v/>
      </c>
      <c r="AR767" s="21"/>
    </row>
    <row r="768" spans="2:44" ht="31.5" x14ac:dyDescent="0.5">
      <c r="B768" s="1"/>
      <c r="C768" s="15"/>
      <c r="D768" s="16"/>
      <c r="E768" s="15"/>
      <c r="F768" s="17"/>
      <c r="G768" s="8"/>
      <c r="H768" s="8"/>
      <c r="I768" s="8"/>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4" t="s">
        <v>49</v>
      </c>
      <c r="AM768" s="5" t="str">
        <f t="shared" si="49"/>
        <v/>
      </c>
      <c r="AN768" s="5" t="str">
        <f t="shared" si="50"/>
        <v/>
      </c>
      <c r="AO768" s="18" t="str">
        <f t="shared" si="51"/>
        <v/>
      </c>
      <c r="AP768" s="19"/>
      <c r="AQ768" s="20" t="str">
        <f t="shared" si="52"/>
        <v/>
      </c>
      <c r="AR768" s="21"/>
    </row>
    <row r="769" spans="2:44" ht="31.5" x14ac:dyDescent="0.5">
      <c r="B769" s="1"/>
      <c r="C769" s="15"/>
      <c r="D769" s="16"/>
      <c r="E769" s="15"/>
      <c r="F769" s="17"/>
      <c r="G769" s="8"/>
      <c r="H769" s="8"/>
      <c r="I769" s="8"/>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4" t="s">
        <v>49</v>
      </c>
      <c r="AM769" s="5" t="str">
        <f t="shared" si="49"/>
        <v/>
      </c>
      <c r="AN769" s="5" t="str">
        <f t="shared" si="50"/>
        <v/>
      </c>
      <c r="AO769" s="18" t="str">
        <f t="shared" si="51"/>
        <v/>
      </c>
      <c r="AP769" s="19"/>
      <c r="AQ769" s="20" t="str">
        <f t="shared" si="52"/>
        <v/>
      </c>
      <c r="AR769" s="21"/>
    </row>
    <row r="770" spans="2:44" ht="31.5" x14ac:dyDescent="0.5">
      <c r="B770" s="1"/>
      <c r="C770" s="15"/>
      <c r="D770" s="16"/>
      <c r="E770" s="15"/>
      <c r="F770" s="17"/>
      <c r="G770" s="8"/>
      <c r="H770" s="8"/>
      <c r="I770" s="8"/>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4" t="s">
        <v>49</v>
      </c>
      <c r="AM770" s="5" t="str">
        <f t="shared" si="49"/>
        <v/>
      </c>
      <c r="AN770" s="5" t="str">
        <f t="shared" si="50"/>
        <v/>
      </c>
      <c r="AO770" s="18" t="str">
        <f t="shared" si="51"/>
        <v/>
      </c>
      <c r="AP770" s="19"/>
      <c r="AQ770" s="20" t="str">
        <f t="shared" si="52"/>
        <v/>
      </c>
      <c r="AR770" s="21"/>
    </row>
    <row r="771" spans="2:44" ht="31.5" x14ac:dyDescent="0.5">
      <c r="B771" s="1"/>
      <c r="C771" s="15"/>
      <c r="D771" s="16"/>
      <c r="E771" s="15"/>
      <c r="F771" s="17"/>
      <c r="G771" s="8"/>
      <c r="H771" s="8"/>
      <c r="I771" s="8"/>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4" t="s">
        <v>49</v>
      </c>
      <c r="AM771" s="5" t="str">
        <f t="shared" si="49"/>
        <v/>
      </c>
      <c r="AN771" s="5" t="str">
        <f t="shared" si="50"/>
        <v/>
      </c>
      <c r="AO771" s="18" t="str">
        <f t="shared" si="51"/>
        <v/>
      </c>
      <c r="AP771" s="19"/>
      <c r="AQ771" s="20" t="str">
        <f t="shared" si="52"/>
        <v/>
      </c>
      <c r="AR771" s="21"/>
    </row>
    <row r="772" spans="2:44" ht="31.5" x14ac:dyDescent="0.5">
      <c r="B772" s="1"/>
      <c r="C772" s="15"/>
      <c r="D772" s="16"/>
      <c r="E772" s="15"/>
      <c r="F772" s="17"/>
      <c r="G772" s="8"/>
      <c r="H772" s="8"/>
      <c r="I772" s="8"/>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4" t="s">
        <v>49</v>
      </c>
      <c r="AM772" s="5" t="str">
        <f t="shared" si="49"/>
        <v/>
      </c>
      <c r="AN772" s="5" t="str">
        <f t="shared" si="50"/>
        <v/>
      </c>
      <c r="AO772" s="18" t="str">
        <f t="shared" si="51"/>
        <v/>
      </c>
      <c r="AP772" s="19"/>
      <c r="AQ772" s="20" t="str">
        <f t="shared" si="52"/>
        <v/>
      </c>
      <c r="AR772" s="21"/>
    </row>
    <row r="773" spans="2:44" ht="31.5" x14ac:dyDescent="0.5">
      <c r="B773" s="1"/>
      <c r="C773" s="15"/>
      <c r="D773" s="16"/>
      <c r="E773" s="15"/>
      <c r="F773" s="17"/>
      <c r="G773" s="8"/>
      <c r="H773" s="8"/>
      <c r="I773" s="8"/>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4" t="s">
        <v>49</v>
      </c>
      <c r="AM773" s="5" t="str">
        <f t="shared" si="49"/>
        <v/>
      </c>
      <c r="AN773" s="5" t="str">
        <f t="shared" si="50"/>
        <v/>
      </c>
      <c r="AO773" s="18" t="str">
        <f t="shared" si="51"/>
        <v/>
      </c>
      <c r="AP773" s="19"/>
      <c r="AQ773" s="20" t="str">
        <f t="shared" si="52"/>
        <v/>
      </c>
      <c r="AR773" s="21"/>
    </row>
    <row r="774" spans="2:44" ht="31.5" x14ac:dyDescent="0.5">
      <c r="B774" s="1"/>
      <c r="C774" s="15"/>
      <c r="D774" s="16"/>
      <c r="E774" s="15"/>
      <c r="F774" s="17"/>
      <c r="G774" s="8"/>
      <c r="H774" s="8"/>
      <c r="I774" s="8"/>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4" t="s">
        <v>49</v>
      </c>
      <c r="AM774" s="5" t="str">
        <f t="shared" si="49"/>
        <v/>
      </c>
      <c r="AN774" s="5" t="str">
        <f t="shared" si="50"/>
        <v/>
      </c>
      <c r="AO774" s="18" t="str">
        <f t="shared" si="51"/>
        <v/>
      </c>
      <c r="AP774" s="19"/>
      <c r="AQ774" s="20" t="str">
        <f t="shared" si="52"/>
        <v/>
      </c>
      <c r="AR774" s="21"/>
    </row>
    <row r="775" spans="2:44" ht="31.5" x14ac:dyDescent="0.5">
      <c r="B775" s="1"/>
      <c r="C775" s="15"/>
      <c r="D775" s="16"/>
      <c r="E775" s="15"/>
      <c r="F775" s="17"/>
      <c r="G775" s="8"/>
      <c r="H775" s="8"/>
      <c r="I775" s="8"/>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4" t="s">
        <v>49</v>
      </c>
      <c r="AM775" s="5" t="str">
        <f t="shared" si="49"/>
        <v/>
      </c>
      <c r="AN775" s="5" t="str">
        <f t="shared" si="50"/>
        <v/>
      </c>
      <c r="AO775" s="18" t="str">
        <f t="shared" si="51"/>
        <v/>
      </c>
      <c r="AP775" s="19"/>
      <c r="AQ775" s="20" t="str">
        <f t="shared" si="52"/>
        <v/>
      </c>
      <c r="AR775" s="21"/>
    </row>
    <row r="776" spans="2:44" ht="31.5" x14ac:dyDescent="0.5">
      <c r="B776" s="1"/>
      <c r="C776" s="15"/>
      <c r="D776" s="16"/>
      <c r="E776" s="15"/>
      <c r="F776" s="17"/>
      <c r="G776" s="8"/>
      <c r="H776" s="8"/>
      <c r="I776" s="8"/>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4" t="s">
        <v>49</v>
      </c>
      <c r="AM776" s="5" t="str">
        <f t="shared" si="49"/>
        <v/>
      </c>
      <c r="AN776" s="5" t="str">
        <f t="shared" si="50"/>
        <v/>
      </c>
      <c r="AO776" s="18" t="str">
        <f t="shared" si="51"/>
        <v/>
      </c>
      <c r="AP776" s="19"/>
      <c r="AQ776" s="20" t="str">
        <f t="shared" si="52"/>
        <v/>
      </c>
      <c r="AR776" s="21"/>
    </row>
    <row r="777" spans="2:44" ht="31.5" x14ac:dyDescent="0.5">
      <c r="B777" s="1"/>
      <c r="C777" s="15"/>
      <c r="D777" s="16"/>
      <c r="E777" s="15"/>
      <c r="F777" s="17"/>
      <c r="G777" s="8"/>
      <c r="H777" s="8"/>
      <c r="I777" s="8"/>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4" t="s">
        <v>49</v>
      </c>
      <c r="AM777" s="5" t="str">
        <f t="shared" si="49"/>
        <v/>
      </c>
      <c r="AN777" s="5" t="str">
        <f t="shared" si="50"/>
        <v/>
      </c>
      <c r="AO777" s="18" t="str">
        <f t="shared" si="51"/>
        <v/>
      </c>
      <c r="AP777" s="19"/>
      <c r="AQ777" s="20" t="str">
        <f t="shared" si="52"/>
        <v/>
      </c>
      <c r="AR777" s="21"/>
    </row>
    <row r="778" spans="2:44" ht="31.5" x14ac:dyDescent="0.5">
      <c r="B778" s="1"/>
      <c r="C778" s="15"/>
      <c r="D778" s="16"/>
      <c r="E778" s="15"/>
      <c r="F778" s="17"/>
      <c r="G778" s="8"/>
      <c r="H778" s="8"/>
      <c r="I778" s="8"/>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4" t="s">
        <v>49</v>
      </c>
      <c r="AM778" s="5" t="str">
        <f t="shared" si="49"/>
        <v/>
      </c>
      <c r="AN778" s="5" t="str">
        <f t="shared" si="50"/>
        <v/>
      </c>
      <c r="AO778" s="18" t="str">
        <f t="shared" si="51"/>
        <v/>
      </c>
      <c r="AP778" s="19"/>
      <c r="AQ778" s="20" t="str">
        <f t="shared" si="52"/>
        <v/>
      </c>
      <c r="AR778" s="21"/>
    </row>
    <row r="779" spans="2:44" ht="31.5" x14ac:dyDescent="0.5">
      <c r="B779" s="1"/>
      <c r="C779" s="15"/>
      <c r="D779" s="16"/>
      <c r="E779" s="15"/>
      <c r="F779" s="17"/>
      <c r="G779" s="8"/>
      <c r="H779" s="8"/>
      <c r="I779" s="8"/>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4" t="s">
        <v>49</v>
      </c>
      <c r="AM779" s="5" t="str">
        <f t="shared" si="49"/>
        <v/>
      </c>
      <c r="AN779" s="5" t="str">
        <f t="shared" si="50"/>
        <v/>
      </c>
      <c r="AO779" s="18" t="str">
        <f t="shared" si="51"/>
        <v/>
      </c>
      <c r="AP779" s="19"/>
      <c r="AQ779" s="20" t="str">
        <f t="shared" si="52"/>
        <v/>
      </c>
      <c r="AR779" s="21"/>
    </row>
    <row r="780" spans="2:44" ht="31.5" x14ac:dyDescent="0.5">
      <c r="B780" s="1"/>
      <c r="C780" s="15"/>
      <c r="D780" s="16"/>
      <c r="E780" s="15"/>
      <c r="F780" s="17"/>
      <c r="G780" s="8"/>
      <c r="H780" s="8"/>
      <c r="I780" s="8"/>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4" t="s">
        <v>49</v>
      </c>
      <c r="AM780" s="5" t="str">
        <f t="shared" si="49"/>
        <v/>
      </c>
      <c r="AN780" s="5" t="str">
        <f t="shared" si="50"/>
        <v/>
      </c>
      <c r="AO780" s="18" t="str">
        <f t="shared" si="51"/>
        <v/>
      </c>
      <c r="AP780" s="19"/>
      <c r="AQ780" s="20" t="str">
        <f t="shared" si="52"/>
        <v/>
      </c>
      <c r="AR780" s="21"/>
    </row>
    <row r="781" spans="2:44" ht="31.5" x14ac:dyDescent="0.5">
      <c r="B781" s="1"/>
      <c r="C781" s="15"/>
      <c r="D781" s="16"/>
      <c r="E781" s="15"/>
      <c r="F781" s="17"/>
      <c r="G781" s="8"/>
      <c r="H781" s="8"/>
      <c r="I781" s="8"/>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4" t="s">
        <v>49</v>
      </c>
      <c r="AM781" s="5" t="str">
        <f t="shared" si="49"/>
        <v/>
      </c>
      <c r="AN781" s="5" t="str">
        <f t="shared" si="50"/>
        <v/>
      </c>
      <c r="AO781" s="18" t="str">
        <f t="shared" si="51"/>
        <v/>
      </c>
      <c r="AP781" s="19"/>
      <c r="AQ781" s="20" t="str">
        <f t="shared" si="52"/>
        <v/>
      </c>
      <c r="AR781" s="21"/>
    </row>
    <row r="782" spans="2:44" ht="31.5" x14ac:dyDescent="0.5">
      <c r="B782" s="1"/>
      <c r="C782" s="15"/>
      <c r="D782" s="16"/>
      <c r="E782" s="15"/>
      <c r="F782" s="17"/>
      <c r="G782" s="8"/>
      <c r="H782" s="8"/>
      <c r="I782" s="8"/>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4" t="s">
        <v>49</v>
      </c>
      <c r="AM782" s="5" t="str">
        <f t="shared" si="49"/>
        <v/>
      </c>
      <c r="AN782" s="5" t="str">
        <f t="shared" si="50"/>
        <v/>
      </c>
      <c r="AO782" s="18" t="str">
        <f t="shared" si="51"/>
        <v/>
      </c>
      <c r="AP782" s="19"/>
      <c r="AQ782" s="20" t="str">
        <f t="shared" si="52"/>
        <v/>
      </c>
      <c r="AR782" s="21"/>
    </row>
    <row r="783" spans="2:44" ht="31.5" x14ac:dyDescent="0.5">
      <c r="B783" s="1"/>
      <c r="C783" s="15"/>
      <c r="D783" s="16"/>
      <c r="E783" s="15"/>
      <c r="F783" s="17"/>
      <c r="G783" s="8"/>
      <c r="H783" s="8"/>
      <c r="I783" s="8"/>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4" t="s">
        <v>49</v>
      </c>
      <c r="AM783" s="5" t="str">
        <f t="shared" si="49"/>
        <v/>
      </c>
      <c r="AN783" s="5" t="str">
        <f t="shared" si="50"/>
        <v/>
      </c>
      <c r="AO783" s="18" t="str">
        <f t="shared" si="51"/>
        <v/>
      </c>
      <c r="AP783" s="19"/>
      <c r="AQ783" s="20" t="str">
        <f t="shared" si="52"/>
        <v/>
      </c>
      <c r="AR783" s="21"/>
    </row>
    <row r="784" spans="2:44" ht="31.5" x14ac:dyDescent="0.5">
      <c r="B784" s="1"/>
      <c r="C784" s="15"/>
      <c r="D784" s="16"/>
      <c r="E784" s="15"/>
      <c r="F784" s="17"/>
      <c r="G784" s="8"/>
      <c r="H784" s="8"/>
      <c r="I784" s="8"/>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4" t="s">
        <v>49</v>
      </c>
      <c r="AM784" s="5" t="str">
        <f t="shared" si="49"/>
        <v/>
      </c>
      <c r="AN784" s="5" t="str">
        <f t="shared" si="50"/>
        <v/>
      </c>
      <c r="AO784" s="18" t="str">
        <f t="shared" si="51"/>
        <v/>
      </c>
      <c r="AP784" s="19"/>
      <c r="AQ784" s="20" t="str">
        <f t="shared" si="52"/>
        <v/>
      </c>
      <c r="AR784" s="21"/>
    </row>
    <row r="785" spans="2:44" ht="31.5" x14ac:dyDescent="0.5">
      <c r="B785" s="1"/>
      <c r="C785" s="15"/>
      <c r="D785" s="16"/>
      <c r="E785" s="15"/>
      <c r="F785" s="17"/>
      <c r="G785" s="8"/>
      <c r="H785" s="8"/>
      <c r="I785" s="8"/>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4" t="s">
        <v>49</v>
      </c>
      <c r="AM785" s="5" t="str">
        <f t="shared" si="49"/>
        <v/>
      </c>
      <c r="AN785" s="5" t="str">
        <f t="shared" si="50"/>
        <v/>
      </c>
      <c r="AO785" s="18" t="str">
        <f t="shared" si="51"/>
        <v/>
      </c>
      <c r="AP785" s="19"/>
      <c r="AQ785" s="20" t="str">
        <f t="shared" si="52"/>
        <v/>
      </c>
      <c r="AR785" s="21"/>
    </row>
    <row r="786" spans="2:44" ht="31.5" x14ac:dyDescent="0.5">
      <c r="B786" s="1"/>
      <c r="C786" s="15"/>
      <c r="D786" s="16"/>
      <c r="E786" s="15"/>
      <c r="F786" s="17"/>
      <c r="G786" s="8"/>
      <c r="H786" s="8"/>
      <c r="I786" s="8"/>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4" t="s">
        <v>49</v>
      </c>
      <c r="AM786" s="5" t="str">
        <f t="shared" si="49"/>
        <v/>
      </c>
      <c r="AN786" s="5" t="str">
        <f t="shared" si="50"/>
        <v/>
      </c>
      <c r="AO786" s="18" t="str">
        <f t="shared" si="51"/>
        <v/>
      </c>
      <c r="AP786" s="19"/>
      <c r="AQ786" s="20" t="str">
        <f t="shared" si="52"/>
        <v/>
      </c>
      <c r="AR786" s="21"/>
    </row>
    <row r="787" spans="2:44" ht="31.5" x14ac:dyDescent="0.5">
      <c r="B787" s="1"/>
      <c r="C787" s="15"/>
      <c r="D787" s="16"/>
      <c r="E787" s="15"/>
      <c r="F787" s="17"/>
      <c r="G787" s="8"/>
      <c r="H787" s="8"/>
      <c r="I787" s="8"/>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4" t="s">
        <v>49</v>
      </c>
      <c r="AM787" s="5" t="str">
        <f t="shared" si="49"/>
        <v/>
      </c>
      <c r="AN787" s="5" t="str">
        <f t="shared" si="50"/>
        <v/>
      </c>
      <c r="AO787" s="18" t="str">
        <f t="shared" si="51"/>
        <v/>
      </c>
      <c r="AP787" s="19"/>
      <c r="AQ787" s="20" t="str">
        <f t="shared" si="52"/>
        <v/>
      </c>
      <c r="AR787" s="21"/>
    </row>
    <row r="788" spans="2:44" ht="31.5" x14ac:dyDescent="0.5">
      <c r="B788" s="1"/>
      <c r="C788" s="15"/>
      <c r="D788" s="16"/>
      <c r="E788" s="15"/>
      <c r="F788" s="17"/>
      <c r="G788" s="8"/>
      <c r="H788" s="8"/>
      <c r="I788" s="8"/>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4" t="s">
        <v>49</v>
      </c>
      <c r="AM788" s="5" t="str">
        <f t="shared" si="49"/>
        <v/>
      </c>
      <c r="AN788" s="5" t="str">
        <f t="shared" si="50"/>
        <v/>
      </c>
      <c r="AO788" s="18" t="str">
        <f t="shared" si="51"/>
        <v/>
      </c>
      <c r="AP788" s="19"/>
      <c r="AQ788" s="20" t="str">
        <f t="shared" si="52"/>
        <v/>
      </c>
      <c r="AR788" s="21"/>
    </row>
    <row r="789" spans="2:44" ht="31.5" x14ac:dyDescent="0.5">
      <c r="B789" s="1"/>
      <c r="C789" s="15"/>
      <c r="D789" s="16"/>
      <c r="E789" s="15"/>
      <c r="F789" s="17"/>
      <c r="G789" s="8"/>
      <c r="H789" s="8"/>
      <c r="I789" s="8"/>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4" t="s">
        <v>49</v>
      </c>
      <c r="AM789" s="5" t="str">
        <f t="shared" si="49"/>
        <v/>
      </c>
      <c r="AN789" s="5" t="str">
        <f t="shared" si="50"/>
        <v/>
      </c>
      <c r="AO789" s="18" t="str">
        <f t="shared" si="51"/>
        <v/>
      </c>
      <c r="AP789" s="19"/>
      <c r="AQ789" s="20" t="str">
        <f t="shared" si="52"/>
        <v/>
      </c>
      <c r="AR789" s="21"/>
    </row>
    <row r="790" spans="2:44" ht="31.5" x14ac:dyDescent="0.5">
      <c r="B790" s="1"/>
      <c r="C790" s="15"/>
      <c r="D790" s="16"/>
      <c r="E790" s="15"/>
      <c r="F790" s="17"/>
      <c r="G790" s="8"/>
      <c r="H790" s="8"/>
      <c r="I790" s="8"/>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4" t="s">
        <v>49</v>
      </c>
      <c r="AM790" s="5" t="str">
        <f t="shared" si="49"/>
        <v/>
      </c>
      <c r="AN790" s="5" t="str">
        <f t="shared" si="50"/>
        <v/>
      </c>
      <c r="AO790" s="18" t="str">
        <f t="shared" si="51"/>
        <v/>
      </c>
      <c r="AP790" s="19"/>
      <c r="AQ790" s="20" t="str">
        <f t="shared" si="52"/>
        <v/>
      </c>
      <c r="AR790" s="21"/>
    </row>
    <row r="791" spans="2:44" ht="31.5" x14ac:dyDescent="0.5">
      <c r="B791" s="1"/>
      <c r="C791" s="15"/>
      <c r="D791" s="16"/>
      <c r="E791" s="15"/>
      <c r="F791" s="17"/>
      <c r="G791" s="8"/>
      <c r="H791" s="8"/>
      <c r="I791" s="8"/>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4" t="s">
        <v>49</v>
      </c>
      <c r="AM791" s="5" t="str">
        <f t="shared" si="49"/>
        <v/>
      </c>
      <c r="AN791" s="5" t="str">
        <f t="shared" si="50"/>
        <v/>
      </c>
      <c r="AO791" s="18" t="str">
        <f t="shared" si="51"/>
        <v/>
      </c>
      <c r="AP791" s="19"/>
      <c r="AQ791" s="20" t="str">
        <f t="shared" si="52"/>
        <v/>
      </c>
      <c r="AR791" s="21"/>
    </row>
    <row r="792" spans="2:44" ht="31.5" x14ac:dyDescent="0.5">
      <c r="B792" s="1"/>
      <c r="C792" s="15"/>
      <c r="D792" s="16"/>
      <c r="E792" s="15"/>
      <c r="F792" s="17"/>
      <c r="G792" s="8"/>
      <c r="H792" s="8"/>
      <c r="I792" s="8"/>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4" t="s">
        <v>49</v>
      </c>
      <c r="AM792" s="5" t="str">
        <f t="shared" si="49"/>
        <v/>
      </c>
      <c r="AN792" s="5" t="str">
        <f t="shared" si="50"/>
        <v/>
      </c>
      <c r="AO792" s="18" t="str">
        <f t="shared" si="51"/>
        <v/>
      </c>
      <c r="AP792" s="19"/>
      <c r="AQ792" s="20" t="str">
        <f t="shared" si="52"/>
        <v/>
      </c>
      <c r="AR792" s="21"/>
    </row>
    <row r="793" spans="2:44" ht="31.5" x14ac:dyDescent="0.5">
      <c r="B793" s="1"/>
      <c r="C793" s="15"/>
      <c r="D793" s="16"/>
      <c r="E793" s="15"/>
      <c r="F793" s="17"/>
      <c r="G793" s="8"/>
      <c r="H793" s="8"/>
      <c r="I793" s="8"/>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4" t="s">
        <v>49</v>
      </c>
      <c r="AM793" s="5" t="str">
        <f t="shared" si="49"/>
        <v/>
      </c>
      <c r="AN793" s="5" t="str">
        <f t="shared" si="50"/>
        <v/>
      </c>
      <c r="AO793" s="18" t="str">
        <f t="shared" si="51"/>
        <v/>
      </c>
      <c r="AP793" s="19"/>
      <c r="AQ793" s="20" t="str">
        <f t="shared" si="52"/>
        <v/>
      </c>
      <c r="AR793" s="21"/>
    </row>
    <row r="794" spans="2:44" ht="31.5" x14ac:dyDescent="0.5">
      <c r="B794" s="1"/>
      <c r="C794" s="15"/>
      <c r="D794" s="16"/>
      <c r="E794" s="15"/>
      <c r="F794" s="17"/>
      <c r="G794" s="8"/>
      <c r="H794" s="8"/>
      <c r="I794" s="8"/>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4" t="s">
        <v>49</v>
      </c>
      <c r="AM794" s="5" t="str">
        <f t="shared" si="49"/>
        <v/>
      </c>
      <c r="AN794" s="5" t="str">
        <f t="shared" si="50"/>
        <v/>
      </c>
      <c r="AO794" s="18" t="str">
        <f t="shared" si="51"/>
        <v/>
      </c>
      <c r="AP794" s="19"/>
      <c r="AQ794" s="20" t="str">
        <f t="shared" si="52"/>
        <v/>
      </c>
      <c r="AR794" s="21"/>
    </row>
    <row r="795" spans="2:44" ht="31.5" x14ac:dyDescent="0.5">
      <c r="B795" s="1"/>
      <c r="C795" s="15"/>
      <c r="D795" s="16"/>
      <c r="E795" s="15"/>
      <c r="F795" s="17"/>
      <c r="G795" s="8"/>
      <c r="H795" s="8"/>
      <c r="I795" s="8"/>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4" t="s">
        <v>49</v>
      </c>
      <c r="AM795" s="5" t="str">
        <f t="shared" si="49"/>
        <v/>
      </c>
      <c r="AN795" s="5" t="str">
        <f t="shared" si="50"/>
        <v/>
      </c>
      <c r="AO795" s="18" t="str">
        <f t="shared" si="51"/>
        <v/>
      </c>
      <c r="AP795" s="19"/>
      <c r="AQ795" s="20" t="str">
        <f t="shared" si="52"/>
        <v/>
      </c>
      <c r="AR795" s="21"/>
    </row>
    <row r="796" spans="2:44" ht="31.5" x14ac:dyDescent="0.5">
      <c r="B796" s="1"/>
      <c r="C796" s="15"/>
      <c r="D796" s="16"/>
      <c r="E796" s="15"/>
      <c r="F796" s="17"/>
      <c r="G796" s="8"/>
      <c r="H796" s="8"/>
      <c r="I796" s="8"/>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4" t="s">
        <v>49</v>
      </c>
      <c r="AM796" s="5" t="str">
        <f t="shared" si="49"/>
        <v/>
      </c>
      <c r="AN796" s="5" t="str">
        <f t="shared" si="50"/>
        <v/>
      </c>
      <c r="AO796" s="18" t="str">
        <f t="shared" si="51"/>
        <v/>
      </c>
      <c r="AP796" s="19"/>
      <c r="AQ796" s="20" t="str">
        <f t="shared" si="52"/>
        <v/>
      </c>
      <c r="AR796" s="21"/>
    </row>
    <row r="797" spans="2:44" ht="31.5" x14ac:dyDescent="0.5">
      <c r="B797" s="1"/>
      <c r="C797" s="15"/>
      <c r="D797" s="16"/>
      <c r="E797" s="15"/>
      <c r="F797" s="17"/>
      <c r="G797" s="8"/>
      <c r="H797" s="8"/>
      <c r="I797" s="8"/>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4" t="s">
        <v>49</v>
      </c>
      <c r="AM797" s="5" t="str">
        <f t="shared" si="49"/>
        <v/>
      </c>
      <c r="AN797" s="5" t="str">
        <f t="shared" si="50"/>
        <v/>
      </c>
      <c r="AO797" s="18" t="str">
        <f t="shared" si="51"/>
        <v/>
      </c>
      <c r="AP797" s="19"/>
      <c r="AQ797" s="20" t="str">
        <f t="shared" si="52"/>
        <v/>
      </c>
      <c r="AR797" s="21"/>
    </row>
    <row r="798" spans="2:44" ht="31.5" x14ac:dyDescent="0.5">
      <c r="B798" s="1"/>
      <c r="C798" s="15"/>
      <c r="D798" s="16"/>
      <c r="E798" s="15"/>
      <c r="F798" s="17"/>
      <c r="G798" s="8"/>
      <c r="H798" s="8"/>
      <c r="I798" s="8"/>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4" t="s">
        <v>49</v>
      </c>
      <c r="AM798" s="5" t="str">
        <f t="shared" si="49"/>
        <v/>
      </c>
      <c r="AN798" s="5" t="str">
        <f t="shared" si="50"/>
        <v/>
      </c>
      <c r="AO798" s="18" t="str">
        <f t="shared" si="51"/>
        <v/>
      </c>
      <c r="AP798" s="19"/>
      <c r="AQ798" s="20" t="str">
        <f t="shared" si="52"/>
        <v/>
      </c>
      <c r="AR798" s="21"/>
    </row>
    <row r="799" spans="2:44" ht="31.5" x14ac:dyDescent="0.5">
      <c r="B799" s="1"/>
      <c r="C799" s="15"/>
      <c r="D799" s="16"/>
      <c r="E799" s="15"/>
      <c r="F799" s="17"/>
      <c r="G799" s="8"/>
      <c r="H799" s="8"/>
      <c r="I799" s="8"/>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4" t="s">
        <v>49</v>
      </c>
      <c r="AM799" s="5" t="str">
        <f t="shared" si="49"/>
        <v/>
      </c>
      <c r="AN799" s="5" t="str">
        <f t="shared" si="50"/>
        <v/>
      </c>
      <c r="AO799" s="18" t="str">
        <f t="shared" si="51"/>
        <v/>
      </c>
      <c r="AP799" s="19"/>
      <c r="AQ799" s="20" t="str">
        <f t="shared" si="52"/>
        <v/>
      </c>
      <c r="AR799" s="21"/>
    </row>
    <row r="800" spans="2:44" ht="31.5" x14ac:dyDescent="0.5">
      <c r="B800" s="1"/>
      <c r="C800" s="15"/>
      <c r="D800" s="16"/>
      <c r="E800" s="15"/>
      <c r="F800" s="17"/>
      <c r="G800" s="8"/>
      <c r="H800" s="8"/>
      <c r="I800" s="8"/>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4" t="s">
        <v>49</v>
      </c>
      <c r="AM800" s="5" t="str">
        <f t="shared" si="49"/>
        <v/>
      </c>
      <c r="AN800" s="5" t="str">
        <f t="shared" si="50"/>
        <v/>
      </c>
      <c r="AO800" s="18" t="str">
        <f t="shared" si="51"/>
        <v/>
      </c>
      <c r="AP800" s="19"/>
      <c r="AQ800" s="20" t="str">
        <f t="shared" si="52"/>
        <v/>
      </c>
      <c r="AR800" s="21"/>
    </row>
    <row r="801" spans="2:44" ht="31.5" x14ac:dyDescent="0.5">
      <c r="B801" s="1"/>
      <c r="C801" s="15"/>
      <c r="D801" s="16"/>
      <c r="E801" s="15"/>
      <c r="F801" s="17"/>
      <c r="G801" s="8"/>
      <c r="H801" s="8"/>
      <c r="I801" s="8"/>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4" t="s">
        <v>49</v>
      </c>
      <c r="AM801" s="5" t="str">
        <f t="shared" si="49"/>
        <v/>
      </c>
      <c r="AN801" s="5" t="str">
        <f t="shared" si="50"/>
        <v/>
      </c>
      <c r="AO801" s="18" t="str">
        <f t="shared" si="51"/>
        <v/>
      </c>
      <c r="AP801" s="19"/>
      <c r="AQ801" s="20" t="str">
        <f t="shared" si="52"/>
        <v/>
      </c>
      <c r="AR801" s="21"/>
    </row>
    <row r="802" spans="2:44" ht="31.5" x14ac:dyDescent="0.5">
      <c r="B802" s="1"/>
      <c r="C802" s="15"/>
      <c r="D802" s="16"/>
      <c r="E802" s="15"/>
      <c r="F802" s="17"/>
      <c r="G802" s="8"/>
      <c r="H802" s="8"/>
      <c r="I802" s="8"/>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4" t="s">
        <v>49</v>
      </c>
      <c r="AM802" s="5" t="str">
        <f t="shared" si="49"/>
        <v/>
      </c>
      <c r="AN802" s="5" t="str">
        <f t="shared" si="50"/>
        <v/>
      </c>
      <c r="AO802" s="18" t="str">
        <f t="shared" si="51"/>
        <v/>
      </c>
      <c r="AP802" s="19"/>
      <c r="AQ802" s="20" t="str">
        <f t="shared" si="52"/>
        <v/>
      </c>
      <c r="AR802" s="21"/>
    </row>
    <row r="803" spans="2:44" ht="31.5" x14ac:dyDescent="0.5">
      <c r="B803" s="1"/>
      <c r="C803" s="15"/>
      <c r="D803" s="16"/>
      <c r="E803" s="15"/>
      <c r="F803" s="17"/>
      <c r="G803" s="8"/>
      <c r="H803" s="8"/>
      <c r="I803" s="8"/>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4" t="s">
        <v>49</v>
      </c>
      <c r="AM803" s="5" t="str">
        <f t="shared" si="49"/>
        <v/>
      </c>
      <c r="AN803" s="5" t="str">
        <f t="shared" si="50"/>
        <v/>
      </c>
      <c r="AO803" s="18" t="str">
        <f t="shared" si="51"/>
        <v/>
      </c>
      <c r="AP803" s="19"/>
      <c r="AQ803" s="20" t="str">
        <f t="shared" si="52"/>
        <v/>
      </c>
      <c r="AR803" s="21"/>
    </row>
    <row r="804" spans="2:44" ht="31.5" x14ac:dyDescent="0.5">
      <c r="B804" s="1"/>
      <c r="C804" s="15"/>
      <c r="D804" s="16"/>
      <c r="E804" s="15"/>
      <c r="F804" s="17"/>
      <c r="G804" s="8"/>
      <c r="H804" s="8"/>
      <c r="I804" s="8"/>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4" t="s">
        <v>49</v>
      </c>
      <c r="AM804" s="5" t="str">
        <f t="shared" si="49"/>
        <v/>
      </c>
      <c r="AN804" s="5" t="str">
        <f t="shared" si="50"/>
        <v/>
      </c>
      <c r="AO804" s="18" t="str">
        <f t="shared" si="51"/>
        <v/>
      </c>
      <c r="AP804" s="19"/>
      <c r="AQ804" s="20" t="str">
        <f t="shared" si="52"/>
        <v/>
      </c>
      <c r="AR804" s="21"/>
    </row>
    <row r="805" spans="2:44" ht="31.5" x14ac:dyDescent="0.5">
      <c r="B805" s="1"/>
      <c r="C805" s="15"/>
      <c r="D805" s="16"/>
      <c r="E805" s="15"/>
      <c r="F805" s="17"/>
      <c r="G805" s="8"/>
      <c r="H805" s="8"/>
      <c r="I805" s="8"/>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4" t="s">
        <v>49</v>
      </c>
      <c r="AM805" s="5" t="str">
        <f t="shared" si="49"/>
        <v/>
      </c>
      <c r="AN805" s="5" t="str">
        <f t="shared" si="50"/>
        <v/>
      </c>
      <c r="AO805" s="18" t="str">
        <f t="shared" si="51"/>
        <v/>
      </c>
      <c r="AP805" s="19"/>
      <c r="AQ805" s="20" t="str">
        <f t="shared" si="52"/>
        <v/>
      </c>
      <c r="AR805" s="21"/>
    </row>
    <row r="806" spans="2:44" ht="31.5" x14ac:dyDescent="0.5">
      <c r="B806" s="1"/>
      <c r="C806" s="15"/>
      <c r="D806" s="16"/>
      <c r="E806" s="15"/>
      <c r="F806" s="17"/>
      <c r="G806" s="8"/>
      <c r="H806" s="8"/>
      <c r="I806" s="8"/>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4" t="s">
        <v>49</v>
      </c>
      <c r="AM806" s="5" t="str">
        <f t="shared" si="49"/>
        <v/>
      </c>
      <c r="AN806" s="5" t="str">
        <f t="shared" si="50"/>
        <v/>
      </c>
      <c r="AO806" s="18" t="str">
        <f t="shared" si="51"/>
        <v/>
      </c>
      <c r="AP806" s="19"/>
      <c r="AQ806" s="20" t="str">
        <f t="shared" si="52"/>
        <v/>
      </c>
      <c r="AR806" s="21"/>
    </row>
    <row r="807" spans="2:44" ht="31.5" x14ac:dyDescent="0.5">
      <c r="B807" s="1"/>
      <c r="C807" s="15"/>
      <c r="D807" s="16"/>
      <c r="E807" s="15"/>
      <c r="F807" s="17"/>
      <c r="G807" s="8"/>
      <c r="H807" s="8"/>
      <c r="I807" s="8"/>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4" t="s">
        <v>49</v>
      </c>
      <c r="AM807" s="5" t="str">
        <f t="shared" si="49"/>
        <v/>
      </c>
      <c r="AN807" s="5" t="str">
        <f t="shared" si="50"/>
        <v/>
      </c>
      <c r="AO807" s="18" t="str">
        <f t="shared" si="51"/>
        <v/>
      </c>
      <c r="AP807" s="19"/>
      <c r="AQ807" s="20" t="str">
        <f t="shared" si="52"/>
        <v/>
      </c>
      <c r="AR807" s="21"/>
    </row>
    <row r="808" spans="2:44" ht="31.5" x14ac:dyDescent="0.5">
      <c r="B808" s="1"/>
      <c r="C808" s="15"/>
      <c r="D808" s="16"/>
      <c r="E808" s="15"/>
      <c r="F808" s="17"/>
      <c r="G808" s="8"/>
      <c r="H808" s="8"/>
      <c r="I808" s="8"/>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4" t="s">
        <v>49</v>
      </c>
      <c r="AM808" s="5" t="str">
        <f t="shared" si="49"/>
        <v/>
      </c>
      <c r="AN808" s="5" t="str">
        <f t="shared" si="50"/>
        <v/>
      </c>
      <c r="AO808" s="18" t="str">
        <f t="shared" si="51"/>
        <v/>
      </c>
      <c r="AP808" s="19"/>
      <c r="AQ808" s="20" t="str">
        <f t="shared" si="52"/>
        <v/>
      </c>
      <c r="AR808" s="21"/>
    </row>
    <row r="809" spans="2:44" ht="31.5" x14ac:dyDescent="0.5">
      <c r="B809" s="1"/>
      <c r="C809" s="15"/>
      <c r="D809" s="16"/>
      <c r="E809" s="15"/>
      <c r="F809" s="17"/>
      <c r="G809" s="8"/>
      <c r="H809" s="8"/>
      <c r="I809" s="8"/>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4" t="s">
        <v>49</v>
      </c>
      <c r="AM809" s="5" t="str">
        <f t="shared" si="49"/>
        <v/>
      </c>
      <c r="AN809" s="5" t="str">
        <f t="shared" si="50"/>
        <v/>
      </c>
      <c r="AO809" s="18" t="str">
        <f t="shared" si="51"/>
        <v/>
      </c>
      <c r="AP809" s="19"/>
      <c r="AQ809" s="20" t="str">
        <f t="shared" si="52"/>
        <v/>
      </c>
      <c r="AR809" s="21"/>
    </row>
    <row r="810" spans="2:44" ht="31.5" x14ac:dyDescent="0.5">
      <c r="B810" s="1"/>
      <c r="C810" s="15"/>
      <c r="D810" s="16"/>
      <c r="E810" s="15"/>
      <c r="F810" s="17"/>
      <c r="G810" s="8"/>
      <c r="H810" s="8"/>
      <c r="I810" s="8"/>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4" t="s">
        <v>49</v>
      </c>
      <c r="AM810" s="5" t="str">
        <f t="shared" si="49"/>
        <v/>
      </c>
      <c r="AN810" s="5" t="str">
        <f t="shared" si="50"/>
        <v/>
      </c>
      <c r="AO810" s="18" t="str">
        <f t="shared" si="51"/>
        <v/>
      </c>
      <c r="AP810" s="19"/>
      <c r="AQ810" s="20" t="str">
        <f t="shared" si="52"/>
        <v/>
      </c>
      <c r="AR810" s="21"/>
    </row>
    <row r="811" spans="2:44" ht="31.5" x14ac:dyDescent="0.5">
      <c r="B811" s="1"/>
      <c r="C811" s="15"/>
      <c r="D811" s="16"/>
      <c r="E811" s="15"/>
      <c r="F811" s="17"/>
      <c r="G811" s="8"/>
      <c r="H811" s="8"/>
      <c r="I811" s="8"/>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4" t="s">
        <v>49</v>
      </c>
      <c r="AM811" s="5" t="str">
        <f t="shared" si="49"/>
        <v/>
      </c>
      <c r="AN811" s="5" t="str">
        <f t="shared" si="50"/>
        <v/>
      </c>
      <c r="AO811" s="18" t="str">
        <f t="shared" si="51"/>
        <v/>
      </c>
      <c r="AP811" s="19"/>
      <c r="AQ811" s="20" t="str">
        <f t="shared" si="52"/>
        <v/>
      </c>
      <c r="AR811" s="21"/>
    </row>
    <row r="812" spans="2:44" ht="31.5" x14ac:dyDescent="0.5">
      <c r="B812" s="1"/>
      <c r="C812" s="15"/>
      <c r="D812" s="16"/>
      <c r="E812" s="15"/>
      <c r="F812" s="17"/>
      <c r="G812" s="8"/>
      <c r="H812" s="8"/>
      <c r="I812" s="8"/>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4" t="s">
        <v>49</v>
      </c>
      <c r="AM812" s="5" t="str">
        <f t="shared" si="49"/>
        <v/>
      </c>
      <c r="AN812" s="5" t="str">
        <f t="shared" si="50"/>
        <v/>
      </c>
      <c r="AO812" s="18" t="str">
        <f t="shared" si="51"/>
        <v/>
      </c>
      <c r="AP812" s="19"/>
      <c r="AQ812" s="20" t="str">
        <f t="shared" si="52"/>
        <v/>
      </c>
      <c r="AR812" s="21"/>
    </row>
    <row r="813" spans="2:44" ht="31.5" x14ac:dyDescent="0.5">
      <c r="B813" s="1"/>
      <c r="C813" s="15"/>
      <c r="D813" s="16"/>
      <c r="E813" s="15"/>
      <c r="F813" s="17"/>
      <c r="G813" s="8"/>
      <c r="H813" s="8"/>
      <c r="I813" s="8"/>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4" t="s">
        <v>49</v>
      </c>
      <c r="AM813" s="5" t="str">
        <f t="shared" si="49"/>
        <v/>
      </c>
      <c r="AN813" s="5" t="str">
        <f t="shared" si="50"/>
        <v/>
      </c>
      <c r="AO813" s="18" t="str">
        <f t="shared" si="51"/>
        <v/>
      </c>
      <c r="AP813" s="19"/>
      <c r="AQ813" s="20" t="str">
        <f t="shared" si="52"/>
        <v/>
      </c>
      <c r="AR813" s="21"/>
    </row>
    <row r="814" spans="2:44" ht="31.5" x14ac:dyDescent="0.5">
      <c r="B814" s="1"/>
      <c r="C814" s="15"/>
      <c r="D814" s="16"/>
      <c r="E814" s="15"/>
      <c r="F814" s="17"/>
      <c r="G814" s="8"/>
      <c r="H814" s="8"/>
      <c r="I814" s="8"/>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4" t="s">
        <v>49</v>
      </c>
      <c r="AM814" s="5" t="str">
        <f t="shared" si="49"/>
        <v/>
      </c>
      <c r="AN814" s="5" t="str">
        <f t="shared" si="50"/>
        <v/>
      </c>
      <c r="AO814" s="18" t="str">
        <f t="shared" si="51"/>
        <v/>
      </c>
      <c r="AP814" s="19"/>
      <c r="AQ814" s="20" t="str">
        <f t="shared" si="52"/>
        <v/>
      </c>
      <c r="AR814" s="21"/>
    </row>
    <row r="815" spans="2:44" ht="31.5" x14ac:dyDescent="0.5">
      <c r="B815" s="1"/>
      <c r="C815" s="15"/>
      <c r="D815" s="16"/>
      <c r="E815" s="15"/>
      <c r="F815" s="17"/>
      <c r="G815" s="8"/>
      <c r="H815" s="8"/>
      <c r="I815" s="8"/>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4" t="s">
        <v>49</v>
      </c>
      <c r="AM815" s="5" t="str">
        <f t="shared" si="49"/>
        <v/>
      </c>
      <c r="AN815" s="5" t="str">
        <f t="shared" si="50"/>
        <v/>
      </c>
      <c r="AO815" s="18" t="str">
        <f t="shared" si="51"/>
        <v/>
      </c>
      <c r="AP815" s="19"/>
      <c r="AQ815" s="20" t="str">
        <f t="shared" si="52"/>
        <v/>
      </c>
      <c r="AR815" s="21"/>
    </row>
    <row r="816" spans="2:44" ht="31.5" x14ac:dyDescent="0.5">
      <c r="B816" s="1"/>
      <c r="C816" s="15"/>
      <c r="D816" s="16"/>
      <c r="E816" s="15"/>
      <c r="F816" s="17"/>
      <c r="G816" s="8"/>
      <c r="H816" s="8"/>
      <c r="I816" s="8"/>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4" t="s">
        <v>49</v>
      </c>
      <c r="AM816" s="5" t="str">
        <f t="shared" si="49"/>
        <v/>
      </c>
      <c r="AN816" s="5" t="str">
        <f t="shared" si="50"/>
        <v/>
      </c>
      <c r="AO816" s="18" t="str">
        <f t="shared" si="51"/>
        <v/>
      </c>
      <c r="AP816" s="19"/>
      <c r="AQ816" s="20" t="str">
        <f t="shared" si="52"/>
        <v/>
      </c>
      <c r="AR816" s="21"/>
    </row>
    <row r="817" spans="2:44" ht="31.5" x14ac:dyDescent="0.5">
      <c r="B817" s="1"/>
      <c r="C817" s="15"/>
      <c r="D817" s="16"/>
      <c r="E817" s="15"/>
      <c r="F817" s="17"/>
      <c r="G817" s="8"/>
      <c r="H817" s="8"/>
      <c r="I817" s="8"/>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4" t="s">
        <v>49</v>
      </c>
      <c r="AM817" s="5" t="str">
        <f t="shared" si="49"/>
        <v/>
      </c>
      <c r="AN817" s="5" t="str">
        <f t="shared" si="50"/>
        <v/>
      </c>
      <c r="AO817" s="18" t="str">
        <f t="shared" si="51"/>
        <v/>
      </c>
      <c r="AP817" s="19"/>
      <c r="AQ817" s="20" t="str">
        <f t="shared" si="52"/>
        <v/>
      </c>
      <c r="AR817" s="21"/>
    </row>
    <row r="818" spans="2:44" ht="31.5" x14ac:dyDescent="0.5">
      <c r="B818" s="1"/>
      <c r="C818" s="15"/>
      <c r="D818" s="16"/>
      <c r="E818" s="15"/>
      <c r="F818" s="17"/>
      <c r="G818" s="8"/>
      <c r="H818" s="8"/>
      <c r="I818" s="8"/>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4" t="s">
        <v>49</v>
      </c>
      <c r="AM818" s="5" t="str">
        <f t="shared" si="49"/>
        <v/>
      </c>
      <c r="AN818" s="5" t="str">
        <f t="shared" si="50"/>
        <v/>
      </c>
      <c r="AO818" s="18" t="str">
        <f t="shared" si="51"/>
        <v/>
      </c>
      <c r="AP818" s="19"/>
      <c r="AQ818" s="20" t="str">
        <f t="shared" si="52"/>
        <v/>
      </c>
      <c r="AR818" s="21"/>
    </row>
    <row r="819" spans="2:44" ht="31.5" x14ac:dyDescent="0.5">
      <c r="B819" s="1"/>
      <c r="C819" s="15"/>
      <c r="D819" s="16"/>
      <c r="E819" s="15"/>
      <c r="F819" s="17"/>
      <c r="G819" s="8"/>
      <c r="H819" s="8"/>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4" t="s">
        <v>49</v>
      </c>
      <c r="AM819" s="5" t="str">
        <f t="shared" ref="AM819:AM882" si="53">IF($B819="","",COUNTIF($G819:$AK819,"P"))</f>
        <v/>
      </c>
      <c r="AN819" s="5" t="str">
        <f t="shared" ref="AN819:AN882" si="54">IF($B819="","",COUNTIF($G819:$AK819,"AB"))</f>
        <v/>
      </c>
      <c r="AO819" s="18" t="str">
        <f t="shared" ref="AO819:AO882" si="55">IF($B819="","",SUMPRODUCT(--($G$11:$AK$11&lt;&gt;""),--($G$12:$AK$12&lt;&gt;"Sun")))</f>
        <v/>
      </c>
      <c r="AP819" s="19"/>
      <c r="AQ819" s="20" t="str">
        <f t="shared" ref="AQ819:AQ882" si="56">IF($B819="","",IF(AO819=0,"",AM819/AO819))</f>
        <v/>
      </c>
      <c r="AR819" s="21"/>
    </row>
    <row r="820" spans="2:44" ht="31.5" x14ac:dyDescent="0.5">
      <c r="B820" s="1"/>
      <c r="C820" s="15"/>
      <c r="D820" s="16"/>
      <c r="E820" s="15"/>
      <c r="F820" s="17"/>
      <c r="G820" s="8"/>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4" t="s">
        <v>49</v>
      </c>
      <c r="AM820" s="5" t="str">
        <f t="shared" si="53"/>
        <v/>
      </c>
      <c r="AN820" s="5" t="str">
        <f t="shared" si="54"/>
        <v/>
      </c>
      <c r="AO820" s="18" t="str">
        <f t="shared" si="55"/>
        <v/>
      </c>
      <c r="AP820" s="19"/>
      <c r="AQ820" s="20" t="str">
        <f t="shared" si="56"/>
        <v/>
      </c>
      <c r="AR820" s="21"/>
    </row>
    <row r="821" spans="2:44" ht="31.5" x14ac:dyDescent="0.5">
      <c r="B821" s="1"/>
      <c r="C821" s="15"/>
      <c r="D821" s="16"/>
      <c r="E821" s="15"/>
      <c r="F821" s="17"/>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4" t="s">
        <v>49</v>
      </c>
      <c r="AM821" s="5" t="str">
        <f t="shared" si="53"/>
        <v/>
      </c>
      <c r="AN821" s="5" t="str">
        <f t="shared" si="54"/>
        <v/>
      </c>
      <c r="AO821" s="18" t="str">
        <f t="shared" si="55"/>
        <v/>
      </c>
      <c r="AP821" s="19"/>
      <c r="AQ821" s="20" t="str">
        <f t="shared" si="56"/>
        <v/>
      </c>
      <c r="AR821" s="21"/>
    </row>
    <row r="822" spans="2:44" ht="31.5" x14ac:dyDescent="0.5">
      <c r="B822" s="1"/>
      <c r="C822" s="15"/>
      <c r="D822" s="16"/>
      <c r="E822" s="15"/>
      <c r="F822" s="17"/>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4" t="s">
        <v>49</v>
      </c>
      <c r="AM822" s="5" t="str">
        <f t="shared" si="53"/>
        <v/>
      </c>
      <c r="AN822" s="5" t="str">
        <f t="shared" si="54"/>
        <v/>
      </c>
      <c r="AO822" s="18" t="str">
        <f t="shared" si="55"/>
        <v/>
      </c>
      <c r="AP822" s="19"/>
      <c r="AQ822" s="20" t="str">
        <f t="shared" si="56"/>
        <v/>
      </c>
      <c r="AR822" s="21"/>
    </row>
    <row r="823" spans="2:44" ht="31.5" x14ac:dyDescent="0.5">
      <c r="B823" s="1"/>
      <c r="C823" s="15"/>
      <c r="D823" s="16"/>
      <c r="E823" s="15"/>
      <c r="F823" s="17"/>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4" t="s">
        <v>49</v>
      </c>
      <c r="AM823" s="5" t="str">
        <f t="shared" si="53"/>
        <v/>
      </c>
      <c r="AN823" s="5" t="str">
        <f t="shared" si="54"/>
        <v/>
      </c>
      <c r="AO823" s="18" t="str">
        <f t="shared" si="55"/>
        <v/>
      </c>
      <c r="AP823" s="19"/>
      <c r="AQ823" s="20" t="str">
        <f t="shared" si="56"/>
        <v/>
      </c>
      <c r="AR823" s="21"/>
    </row>
    <row r="824" spans="2:44" ht="31.5" x14ac:dyDescent="0.5">
      <c r="B824" s="1"/>
      <c r="C824" s="15"/>
      <c r="D824" s="16"/>
      <c r="E824" s="15"/>
      <c r="F824" s="17"/>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4" t="s">
        <v>49</v>
      </c>
      <c r="AM824" s="5" t="str">
        <f t="shared" si="53"/>
        <v/>
      </c>
      <c r="AN824" s="5" t="str">
        <f t="shared" si="54"/>
        <v/>
      </c>
      <c r="AO824" s="18" t="str">
        <f t="shared" si="55"/>
        <v/>
      </c>
      <c r="AP824" s="19"/>
      <c r="AQ824" s="20" t="str">
        <f t="shared" si="56"/>
        <v/>
      </c>
      <c r="AR824" s="21"/>
    </row>
    <row r="825" spans="2:44" ht="31.5" x14ac:dyDescent="0.5">
      <c r="B825" s="1"/>
      <c r="C825" s="15"/>
      <c r="D825" s="16"/>
      <c r="E825" s="15"/>
      <c r="F825" s="17"/>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4" t="s">
        <v>49</v>
      </c>
      <c r="AM825" s="5" t="str">
        <f t="shared" si="53"/>
        <v/>
      </c>
      <c r="AN825" s="5" t="str">
        <f t="shared" si="54"/>
        <v/>
      </c>
      <c r="AO825" s="18" t="str">
        <f t="shared" si="55"/>
        <v/>
      </c>
      <c r="AP825" s="19"/>
      <c r="AQ825" s="20" t="str">
        <f t="shared" si="56"/>
        <v/>
      </c>
      <c r="AR825" s="21"/>
    </row>
    <row r="826" spans="2:44" ht="31.5" x14ac:dyDescent="0.5">
      <c r="B826" s="1"/>
      <c r="C826" s="15"/>
      <c r="D826" s="16"/>
      <c r="E826" s="15"/>
      <c r="F826" s="17"/>
      <c r="G826" s="8"/>
      <c r="H826" s="8"/>
      <c r="I826" s="8"/>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4" t="s">
        <v>49</v>
      </c>
      <c r="AM826" s="5" t="str">
        <f t="shared" si="53"/>
        <v/>
      </c>
      <c r="AN826" s="5" t="str">
        <f t="shared" si="54"/>
        <v/>
      </c>
      <c r="AO826" s="18" t="str">
        <f t="shared" si="55"/>
        <v/>
      </c>
      <c r="AP826" s="19"/>
      <c r="AQ826" s="20" t="str">
        <f t="shared" si="56"/>
        <v/>
      </c>
      <c r="AR826" s="21"/>
    </row>
    <row r="827" spans="2:44" ht="31.5" x14ac:dyDescent="0.5">
      <c r="B827" s="1"/>
      <c r="C827" s="15"/>
      <c r="D827" s="16"/>
      <c r="E827" s="15"/>
      <c r="F827" s="17"/>
      <c r="G827" s="8"/>
      <c r="H827" s="8"/>
      <c r="I827" s="8"/>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4" t="s">
        <v>49</v>
      </c>
      <c r="AM827" s="5" t="str">
        <f t="shared" si="53"/>
        <v/>
      </c>
      <c r="AN827" s="5" t="str">
        <f t="shared" si="54"/>
        <v/>
      </c>
      <c r="AO827" s="18" t="str">
        <f t="shared" si="55"/>
        <v/>
      </c>
      <c r="AP827" s="19"/>
      <c r="AQ827" s="20" t="str">
        <f t="shared" si="56"/>
        <v/>
      </c>
      <c r="AR827" s="21"/>
    </row>
    <row r="828" spans="2:44" ht="31.5" x14ac:dyDescent="0.5">
      <c r="B828" s="1"/>
      <c r="C828" s="15"/>
      <c r="D828" s="16"/>
      <c r="E828" s="15"/>
      <c r="F828" s="17"/>
      <c r="G828" s="8"/>
      <c r="H828" s="8"/>
      <c r="I828" s="8"/>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4" t="s">
        <v>49</v>
      </c>
      <c r="AM828" s="5" t="str">
        <f t="shared" si="53"/>
        <v/>
      </c>
      <c r="AN828" s="5" t="str">
        <f t="shared" si="54"/>
        <v/>
      </c>
      <c r="AO828" s="18" t="str">
        <f t="shared" si="55"/>
        <v/>
      </c>
      <c r="AP828" s="19"/>
      <c r="AQ828" s="20" t="str">
        <f t="shared" si="56"/>
        <v/>
      </c>
      <c r="AR828" s="21"/>
    </row>
    <row r="829" spans="2:44" ht="31.5" x14ac:dyDescent="0.5">
      <c r="B829" s="1"/>
      <c r="C829" s="15"/>
      <c r="D829" s="16"/>
      <c r="E829" s="15"/>
      <c r="F829" s="17"/>
      <c r="G829" s="8"/>
      <c r="H829" s="8"/>
      <c r="I829" s="8"/>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4" t="s">
        <v>49</v>
      </c>
      <c r="AM829" s="5" t="str">
        <f t="shared" si="53"/>
        <v/>
      </c>
      <c r="AN829" s="5" t="str">
        <f t="shared" si="54"/>
        <v/>
      </c>
      <c r="AO829" s="18" t="str">
        <f t="shared" si="55"/>
        <v/>
      </c>
      <c r="AP829" s="19"/>
      <c r="AQ829" s="20" t="str">
        <f t="shared" si="56"/>
        <v/>
      </c>
      <c r="AR829" s="21"/>
    </row>
    <row r="830" spans="2:44" ht="31.5" x14ac:dyDescent="0.5">
      <c r="B830" s="1"/>
      <c r="C830" s="15"/>
      <c r="D830" s="16"/>
      <c r="E830" s="15"/>
      <c r="F830" s="17"/>
      <c r="G830" s="8"/>
      <c r="H830" s="8"/>
      <c r="I830" s="8"/>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4" t="s">
        <v>49</v>
      </c>
      <c r="AM830" s="5" t="str">
        <f t="shared" si="53"/>
        <v/>
      </c>
      <c r="AN830" s="5" t="str">
        <f t="shared" si="54"/>
        <v/>
      </c>
      <c r="AO830" s="18" t="str">
        <f t="shared" si="55"/>
        <v/>
      </c>
      <c r="AP830" s="19"/>
      <c r="AQ830" s="20" t="str">
        <f t="shared" si="56"/>
        <v/>
      </c>
      <c r="AR830" s="21"/>
    </row>
    <row r="831" spans="2:44" ht="31.5" x14ac:dyDescent="0.5">
      <c r="B831" s="1"/>
      <c r="C831" s="15"/>
      <c r="D831" s="16"/>
      <c r="E831" s="15"/>
      <c r="F831" s="17"/>
      <c r="G831" s="8"/>
      <c r="H831" s="8"/>
      <c r="I831" s="8"/>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4" t="s">
        <v>49</v>
      </c>
      <c r="AM831" s="5" t="str">
        <f t="shared" si="53"/>
        <v/>
      </c>
      <c r="AN831" s="5" t="str">
        <f t="shared" si="54"/>
        <v/>
      </c>
      <c r="AO831" s="18" t="str">
        <f t="shared" si="55"/>
        <v/>
      </c>
      <c r="AP831" s="19"/>
      <c r="AQ831" s="20" t="str">
        <f t="shared" si="56"/>
        <v/>
      </c>
      <c r="AR831" s="21"/>
    </row>
    <row r="832" spans="2:44" ht="31.5" x14ac:dyDescent="0.5">
      <c r="B832" s="1"/>
      <c r="C832" s="15"/>
      <c r="D832" s="16"/>
      <c r="E832" s="15"/>
      <c r="F832" s="17"/>
      <c r="G832" s="8"/>
      <c r="H832" s="8"/>
      <c r="I832" s="8"/>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4" t="s">
        <v>49</v>
      </c>
      <c r="AM832" s="5" t="str">
        <f t="shared" si="53"/>
        <v/>
      </c>
      <c r="AN832" s="5" t="str">
        <f t="shared" si="54"/>
        <v/>
      </c>
      <c r="AO832" s="18" t="str">
        <f t="shared" si="55"/>
        <v/>
      </c>
      <c r="AP832" s="19"/>
      <c r="AQ832" s="20" t="str">
        <f t="shared" si="56"/>
        <v/>
      </c>
      <c r="AR832" s="21"/>
    </row>
    <row r="833" spans="2:44" ht="31.5" x14ac:dyDescent="0.5">
      <c r="B833" s="1"/>
      <c r="C833" s="15"/>
      <c r="D833" s="16"/>
      <c r="E833" s="15"/>
      <c r="F833" s="17"/>
      <c r="G833" s="8"/>
      <c r="H833" s="8"/>
      <c r="I833" s="8"/>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4" t="s">
        <v>49</v>
      </c>
      <c r="AM833" s="5" t="str">
        <f t="shared" si="53"/>
        <v/>
      </c>
      <c r="AN833" s="5" t="str">
        <f t="shared" si="54"/>
        <v/>
      </c>
      <c r="AO833" s="18" t="str">
        <f t="shared" si="55"/>
        <v/>
      </c>
      <c r="AP833" s="19"/>
      <c r="AQ833" s="20" t="str">
        <f t="shared" si="56"/>
        <v/>
      </c>
      <c r="AR833" s="21"/>
    </row>
    <row r="834" spans="2:44" ht="31.5" x14ac:dyDescent="0.5">
      <c r="B834" s="1"/>
      <c r="C834" s="15"/>
      <c r="D834" s="16"/>
      <c r="E834" s="15"/>
      <c r="F834" s="17"/>
      <c r="G834" s="8"/>
      <c r="H834" s="8"/>
      <c r="I834" s="8"/>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4" t="s">
        <v>49</v>
      </c>
      <c r="AM834" s="5" t="str">
        <f t="shared" si="53"/>
        <v/>
      </c>
      <c r="AN834" s="5" t="str">
        <f t="shared" si="54"/>
        <v/>
      </c>
      <c r="AO834" s="18" t="str">
        <f t="shared" si="55"/>
        <v/>
      </c>
      <c r="AP834" s="19"/>
      <c r="AQ834" s="20" t="str">
        <f t="shared" si="56"/>
        <v/>
      </c>
      <c r="AR834" s="21"/>
    </row>
    <row r="835" spans="2:44" ht="31.5" x14ac:dyDescent="0.5">
      <c r="B835" s="1"/>
      <c r="C835" s="15"/>
      <c r="D835" s="16"/>
      <c r="E835" s="15"/>
      <c r="F835" s="17"/>
      <c r="G835" s="8"/>
      <c r="H835" s="8"/>
      <c r="I835" s="8"/>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4" t="s">
        <v>49</v>
      </c>
      <c r="AM835" s="5" t="str">
        <f t="shared" si="53"/>
        <v/>
      </c>
      <c r="AN835" s="5" t="str">
        <f t="shared" si="54"/>
        <v/>
      </c>
      <c r="AO835" s="18" t="str">
        <f t="shared" si="55"/>
        <v/>
      </c>
      <c r="AP835" s="19"/>
      <c r="AQ835" s="20" t="str">
        <f t="shared" si="56"/>
        <v/>
      </c>
      <c r="AR835" s="21"/>
    </row>
    <row r="836" spans="2:44" ht="31.5" x14ac:dyDescent="0.5">
      <c r="B836" s="1"/>
      <c r="C836" s="15"/>
      <c r="D836" s="16"/>
      <c r="E836" s="15"/>
      <c r="F836" s="17"/>
      <c r="G836" s="8"/>
      <c r="H836" s="8"/>
      <c r="I836" s="8"/>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4" t="s">
        <v>49</v>
      </c>
      <c r="AM836" s="5" t="str">
        <f t="shared" si="53"/>
        <v/>
      </c>
      <c r="AN836" s="5" t="str">
        <f t="shared" si="54"/>
        <v/>
      </c>
      <c r="AO836" s="18" t="str">
        <f t="shared" si="55"/>
        <v/>
      </c>
      <c r="AP836" s="19"/>
      <c r="AQ836" s="20" t="str">
        <f t="shared" si="56"/>
        <v/>
      </c>
      <c r="AR836" s="21"/>
    </row>
    <row r="837" spans="2:44" ht="31.5" x14ac:dyDescent="0.5">
      <c r="B837" s="1"/>
      <c r="C837" s="15"/>
      <c r="D837" s="16"/>
      <c r="E837" s="15"/>
      <c r="F837" s="17"/>
      <c r="G837" s="8"/>
      <c r="H837" s="8"/>
      <c r="I837" s="8"/>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4" t="s">
        <v>49</v>
      </c>
      <c r="AM837" s="5" t="str">
        <f t="shared" si="53"/>
        <v/>
      </c>
      <c r="AN837" s="5" t="str">
        <f t="shared" si="54"/>
        <v/>
      </c>
      <c r="AO837" s="18" t="str">
        <f t="shared" si="55"/>
        <v/>
      </c>
      <c r="AP837" s="19"/>
      <c r="AQ837" s="20" t="str">
        <f t="shared" si="56"/>
        <v/>
      </c>
      <c r="AR837" s="21"/>
    </row>
    <row r="838" spans="2:44" ht="31.5" x14ac:dyDescent="0.5">
      <c r="B838" s="1"/>
      <c r="C838" s="15"/>
      <c r="D838" s="16"/>
      <c r="E838" s="15"/>
      <c r="F838" s="17"/>
      <c r="G838" s="8"/>
      <c r="H838" s="8"/>
      <c r="I838" s="8"/>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4" t="s">
        <v>49</v>
      </c>
      <c r="AM838" s="5" t="str">
        <f t="shared" si="53"/>
        <v/>
      </c>
      <c r="AN838" s="5" t="str">
        <f t="shared" si="54"/>
        <v/>
      </c>
      <c r="AO838" s="18" t="str">
        <f t="shared" si="55"/>
        <v/>
      </c>
      <c r="AP838" s="19"/>
      <c r="AQ838" s="20" t="str">
        <f t="shared" si="56"/>
        <v/>
      </c>
      <c r="AR838" s="21"/>
    </row>
    <row r="839" spans="2:44" ht="31.5" x14ac:dyDescent="0.5">
      <c r="B839" s="1"/>
      <c r="C839" s="15"/>
      <c r="D839" s="16"/>
      <c r="E839" s="15"/>
      <c r="F839" s="17"/>
      <c r="G839" s="8"/>
      <c r="H839" s="8"/>
      <c r="I839" s="8"/>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4" t="s">
        <v>49</v>
      </c>
      <c r="AM839" s="5" t="str">
        <f t="shared" si="53"/>
        <v/>
      </c>
      <c r="AN839" s="5" t="str">
        <f t="shared" si="54"/>
        <v/>
      </c>
      <c r="AO839" s="18" t="str">
        <f t="shared" si="55"/>
        <v/>
      </c>
      <c r="AP839" s="19"/>
      <c r="AQ839" s="20" t="str">
        <f t="shared" si="56"/>
        <v/>
      </c>
      <c r="AR839" s="21"/>
    </row>
    <row r="840" spans="2:44" ht="31.5" x14ac:dyDescent="0.5">
      <c r="B840" s="1"/>
      <c r="C840" s="15"/>
      <c r="D840" s="16"/>
      <c r="E840" s="15"/>
      <c r="F840" s="17"/>
      <c r="G840" s="8"/>
      <c r="H840" s="8"/>
      <c r="I840" s="8"/>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4" t="s">
        <v>49</v>
      </c>
      <c r="AM840" s="5" t="str">
        <f t="shared" si="53"/>
        <v/>
      </c>
      <c r="AN840" s="5" t="str">
        <f t="shared" si="54"/>
        <v/>
      </c>
      <c r="AO840" s="18" t="str">
        <f t="shared" si="55"/>
        <v/>
      </c>
      <c r="AP840" s="19"/>
      <c r="AQ840" s="20" t="str">
        <f t="shared" si="56"/>
        <v/>
      </c>
      <c r="AR840" s="21"/>
    </row>
    <row r="841" spans="2:44" ht="31.5" x14ac:dyDescent="0.5">
      <c r="B841" s="1"/>
      <c r="C841" s="15"/>
      <c r="D841" s="16"/>
      <c r="E841" s="15"/>
      <c r="F841" s="17"/>
      <c r="G841" s="8"/>
      <c r="H841" s="8"/>
      <c r="I841" s="8"/>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4" t="s">
        <v>49</v>
      </c>
      <c r="AM841" s="5" t="str">
        <f t="shared" si="53"/>
        <v/>
      </c>
      <c r="AN841" s="5" t="str">
        <f t="shared" si="54"/>
        <v/>
      </c>
      <c r="AO841" s="18" t="str">
        <f t="shared" si="55"/>
        <v/>
      </c>
      <c r="AP841" s="19"/>
      <c r="AQ841" s="20" t="str">
        <f t="shared" si="56"/>
        <v/>
      </c>
      <c r="AR841" s="21"/>
    </row>
    <row r="842" spans="2:44" ht="31.5" x14ac:dyDescent="0.5">
      <c r="B842" s="1"/>
      <c r="C842" s="15"/>
      <c r="D842" s="16"/>
      <c r="E842" s="15"/>
      <c r="F842" s="17"/>
      <c r="G842" s="8"/>
      <c r="H842" s="8"/>
      <c r="I842" s="8"/>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4" t="s">
        <v>49</v>
      </c>
      <c r="AM842" s="5" t="str">
        <f t="shared" si="53"/>
        <v/>
      </c>
      <c r="AN842" s="5" t="str">
        <f t="shared" si="54"/>
        <v/>
      </c>
      <c r="AO842" s="18" t="str">
        <f t="shared" si="55"/>
        <v/>
      </c>
      <c r="AP842" s="19"/>
      <c r="AQ842" s="20" t="str">
        <f t="shared" si="56"/>
        <v/>
      </c>
      <c r="AR842" s="21"/>
    </row>
    <row r="843" spans="2:44" ht="31.5" x14ac:dyDescent="0.5">
      <c r="B843" s="1"/>
      <c r="C843" s="15"/>
      <c r="D843" s="16"/>
      <c r="E843" s="15"/>
      <c r="F843" s="17"/>
      <c r="G843" s="8"/>
      <c r="H843" s="8"/>
      <c r="I843" s="8"/>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4" t="s">
        <v>49</v>
      </c>
      <c r="AM843" s="5" t="str">
        <f t="shared" si="53"/>
        <v/>
      </c>
      <c r="AN843" s="5" t="str">
        <f t="shared" si="54"/>
        <v/>
      </c>
      <c r="AO843" s="18" t="str">
        <f t="shared" si="55"/>
        <v/>
      </c>
      <c r="AP843" s="19"/>
      <c r="AQ843" s="20" t="str">
        <f t="shared" si="56"/>
        <v/>
      </c>
      <c r="AR843" s="21"/>
    </row>
    <row r="844" spans="2:44" ht="31.5" x14ac:dyDescent="0.5">
      <c r="B844" s="1"/>
      <c r="C844" s="15"/>
      <c r="D844" s="16"/>
      <c r="E844" s="15"/>
      <c r="F844" s="17"/>
      <c r="G844" s="8"/>
      <c r="H844" s="8"/>
      <c r="I844" s="8"/>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4" t="s">
        <v>49</v>
      </c>
      <c r="AM844" s="5" t="str">
        <f t="shared" si="53"/>
        <v/>
      </c>
      <c r="AN844" s="5" t="str">
        <f t="shared" si="54"/>
        <v/>
      </c>
      <c r="AO844" s="18" t="str">
        <f t="shared" si="55"/>
        <v/>
      </c>
      <c r="AP844" s="19"/>
      <c r="AQ844" s="20" t="str">
        <f t="shared" si="56"/>
        <v/>
      </c>
      <c r="AR844" s="21"/>
    </row>
    <row r="845" spans="2:44" ht="31.5" x14ac:dyDescent="0.5">
      <c r="B845" s="1"/>
      <c r="C845" s="15"/>
      <c r="D845" s="16"/>
      <c r="E845" s="15"/>
      <c r="F845" s="17"/>
      <c r="G845" s="8"/>
      <c r="H845" s="8"/>
      <c r="I845" s="8"/>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4" t="s">
        <v>49</v>
      </c>
      <c r="AM845" s="5" t="str">
        <f t="shared" si="53"/>
        <v/>
      </c>
      <c r="AN845" s="5" t="str">
        <f t="shared" si="54"/>
        <v/>
      </c>
      <c r="AO845" s="18" t="str">
        <f t="shared" si="55"/>
        <v/>
      </c>
      <c r="AP845" s="19"/>
      <c r="AQ845" s="20" t="str">
        <f t="shared" si="56"/>
        <v/>
      </c>
      <c r="AR845" s="21"/>
    </row>
    <row r="846" spans="2:44" ht="31.5" x14ac:dyDescent="0.5">
      <c r="B846" s="1"/>
      <c r="C846" s="15"/>
      <c r="D846" s="16"/>
      <c r="E846" s="15"/>
      <c r="F846" s="17"/>
      <c r="G846" s="8"/>
      <c r="H846" s="8"/>
      <c r="I846" s="8"/>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4" t="s">
        <v>49</v>
      </c>
      <c r="AM846" s="5" t="str">
        <f t="shared" si="53"/>
        <v/>
      </c>
      <c r="AN846" s="5" t="str">
        <f t="shared" si="54"/>
        <v/>
      </c>
      <c r="AO846" s="18" t="str">
        <f t="shared" si="55"/>
        <v/>
      </c>
      <c r="AP846" s="19"/>
      <c r="AQ846" s="20" t="str">
        <f t="shared" si="56"/>
        <v/>
      </c>
      <c r="AR846" s="21"/>
    </row>
    <row r="847" spans="2:44" ht="31.5" x14ac:dyDescent="0.5">
      <c r="B847" s="1"/>
      <c r="C847" s="15"/>
      <c r="D847" s="16"/>
      <c r="E847" s="15"/>
      <c r="F847" s="17"/>
      <c r="G847" s="8"/>
      <c r="H847" s="8"/>
      <c r="I847" s="8"/>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4" t="s">
        <v>49</v>
      </c>
      <c r="AM847" s="5" t="str">
        <f t="shared" si="53"/>
        <v/>
      </c>
      <c r="AN847" s="5" t="str">
        <f t="shared" si="54"/>
        <v/>
      </c>
      <c r="AO847" s="18" t="str">
        <f t="shared" si="55"/>
        <v/>
      </c>
      <c r="AP847" s="19"/>
      <c r="AQ847" s="20" t="str">
        <f t="shared" si="56"/>
        <v/>
      </c>
      <c r="AR847" s="21"/>
    </row>
    <row r="848" spans="2:44" ht="31.5" x14ac:dyDescent="0.5">
      <c r="B848" s="1"/>
      <c r="C848" s="15"/>
      <c r="D848" s="16"/>
      <c r="E848" s="15"/>
      <c r="F848" s="17"/>
      <c r="G848" s="8"/>
      <c r="H848" s="8"/>
      <c r="I848" s="8"/>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4" t="s">
        <v>49</v>
      </c>
      <c r="AM848" s="5" t="str">
        <f t="shared" si="53"/>
        <v/>
      </c>
      <c r="AN848" s="5" t="str">
        <f t="shared" si="54"/>
        <v/>
      </c>
      <c r="AO848" s="18" t="str">
        <f t="shared" si="55"/>
        <v/>
      </c>
      <c r="AP848" s="19"/>
      <c r="AQ848" s="20" t="str">
        <f t="shared" si="56"/>
        <v/>
      </c>
      <c r="AR848" s="21"/>
    </row>
    <row r="849" spans="2:44" ht="31.5" x14ac:dyDescent="0.5">
      <c r="B849" s="1"/>
      <c r="C849" s="15"/>
      <c r="D849" s="16"/>
      <c r="E849" s="15"/>
      <c r="F849" s="17"/>
      <c r="G849" s="8"/>
      <c r="H849" s="8"/>
      <c r="I849" s="8"/>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4" t="s">
        <v>49</v>
      </c>
      <c r="AM849" s="5" t="str">
        <f t="shared" si="53"/>
        <v/>
      </c>
      <c r="AN849" s="5" t="str">
        <f t="shared" si="54"/>
        <v/>
      </c>
      <c r="AO849" s="18" t="str">
        <f t="shared" si="55"/>
        <v/>
      </c>
      <c r="AP849" s="19"/>
      <c r="AQ849" s="20" t="str">
        <f t="shared" si="56"/>
        <v/>
      </c>
      <c r="AR849" s="21"/>
    </row>
    <row r="850" spans="2:44" ht="31.5" x14ac:dyDescent="0.5">
      <c r="B850" s="1"/>
      <c r="C850" s="15"/>
      <c r="D850" s="16"/>
      <c r="E850" s="15"/>
      <c r="F850" s="17"/>
      <c r="G850" s="8"/>
      <c r="H850" s="8"/>
      <c r="I850" s="8"/>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4" t="s">
        <v>49</v>
      </c>
      <c r="AM850" s="5" t="str">
        <f t="shared" si="53"/>
        <v/>
      </c>
      <c r="AN850" s="5" t="str">
        <f t="shared" si="54"/>
        <v/>
      </c>
      <c r="AO850" s="18" t="str">
        <f t="shared" si="55"/>
        <v/>
      </c>
      <c r="AP850" s="19"/>
      <c r="AQ850" s="20" t="str">
        <f t="shared" si="56"/>
        <v/>
      </c>
      <c r="AR850" s="21"/>
    </row>
    <row r="851" spans="2:44" ht="31.5" x14ac:dyDescent="0.5">
      <c r="B851" s="1"/>
      <c r="C851" s="15"/>
      <c r="D851" s="16"/>
      <c r="E851" s="15"/>
      <c r="F851" s="17"/>
      <c r="G851" s="8"/>
      <c r="H851" s="8"/>
      <c r="I851" s="8"/>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4" t="s">
        <v>49</v>
      </c>
      <c r="AM851" s="5" t="str">
        <f t="shared" si="53"/>
        <v/>
      </c>
      <c r="AN851" s="5" t="str">
        <f t="shared" si="54"/>
        <v/>
      </c>
      <c r="AO851" s="18" t="str">
        <f t="shared" si="55"/>
        <v/>
      </c>
      <c r="AP851" s="19"/>
      <c r="AQ851" s="20" t="str">
        <f t="shared" si="56"/>
        <v/>
      </c>
      <c r="AR851" s="21"/>
    </row>
    <row r="852" spans="2:44" ht="31.5" x14ac:dyDescent="0.5">
      <c r="B852" s="1"/>
      <c r="C852" s="15"/>
      <c r="D852" s="16"/>
      <c r="E852" s="15"/>
      <c r="F852" s="17"/>
      <c r="G852" s="8"/>
      <c r="H852" s="8"/>
      <c r="I852" s="8"/>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4" t="s">
        <v>49</v>
      </c>
      <c r="AM852" s="5" t="str">
        <f t="shared" si="53"/>
        <v/>
      </c>
      <c r="AN852" s="5" t="str">
        <f t="shared" si="54"/>
        <v/>
      </c>
      <c r="AO852" s="18" t="str">
        <f t="shared" si="55"/>
        <v/>
      </c>
      <c r="AP852" s="19"/>
      <c r="AQ852" s="20" t="str">
        <f t="shared" si="56"/>
        <v/>
      </c>
      <c r="AR852" s="21"/>
    </row>
    <row r="853" spans="2:44" ht="31.5" x14ac:dyDescent="0.5">
      <c r="B853" s="1"/>
      <c r="C853" s="15"/>
      <c r="D853" s="16"/>
      <c r="E853" s="15"/>
      <c r="F853" s="17"/>
      <c r="G853" s="8"/>
      <c r="H853" s="8"/>
      <c r="I853" s="8"/>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4" t="s">
        <v>49</v>
      </c>
      <c r="AM853" s="5" t="str">
        <f t="shared" si="53"/>
        <v/>
      </c>
      <c r="AN853" s="5" t="str">
        <f t="shared" si="54"/>
        <v/>
      </c>
      <c r="AO853" s="18" t="str">
        <f t="shared" si="55"/>
        <v/>
      </c>
      <c r="AP853" s="19"/>
      <c r="AQ853" s="20" t="str">
        <f t="shared" si="56"/>
        <v/>
      </c>
      <c r="AR853" s="21"/>
    </row>
    <row r="854" spans="2:44" ht="31.5" x14ac:dyDescent="0.5">
      <c r="B854" s="1"/>
      <c r="C854" s="15"/>
      <c r="D854" s="16"/>
      <c r="E854" s="15"/>
      <c r="F854" s="17"/>
      <c r="G854" s="8"/>
      <c r="H854" s="8"/>
      <c r="I854" s="8"/>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4" t="s">
        <v>49</v>
      </c>
      <c r="AM854" s="5" t="str">
        <f t="shared" si="53"/>
        <v/>
      </c>
      <c r="AN854" s="5" t="str">
        <f t="shared" si="54"/>
        <v/>
      </c>
      <c r="AO854" s="18" t="str">
        <f t="shared" si="55"/>
        <v/>
      </c>
      <c r="AP854" s="19"/>
      <c r="AQ854" s="20" t="str">
        <f t="shared" si="56"/>
        <v/>
      </c>
      <c r="AR854" s="21"/>
    </row>
    <row r="855" spans="2:44" ht="31.5" x14ac:dyDescent="0.5">
      <c r="B855" s="1"/>
      <c r="C855" s="15"/>
      <c r="D855" s="16"/>
      <c r="E855" s="15"/>
      <c r="F855" s="17"/>
      <c r="G855" s="8"/>
      <c r="H855" s="8"/>
      <c r="I855" s="8"/>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4" t="s">
        <v>49</v>
      </c>
      <c r="AM855" s="5" t="str">
        <f t="shared" si="53"/>
        <v/>
      </c>
      <c r="AN855" s="5" t="str">
        <f t="shared" si="54"/>
        <v/>
      </c>
      <c r="AO855" s="18" t="str">
        <f t="shared" si="55"/>
        <v/>
      </c>
      <c r="AP855" s="19"/>
      <c r="AQ855" s="20" t="str">
        <f t="shared" si="56"/>
        <v/>
      </c>
      <c r="AR855" s="21"/>
    </row>
    <row r="856" spans="2:44" ht="31.5" x14ac:dyDescent="0.5">
      <c r="B856" s="1"/>
      <c r="C856" s="15"/>
      <c r="D856" s="16"/>
      <c r="E856" s="15"/>
      <c r="F856" s="17"/>
      <c r="G856" s="8"/>
      <c r="H856" s="8"/>
      <c r="I856" s="8"/>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4" t="s">
        <v>49</v>
      </c>
      <c r="AM856" s="5" t="str">
        <f t="shared" si="53"/>
        <v/>
      </c>
      <c r="AN856" s="5" t="str">
        <f t="shared" si="54"/>
        <v/>
      </c>
      <c r="AO856" s="18" t="str">
        <f t="shared" si="55"/>
        <v/>
      </c>
      <c r="AP856" s="19"/>
      <c r="AQ856" s="20" t="str">
        <f t="shared" si="56"/>
        <v/>
      </c>
      <c r="AR856" s="21"/>
    </row>
    <row r="857" spans="2:44" ht="31.5" x14ac:dyDescent="0.5">
      <c r="B857" s="1"/>
      <c r="C857" s="15"/>
      <c r="D857" s="16"/>
      <c r="E857" s="15"/>
      <c r="F857" s="17"/>
      <c r="G857" s="8"/>
      <c r="H857" s="8"/>
      <c r="I857" s="8"/>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4" t="s">
        <v>49</v>
      </c>
      <c r="AM857" s="5" t="str">
        <f t="shared" si="53"/>
        <v/>
      </c>
      <c r="AN857" s="5" t="str">
        <f t="shared" si="54"/>
        <v/>
      </c>
      <c r="AO857" s="18" t="str">
        <f t="shared" si="55"/>
        <v/>
      </c>
      <c r="AP857" s="19"/>
      <c r="AQ857" s="20" t="str">
        <f t="shared" si="56"/>
        <v/>
      </c>
      <c r="AR857" s="21"/>
    </row>
    <row r="858" spans="2:44" ht="31.5" x14ac:dyDescent="0.5">
      <c r="B858" s="1"/>
      <c r="C858" s="15"/>
      <c r="D858" s="16"/>
      <c r="E858" s="15"/>
      <c r="F858" s="17"/>
      <c r="G858" s="8"/>
      <c r="H858" s="8"/>
      <c r="I858" s="8"/>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4" t="s">
        <v>49</v>
      </c>
      <c r="AM858" s="5" t="str">
        <f t="shared" si="53"/>
        <v/>
      </c>
      <c r="AN858" s="5" t="str">
        <f t="shared" si="54"/>
        <v/>
      </c>
      <c r="AO858" s="18" t="str">
        <f t="shared" si="55"/>
        <v/>
      </c>
      <c r="AP858" s="19"/>
      <c r="AQ858" s="20" t="str">
        <f t="shared" si="56"/>
        <v/>
      </c>
      <c r="AR858" s="21"/>
    </row>
    <row r="859" spans="2:44" ht="31.5" x14ac:dyDescent="0.5">
      <c r="B859" s="1"/>
      <c r="C859" s="15"/>
      <c r="D859" s="16"/>
      <c r="E859" s="15"/>
      <c r="F859" s="17"/>
      <c r="G859" s="8"/>
      <c r="H859" s="8"/>
      <c r="I859" s="8"/>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4" t="s">
        <v>49</v>
      </c>
      <c r="AM859" s="5" t="str">
        <f t="shared" si="53"/>
        <v/>
      </c>
      <c r="AN859" s="5" t="str">
        <f t="shared" si="54"/>
        <v/>
      </c>
      <c r="AO859" s="18" t="str">
        <f t="shared" si="55"/>
        <v/>
      </c>
      <c r="AP859" s="19"/>
      <c r="AQ859" s="20" t="str">
        <f t="shared" si="56"/>
        <v/>
      </c>
      <c r="AR859" s="21"/>
    </row>
    <row r="860" spans="2:44" ht="31.5" x14ac:dyDescent="0.5">
      <c r="B860" s="1"/>
      <c r="C860" s="15"/>
      <c r="D860" s="16"/>
      <c r="E860" s="15"/>
      <c r="F860" s="17"/>
      <c r="G860" s="8"/>
      <c r="H860" s="8"/>
      <c r="I860" s="8"/>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4" t="s">
        <v>49</v>
      </c>
      <c r="AM860" s="5" t="str">
        <f t="shared" si="53"/>
        <v/>
      </c>
      <c r="AN860" s="5" t="str">
        <f t="shared" si="54"/>
        <v/>
      </c>
      <c r="AO860" s="18" t="str">
        <f t="shared" si="55"/>
        <v/>
      </c>
      <c r="AP860" s="19"/>
      <c r="AQ860" s="20" t="str">
        <f t="shared" si="56"/>
        <v/>
      </c>
      <c r="AR860" s="21"/>
    </row>
    <row r="861" spans="2:44" ht="31.5" x14ac:dyDescent="0.5">
      <c r="B861" s="1"/>
      <c r="C861" s="15"/>
      <c r="D861" s="16"/>
      <c r="E861" s="15"/>
      <c r="F861" s="17"/>
      <c r="G861" s="8"/>
      <c r="H861" s="8"/>
      <c r="I861" s="8"/>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4" t="s">
        <v>49</v>
      </c>
      <c r="AM861" s="5" t="str">
        <f t="shared" si="53"/>
        <v/>
      </c>
      <c r="AN861" s="5" t="str">
        <f t="shared" si="54"/>
        <v/>
      </c>
      <c r="AO861" s="18" t="str">
        <f t="shared" si="55"/>
        <v/>
      </c>
      <c r="AP861" s="19"/>
      <c r="AQ861" s="20" t="str">
        <f t="shared" si="56"/>
        <v/>
      </c>
      <c r="AR861" s="21"/>
    </row>
    <row r="862" spans="2:44" ht="31.5" x14ac:dyDescent="0.5">
      <c r="B862" s="1"/>
      <c r="C862" s="15"/>
      <c r="D862" s="16"/>
      <c r="E862" s="15"/>
      <c r="F862" s="17"/>
      <c r="G862" s="8"/>
      <c r="H862" s="8"/>
      <c r="I862" s="8"/>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4" t="s">
        <v>49</v>
      </c>
      <c r="AM862" s="5" t="str">
        <f t="shared" si="53"/>
        <v/>
      </c>
      <c r="AN862" s="5" t="str">
        <f t="shared" si="54"/>
        <v/>
      </c>
      <c r="AO862" s="18" t="str">
        <f t="shared" si="55"/>
        <v/>
      </c>
      <c r="AP862" s="19"/>
      <c r="AQ862" s="20" t="str">
        <f t="shared" si="56"/>
        <v/>
      </c>
      <c r="AR862" s="21"/>
    </row>
    <row r="863" spans="2:44" ht="31.5" x14ac:dyDescent="0.5">
      <c r="B863" s="1"/>
      <c r="C863" s="15"/>
      <c r="D863" s="16"/>
      <c r="E863" s="15"/>
      <c r="F863" s="17"/>
      <c r="G863" s="8"/>
      <c r="H863" s="8"/>
      <c r="I863" s="8"/>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4" t="s">
        <v>49</v>
      </c>
      <c r="AM863" s="5" t="str">
        <f t="shared" si="53"/>
        <v/>
      </c>
      <c r="AN863" s="5" t="str">
        <f t="shared" si="54"/>
        <v/>
      </c>
      <c r="AO863" s="18" t="str">
        <f t="shared" si="55"/>
        <v/>
      </c>
      <c r="AP863" s="19"/>
      <c r="AQ863" s="20" t="str">
        <f t="shared" si="56"/>
        <v/>
      </c>
      <c r="AR863" s="21"/>
    </row>
    <row r="864" spans="2:44" ht="31.5" x14ac:dyDescent="0.5">
      <c r="B864" s="1"/>
      <c r="C864" s="15"/>
      <c r="D864" s="16"/>
      <c r="E864" s="15"/>
      <c r="F864" s="17"/>
      <c r="G864" s="8"/>
      <c r="H864" s="8"/>
      <c r="I864" s="8"/>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4" t="s">
        <v>49</v>
      </c>
      <c r="AM864" s="5" t="str">
        <f t="shared" si="53"/>
        <v/>
      </c>
      <c r="AN864" s="5" t="str">
        <f t="shared" si="54"/>
        <v/>
      </c>
      <c r="AO864" s="18" t="str">
        <f t="shared" si="55"/>
        <v/>
      </c>
      <c r="AP864" s="19"/>
      <c r="AQ864" s="20" t="str">
        <f t="shared" si="56"/>
        <v/>
      </c>
      <c r="AR864" s="21"/>
    </row>
    <row r="865" spans="2:44" ht="31.5" x14ac:dyDescent="0.5">
      <c r="B865" s="1"/>
      <c r="C865" s="15"/>
      <c r="D865" s="16"/>
      <c r="E865" s="15"/>
      <c r="F865" s="17"/>
      <c r="G865" s="8"/>
      <c r="H865" s="8"/>
      <c r="I865" s="8"/>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4" t="s">
        <v>49</v>
      </c>
      <c r="AM865" s="5" t="str">
        <f t="shared" si="53"/>
        <v/>
      </c>
      <c r="AN865" s="5" t="str">
        <f t="shared" si="54"/>
        <v/>
      </c>
      <c r="AO865" s="18" t="str">
        <f t="shared" si="55"/>
        <v/>
      </c>
      <c r="AP865" s="19"/>
      <c r="AQ865" s="20" t="str">
        <f t="shared" si="56"/>
        <v/>
      </c>
      <c r="AR865" s="21"/>
    </row>
    <row r="866" spans="2:44" ht="31.5" x14ac:dyDescent="0.5">
      <c r="B866" s="1"/>
      <c r="C866" s="15"/>
      <c r="D866" s="16"/>
      <c r="E866" s="15"/>
      <c r="F866" s="17"/>
      <c r="G866" s="8"/>
      <c r="H866" s="8"/>
      <c r="I866" s="8"/>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4" t="s">
        <v>49</v>
      </c>
      <c r="AM866" s="5" t="str">
        <f t="shared" si="53"/>
        <v/>
      </c>
      <c r="AN866" s="5" t="str">
        <f t="shared" si="54"/>
        <v/>
      </c>
      <c r="AO866" s="18" t="str">
        <f t="shared" si="55"/>
        <v/>
      </c>
      <c r="AP866" s="19"/>
      <c r="AQ866" s="20" t="str">
        <f t="shared" si="56"/>
        <v/>
      </c>
      <c r="AR866" s="21"/>
    </row>
    <row r="867" spans="2:44" ht="31.5" x14ac:dyDescent="0.5">
      <c r="B867" s="1"/>
      <c r="C867" s="15"/>
      <c r="D867" s="16"/>
      <c r="E867" s="15"/>
      <c r="F867" s="17"/>
      <c r="G867" s="8"/>
      <c r="H867" s="8"/>
      <c r="I867" s="8"/>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4" t="s">
        <v>49</v>
      </c>
      <c r="AM867" s="5" t="str">
        <f t="shared" si="53"/>
        <v/>
      </c>
      <c r="AN867" s="5" t="str">
        <f t="shared" si="54"/>
        <v/>
      </c>
      <c r="AO867" s="18" t="str">
        <f t="shared" si="55"/>
        <v/>
      </c>
      <c r="AP867" s="19"/>
      <c r="AQ867" s="20" t="str">
        <f t="shared" si="56"/>
        <v/>
      </c>
      <c r="AR867" s="21"/>
    </row>
    <row r="868" spans="2:44" ht="31.5" x14ac:dyDescent="0.5">
      <c r="B868" s="1"/>
      <c r="C868" s="15"/>
      <c r="D868" s="16"/>
      <c r="E868" s="15"/>
      <c r="F868" s="17"/>
      <c r="G868" s="8"/>
      <c r="H868" s="8"/>
      <c r="I868" s="8"/>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4" t="s">
        <v>49</v>
      </c>
      <c r="AM868" s="5" t="str">
        <f t="shared" si="53"/>
        <v/>
      </c>
      <c r="AN868" s="5" t="str">
        <f t="shared" si="54"/>
        <v/>
      </c>
      <c r="AO868" s="18" t="str">
        <f t="shared" si="55"/>
        <v/>
      </c>
      <c r="AP868" s="19"/>
      <c r="AQ868" s="20" t="str">
        <f t="shared" si="56"/>
        <v/>
      </c>
      <c r="AR868" s="21"/>
    </row>
    <row r="869" spans="2:44" ht="31.5" x14ac:dyDescent="0.5">
      <c r="B869" s="1"/>
      <c r="C869" s="15"/>
      <c r="D869" s="16"/>
      <c r="E869" s="15"/>
      <c r="F869" s="17"/>
      <c r="G869" s="8"/>
      <c r="H869" s="8"/>
      <c r="I869" s="8"/>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4" t="s">
        <v>49</v>
      </c>
      <c r="AM869" s="5" t="str">
        <f t="shared" si="53"/>
        <v/>
      </c>
      <c r="AN869" s="5" t="str">
        <f t="shared" si="54"/>
        <v/>
      </c>
      <c r="AO869" s="18" t="str">
        <f t="shared" si="55"/>
        <v/>
      </c>
      <c r="AP869" s="19"/>
      <c r="AQ869" s="20" t="str">
        <f t="shared" si="56"/>
        <v/>
      </c>
      <c r="AR869" s="21"/>
    </row>
    <row r="870" spans="2:44" ht="31.5" x14ac:dyDescent="0.5">
      <c r="B870" s="1"/>
      <c r="C870" s="15"/>
      <c r="D870" s="16"/>
      <c r="E870" s="15"/>
      <c r="F870" s="17"/>
      <c r="G870" s="8"/>
      <c r="H870" s="8"/>
      <c r="I870" s="8"/>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4" t="s">
        <v>49</v>
      </c>
      <c r="AM870" s="5" t="str">
        <f t="shared" si="53"/>
        <v/>
      </c>
      <c r="AN870" s="5" t="str">
        <f t="shared" si="54"/>
        <v/>
      </c>
      <c r="AO870" s="18" t="str">
        <f t="shared" si="55"/>
        <v/>
      </c>
      <c r="AP870" s="19"/>
      <c r="AQ870" s="20" t="str">
        <f t="shared" si="56"/>
        <v/>
      </c>
      <c r="AR870" s="21"/>
    </row>
    <row r="871" spans="2:44" ht="31.5" x14ac:dyDescent="0.5">
      <c r="B871" s="1"/>
      <c r="C871" s="15"/>
      <c r="D871" s="16"/>
      <c r="E871" s="15"/>
      <c r="F871" s="17"/>
      <c r="G871" s="8"/>
      <c r="H871" s="8"/>
      <c r="I871" s="8"/>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4" t="s">
        <v>49</v>
      </c>
      <c r="AM871" s="5" t="str">
        <f t="shared" si="53"/>
        <v/>
      </c>
      <c r="AN871" s="5" t="str">
        <f t="shared" si="54"/>
        <v/>
      </c>
      <c r="AO871" s="18" t="str">
        <f t="shared" si="55"/>
        <v/>
      </c>
      <c r="AP871" s="19"/>
      <c r="AQ871" s="20" t="str">
        <f t="shared" si="56"/>
        <v/>
      </c>
      <c r="AR871" s="21"/>
    </row>
    <row r="872" spans="2:44" ht="31.5" x14ac:dyDescent="0.5">
      <c r="B872" s="1"/>
      <c r="C872" s="15"/>
      <c r="D872" s="16"/>
      <c r="E872" s="15"/>
      <c r="F872" s="17"/>
      <c r="G872" s="8"/>
      <c r="H872" s="8"/>
      <c r="I872" s="8"/>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4" t="s">
        <v>49</v>
      </c>
      <c r="AM872" s="5" t="str">
        <f t="shared" si="53"/>
        <v/>
      </c>
      <c r="AN872" s="5" t="str">
        <f t="shared" si="54"/>
        <v/>
      </c>
      <c r="AO872" s="18" t="str">
        <f t="shared" si="55"/>
        <v/>
      </c>
      <c r="AP872" s="19"/>
      <c r="AQ872" s="20" t="str">
        <f t="shared" si="56"/>
        <v/>
      </c>
      <c r="AR872" s="21"/>
    </row>
    <row r="873" spans="2:44" ht="31.5" x14ac:dyDescent="0.5">
      <c r="B873" s="1"/>
      <c r="C873" s="15"/>
      <c r="D873" s="16"/>
      <c r="E873" s="15"/>
      <c r="F873" s="17"/>
      <c r="G873" s="8"/>
      <c r="H873" s="8"/>
      <c r="I873" s="8"/>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4" t="s">
        <v>49</v>
      </c>
      <c r="AM873" s="5" t="str">
        <f t="shared" si="53"/>
        <v/>
      </c>
      <c r="AN873" s="5" t="str">
        <f t="shared" si="54"/>
        <v/>
      </c>
      <c r="AO873" s="18" t="str">
        <f t="shared" si="55"/>
        <v/>
      </c>
      <c r="AP873" s="19"/>
      <c r="AQ873" s="20" t="str">
        <f t="shared" si="56"/>
        <v/>
      </c>
      <c r="AR873" s="21"/>
    </row>
    <row r="874" spans="2:44" ht="31.5" x14ac:dyDescent="0.5">
      <c r="B874" s="1"/>
      <c r="C874" s="15"/>
      <c r="D874" s="16"/>
      <c r="E874" s="15"/>
      <c r="F874" s="17"/>
      <c r="G874" s="8"/>
      <c r="H874" s="8"/>
      <c r="I874" s="8"/>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4" t="s">
        <v>49</v>
      </c>
      <c r="AM874" s="5" t="str">
        <f t="shared" si="53"/>
        <v/>
      </c>
      <c r="AN874" s="5" t="str">
        <f t="shared" si="54"/>
        <v/>
      </c>
      <c r="AO874" s="18" t="str">
        <f t="shared" si="55"/>
        <v/>
      </c>
      <c r="AP874" s="19"/>
      <c r="AQ874" s="20" t="str">
        <f t="shared" si="56"/>
        <v/>
      </c>
      <c r="AR874" s="21"/>
    </row>
    <row r="875" spans="2:44" ht="31.5" x14ac:dyDescent="0.5">
      <c r="B875" s="1"/>
      <c r="C875" s="15"/>
      <c r="D875" s="16"/>
      <c r="E875" s="15"/>
      <c r="F875" s="17"/>
      <c r="G875" s="8"/>
      <c r="H875" s="8"/>
      <c r="I875" s="8"/>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4" t="s">
        <v>49</v>
      </c>
      <c r="AM875" s="5" t="str">
        <f t="shared" si="53"/>
        <v/>
      </c>
      <c r="AN875" s="5" t="str">
        <f t="shared" si="54"/>
        <v/>
      </c>
      <c r="AO875" s="18" t="str">
        <f t="shared" si="55"/>
        <v/>
      </c>
      <c r="AP875" s="19"/>
      <c r="AQ875" s="20" t="str">
        <f t="shared" si="56"/>
        <v/>
      </c>
      <c r="AR875" s="21"/>
    </row>
    <row r="876" spans="2:44" ht="31.5" x14ac:dyDescent="0.5">
      <c r="B876" s="1"/>
      <c r="C876" s="15"/>
      <c r="D876" s="16"/>
      <c r="E876" s="15"/>
      <c r="F876" s="17"/>
      <c r="G876" s="8"/>
      <c r="H876" s="8"/>
      <c r="I876" s="8"/>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4" t="s">
        <v>49</v>
      </c>
      <c r="AM876" s="5" t="str">
        <f t="shared" si="53"/>
        <v/>
      </c>
      <c r="AN876" s="5" t="str">
        <f t="shared" si="54"/>
        <v/>
      </c>
      <c r="AO876" s="18" t="str">
        <f t="shared" si="55"/>
        <v/>
      </c>
      <c r="AP876" s="19"/>
      <c r="AQ876" s="20" t="str">
        <f t="shared" si="56"/>
        <v/>
      </c>
      <c r="AR876" s="21"/>
    </row>
    <row r="877" spans="2:44" ht="31.5" x14ac:dyDescent="0.5">
      <c r="B877" s="1"/>
      <c r="C877" s="15"/>
      <c r="D877" s="16"/>
      <c r="E877" s="15"/>
      <c r="F877" s="17"/>
      <c r="G877" s="8"/>
      <c r="H877" s="8"/>
      <c r="I877" s="8"/>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4" t="s">
        <v>49</v>
      </c>
      <c r="AM877" s="5" t="str">
        <f t="shared" si="53"/>
        <v/>
      </c>
      <c r="AN877" s="5" t="str">
        <f t="shared" si="54"/>
        <v/>
      </c>
      <c r="AO877" s="18" t="str">
        <f t="shared" si="55"/>
        <v/>
      </c>
      <c r="AP877" s="19"/>
      <c r="AQ877" s="20" t="str">
        <f t="shared" si="56"/>
        <v/>
      </c>
      <c r="AR877" s="21"/>
    </row>
    <row r="878" spans="2:44" ht="31.5" x14ac:dyDescent="0.5">
      <c r="B878" s="1"/>
      <c r="C878" s="15"/>
      <c r="D878" s="16"/>
      <c r="E878" s="15"/>
      <c r="F878" s="17"/>
      <c r="G878" s="8"/>
      <c r="H878" s="8"/>
      <c r="I878" s="8"/>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4" t="s">
        <v>49</v>
      </c>
      <c r="AM878" s="5" t="str">
        <f t="shared" si="53"/>
        <v/>
      </c>
      <c r="AN878" s="5" t="str">
        <f t="shared" si="54"/>
        <v/>
      </c>
      <c r="AO878" s="18" t="str">
        <f t="shared" si="55"/>
        <v/>
      </c>
      <c r="AP878" s="19"/>
      <c r="AQ878" s="20" t="str">
        <f t="shared" si="56"/>
        <v/>
      </c>
      <c r="AR878" s="21"/>
    </row>
    <row r="879" spans="2:44" ht="31.5" x14ac:dyDescent="0.5">
      <c r="B879" s="1"/>
      <c r="C879" s="15"/>
      <c r="D879" s="16"/>
      <c r="E879" s="15"/>
      <c r="F879" s="17"/>
      <c r="G879" s="8"/>
      <c r="H879" s="8"/>
      <c r="I879" s="8"/>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4" t="s">
        <v>49</v>
      </c>
      <c r="AM879" s="5" t="str">
        <f t="shared" si="53"/>
        <v/>
      </c>
      <c r="AN879" s="5" t="str">
        <f t="shared" si="54"/>
        <v/>
      </c>
      <c r="AO879" s="18" t="str">
        <f t="shared" si="55"/>
        <v/>
      </c>
      <c r="AP879" s="19"/>
      <c r="AQ879" s="20" t="str">
        <f t="shared" si="56"/>
        <v/>
      </c>
      <c r="AR879" s="21"/>
    </row>
    <row r="880" spans="2:44" ht="31.5" x14ac:dyDescent="0.5">
      <c r="B880" s="1"/>
      <c r="C880" s="15"/>
      <c r="D880" s="16"/>
      <c r="E880" s="15"/>
      <c r="F880" s="17"/>
      <c r="G880" s="8"/>
      <c r="H880" s="8"/>
      <c r="I880" s="8"/>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4" t="s">
        <v>49</v>
      </c>
      <c r="AM880" s="5" t="str">
        <f t="shared" si="53"/>
        <v/>
      </c>
      <c r="AN880" s="5" t="str">
        <f t="shared" si="54"/>
        <v/>
      </c>
      <c r="AO880" s="18" t="str">
        <f t="shared" si="55"/>
        <v/>
      </c>
      <c r="AP880" s="19"/>
      <c r="AQ880" s="20" t="str">
        <f t="shared" si="56"/>
        <v/>
      </c>
      <c r="AR880" s="21"/>
    </row>
    <row r="881" spans="2:44" ht="31.5" x14ac:dyDescent="0.5">
      <c r="B881" s="1"/>
      <c r="C881" s="15"/>
      <c r="D881" s="16"/>
      <c r="E881" s="15"/>
      <c r="F881" s="17"/>
      <c r="G881" s="8"/>
      <c r="H881" s="8"/>
      <c r="I881" s="8"/>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4" t="s">
        <v>49</v>
      </c>
      <c r="AM881" s="5" t="str">
        <f t="shared" si="53"/>
        <v/>
      </c>
      <c r="AN881" s="5" t="str">
        <f t="shared" si="54"/>
        <v/>
      </c>
      <c r="AO881" s="18" t="str">
        <f t="shared" si="55"/>
        <v/>
      </c>
      <c r="AP881" s="19"/>
      <c r="AQ881" s="20" t="str">
        <f t="shared" si="56"/>
        <v/>
      </c>
      <c r="AR881" s="21"/>
    </row>
    <row r="882" spans="2:44" ht="31.5" x14ac:dyDescent="0.5">
      <c r="B882" s="1"/>
      <c r="C882" s="15"/>
      <c r="D882" s="16"/>
      <c r="E882" s="15"/>
      <c r="F882" s="17"/>
      <c r="G882" s="8"/>
      <c r="H882" s="8"/>
      <c r="I882" s="8"/>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4" t="s">
        <v>49</v>
      </c>
      <c r="AM882" s="5" t="str">
        <f t="shared" si="53"/>
        <v/>
      </c>
      <c r="AN882" s="5" t="str">
        <f t="shared" si="54"/>
        <v/>
      </c>
      <c r="AO882" s="18" t="str">
        <f t="shared" si="55"/>
        <v/>
      </c>
      <c r="AP882" s="19"/>
      <c r="AQ882" s="20" t="str">
        <f t="shared" si="56"/>
        <v/>
      </c>
      <c r="AR882" s="21"/>
    </row>
    <row r="883" spans="2:44" ht="31.5" x14ac:dyDescent="0.5">
      <c r="B883" s="1"/>
      <c r="C883" s="15"/>
      <c r="D883" s="16"/>
      <c r="E883" s="15"/>
      <c r="F883" s="17"/>
      <c r="G883" s="8"/>
      <c r="H883" s="8"/>
      <c r="I883" s="8"/>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4" t="s">
        <v>49</v>
      </c>
      <c r="AM883" s="5" t="str">
        <f t="shared" ref="AM883:AM946" si="57">IF($B883="","",COUNTIF($G883:$AK883,"P"))</f>
        <v/>
      </c>
      <c r="AN883" s="5" t="str">
        <f t="shared" ref="AN883:AN946" si="58">IF($B883="","",COUNTIF($G883:$AK883,"AB"))</f>
        <v/>
      </c>
      <c r="AO883" s="18" t="str">
        <f t="shared" ref="AO883:AO946" si="59">IF($B883="","",SUMPRODUCT(--($G$11:$AK$11&lt;&gt;""),--($G$12:$AK$12&lt;&gt;"Sun")))</f>
        <v/>
      </c>
      <c r="AP883" s="19"/>
      <c r="AQ883" s="20" t="str">
        <f t="shared" ref="AQ883:AQ946" si="60">IF($B883="","",IF(AO883=0,"",AM883/AO883))</f>
        <v/>
      </c>
      <c r="AR883" s="21"/>
    </row>
    <row r="884" spans="2:44" ht="31.5" x14ac:dyDescent="0.5">
      <c r="B884" s="1"/>
      <c r="C884" s="15"/>
      <c r="D884" s="16"/>
      <c r="E884" s="15"/>
      <c r="F884" s="17"/>
      <c r="G884" s="8"/>
      <c r="H884" s="8"/>
      <c r="I884" s="8"/>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4" t="s">
        <v>49</v>
      </c>
      <c r="AM884" s="5" t="str">
        <f t="shared" si="57"/>
        <v/>
      </c>
      <c r="AN884" s="5" t="str">
        <f t="shared" si="58"/>
        <v/>
      </c>
      <c r="AO884" s="18" t="str">
        <f t="shared" si="59"/>
        <v/>
      </c>
      <c r="AP884" s="19"/>
      <c r="AQ884" s="20" t="str">
        <f t="shared" si="60"/>
        <v/>
      </c>
      <c r="AR884" s="21"/>
    </row>
    <row r="885" spans="2:44" ht="31.5" x14ac:dyDescent="0.5">
      <c r="B885" s="1"/>
      <c r="C885" s="15"/>
      <c r="D885" s="16"/>
      <c r="E885" s="15"/>
      <c r="F885" s="17"/>
      <c r="G885" s="8"/>
      <c r="H885" s="8"/>
      <c r="I885" s="8"/>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4" t="s">
        <v>49</v>
      </c>
      <c r="AM885" s="5" t="str">
        <f t="shared" si="57"/>
        <v/>
      </c>
      <c r="AN885" s="5" t="str">
        <f t="shared" si="58"/>
        <v/>
      </c>
      <c r="AO885" s="18" t="str">
        <f t="shared" si="59"/>
        <v/>
      </c>
      <c r="AP885" s="19"/>
      <c r="AQ885" s="20" t="str">
        <f t="shared" si="60"/>
        <v/>
      </c>
      <c r="AR885" s="21"/>
    </row>
    <row r="886" spans="2:44" ht="31.5" x14ac:dyDescent="0.5">
      <c r="B886" s="1"/>
      <c r="C886" s="15"/>
      <c r="D886" s="16"/>
      <c r="E886" s="15"/>
      <c r="F886" s="17"/>
      <c r="G886" s="8"/>
      <c r="H886" s="8"/>
      <c r="I886" s="8"/>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4" t="s">
        <v>49</v>
      </c>
      <c r="AM886" s="5" t="str">
        <f t="shared" si="57"/>
        <v/>
      </c>
      <c r="AN886" s="5" t="str">
        <f t="shared" si="58"/>
        <v/>
      </c>
      <c r="AO886" s="18" t="str">
        <f t="shared" si="59"/>
        <v/>
      </c>
      <c r="AP886" s="19"/>
      <c r="AQ886" s="20" t="str">
        <f t="shared" si="60"/>
        <v/>
      </c>
      <c r="AR886" s="21"/>
    </row>
    <row r="887" spans="2:44" ht="31.5" x14ac:dyDescent="0.5">
      <c r="B887" s="1"/>
      <c r="C887" s="15"/>
      <c r="D887" s="16"/>
      <c r="E887" s="15"/>
      <c r="F887" s="17"/>
      <c r="G887" s="8"/>
      <c r="H887" s="8"/>
      <c r="I887" s="8"/>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4" t="s">
        <v>49</v>
      </c>
      <c r="AM887" s="5" t="str">
        <f t="shared" si="57"/>
        <v/>
      </c>
      <c r="AN887" s="5" t="str">
        <f t="shared" si="58"/>
        <v/>
      </c>
      <c r="AO887" s="18" t="str">
        <f t="shared" si="59"/>
        <v/>
      </c>
      <c r="AP887" s="19"/>
      <c r="AQ887" s="20" t="str">
        <f t="shared" si="60"/>
        <v/>
      </c>
      <c r="AR887" s="21"/>
    </row>
    <row r="888" spans="2:44" ht="31.5" x14ac:dyDescent="0.5">
      <c r="B888" s="1"/>
      <c r="C888" s="15"/>
      <c r="D888" s="16"/>
      <c r="E888" s="15"/>
      <c r="F888" s="17"/>
      <c r="G888" s="8"/>
      <c r="H888" s="8"/>
      <c r="I888" s="8"/>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4" t="s">
        <v>49</v>
      </c>
      <c r="AM888" s="5" t="str">
        <f t="shared" si="57"/>
        <v/>
      </c>
      <c r="AN888" s="5" t="str">
        <f t="shared" si="58"/>
        <v/>
      </c>
      <c r="AO888" s="18" t="str">
        <f t="shared" si="59"/>
        <v/>
      </c>
      <c r="AP888" s="19"/>
      <c r="AQ888" s="20" t="str">
        <f t="shared" si="60"/>
        <v/>
      </c>
      <c r="AR888" s="21"/>
    </row>
    <row r="889" spans="2:44" ht="31.5" x14ac:dyDescent="0.5">
      <c r="B889" s="1"/>
      <c r="C889" s="15"/>
      <c r="D889" s="16"/>
      <c r="E889" s="15"/>
      <c r="F889" s="17"/>
      <c r="G889" s="8"/>
      <c r="H889" s="8"/>
      <c r="I889" s="8"/>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4" t="s">
        <v>49</v>
      </c>
      <c r="AM889" s="5" t="str">
        <f t="shared" si="57"/>
        <v/>
      </c>
      <c r="AN889" s="5" t="str">
        <f t="shared" si="58"/>
        <v/>
      </c>
      <c r="AO889" s="18" t="str">
        <f t="shared" si="59"/>
        <v/>
      </c>
      <c r="AP889" s="19"/>
      <c r="AQ889" s="20" t="str">
        <f t="shared" si="60"/>
        <v/>
      </c>
      <c r="AR889" s="21"/>
    </row>
    <row r="890" spans="2:44" ht="31.5" x14ac:dyDescent="0.5">
      <c r="B890" s="1"/>
      <c r="C890" s="15"/>
      <c r="D890" s="16"/>
      <c r="E890" s="15"/>
      <c r="F890" s="17"/>
      <c r="G890" s="8"/>
      <c r="H890" s="8"/>
      <c r="I890" s="8"/>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4" t="s">
        <v>49</v>
      </c>
      <c r="AM890" s="5" t="str">
        <f t="shared" si="57"/>
        <v/>
      </c>
      <c r="AN890" s="5" t="str">
        <f t="shared" si="58"/>
        <v/>
      </c>
      <c r="AO890" s="18" t="str">
        <f t="shared" si="59"/>
        <v/>
      </c>
      <c r="AP890" s="19"/>
      <c r="AQ890" s="20" t="str">
        <f t="shared" si="60"/>
        <v/>
      </c>
      <c r="AR890" s="21"/>
    </row>
    <row r="891" spans="2:44" ht="31.5" x14ac:dyDescent="0.5">
      <c r="B891" s="1"/>
      <c r="C891" s="15"/>
      <c r="D891" s="16"/>
      <c r="E891" s="15"/>
      <c r="F891" s="17"/>
      <c r="G891" s="8"/>
      <c r="H891" s="8"/>
      <c r="I891" s="8"/>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4" t="s">
        <v>49</v>
      </c>
      <c r="AM891" s="5" t="str">
        <f t="shared" si="57"/>
        <v/>
      </c>
      <c r="AN891" s="5" t="str">
        <f t="shared" si="58"/>
        <v/>
      </c>
      <c r="AO891" s="18" t="str">
        <f t="shared" si="59"/>
        <v/>
      </c>
      <c r="AP891" s="19"/>
      <c r="AQ891" s="20" t="str">
        <f t="shared" si="60"/>
        <v/>
      </c>
      <c r="AR891" s="21"/>
    </row>
    <row r="892" spans="2:44" ht="31.5" x14ac:dyDescent="0.5">
      <c r="B892" s="1"/>
      <c r="C892" s="15"/>
      <c r="D892" s="16"/>
      <c r="E892" s="15"/>
      <c r="F892" s="17"/>
      <c r="G892" s="8"/>
      <c r="H892" s="8"/>
      <c r="I892" s="8"/>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4" t="s">
        <v>49</v>
      </c>
      <c r="AM892" s="5" t="str">
        <f t="shared" si="57"/>
        <v/>
      </c>
      <c r="AN892" s="5" t="str">
        <f t="shared" si="58"/>
        <v/>
      </c>
      <c r="AO892" s="18" t="str">
        <f t="shared" si="59"/>
        <v/>
      </c>
      <c r="AP892" s="19"/>
      <c r="AQ892" s="20" t="str">
        <f t="shared" si="60"/>
        <v/>
      </c>
      <c r="AR892" s="21"/>
    </row>
    <row r="893" spans="2:44" ht="31.5" x14ac:dyDescent="0.5">
      <c r="B893" s="1"/>
      <c r="C893" s="15"/>
      <c r="D893" s="16"/>
      <c r="E893" s="15"/>
      <c r="F893" s="17"/>
      <c r="G893" s="8"/>
      <c r="H893" s="8"/>
      <c r="I893" s="8"/>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4" t="s">
        <v>49</v>
      </c>
      <c r="AM893" s="5" t="str">
        <f t="shared" si="57"/>
        <v/>
      </c>
      <c r="AN893" s="5" t="str">
        <f t="shared" si="58"/>
        <v/>
      </c>
      <c r="AO893" s="18" t="str">
        <f t="shared" si="59"/>
        <v/>
      </c>
      <c r="AP893" s="19"/>
      <c r="AQ893" s="20" t="str">
        <f t="shared" si="60"/>
        <v/>
      </c>
      <c r="AR893" s="21"/>
    </row>
    <row r="894" spans="2:44" ht="31.5" x14ac:dyDescent="0.5">
      <c r="B894" s="1"/>
      <c r="C894" s="15"/>
      <c r="D894" s="16"/>
      <c r="E894" s="15"/>
      <c r="F894" s="17"/>
      <c r="G894" s="8"/>
      <c r="H894" s="8"/>
      <c r="I894" s="8"/>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4" t="s">
        <v>49</v>
      </c>
      <c r="AM894" s="5" t="str">
        <f t="shared" si="57"/>
        <v/>
      </c>
      <c r="AN894" s="5" t="str">
        <f t="shared" si="58"/>
        <v/>
      </c>
      <c r="AO894" s="18" t="str">
        <f t="shared" si="59"/>
        <v/>
      </c>
      <c r="AP894" s="19"/>
      <c r="AQ894" s="20" t="str">
        <f t="shared" si="60"/>
        <v/>
      </c>
      <c r="AR894" s="21"/>
    </row>
    <row r="895" spans="2:44" ht="31.5" x14ac:dyDescent="0.5">
      <c r="B895" s="1"/>
      <c r="C895" s="15"/>
      <c r="D895" s="16"/>
      <c r="E895" s="15"/>
      <c r="F895" s="17"/>
      <c r="G895" s="8"/>
      <c r="H895" s="8"/>
      <c r="I895" s="8"/>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4" t="s">
        <v>49</v>
      </c>
      <c r="AM895" s="5" t="str">
        <f t="shared" si="57"/>
        <v/>
      </c>
      <c r="AN895" s="5" t="str">
        <f t="shared" si="58"/>
        <v/>
      </c>
      <c r="AO895" s="18" t="str">
        <f t="shared" si="59"/>
        <v/>
      </c>
      <c r="AP895" s="19"/>
      <c r="AQ895" s="20" t="str">
        <f t="shared" si="60"/>
        <v/>
      </c>
      <c r="AR895" s="21"/>
    </row>
    <row r="896" spans="2:44" ht="31.5" x14ac:dyDescent="0.5">
      <c r="B896" s="1"/>
      <c r="C896" s="15"/>
      <c r="D896" s="16"/>
      <c r="E896" s="15"/>
      <c r="F896" s="17"/>
      <c r="G896" s="8"/>
      <c r="H896" s="8"/>
      <c r="I896" s="8"/>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4" t="s">
        <v>49</v>
      </c>
      <c r="AM896" s="5" t="str">
        <f t="shared" si="57"/>
        <v/>
      </c>
      <c r="AN896" s="5" t="str">
        <f t="shared" si="58"/>
        <v/>
      </c>
      <c r="AO896" s="18" t="str">
        <f t="shared" si="59"/>
        <v/>
      </c>
      <c r="AP896" s="19"/>
      <c r="AQ896" s="20" t="str">
        <f t="shared" si="60"/>
        <v/>
      </c>
      <c r="AR896" s="21"/>
    </row>
    <row r="897" spans="2:44" ht="31.5" x14ac:dyDescent="0.5">
      <c r="B897" s="1"/>
      <c r="C897" s="15"/>
      <c r="D897" s="16"/>
      <c r="E897" s="15"/>
      <c r="F897" s="17"/>
      <c r="G897" s="8"/>
      <c r="H897" s="8"/>
      <c r="I897" s="8"/>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4" t="s">
        <v>49</v>
      </c>
      <c r="AM897" s="5" t="str">
        <f t="shared" si="57"/>
        <v/>
      </c>
      <c r="AN897" s="5" t="str">
        <f t="shared" si="58"/>
        <v/>
      </c>
      <c r="AO897" s="18" t="str">
        <f t="shared" si="59"/>
        <v/>
      </c>
      <c r="AP897" s="19"/>
      <c r="AQ897" s="20" t="str">
        <f t="shared" si="60"/>
        <v/>
      </c>
      <c r="AR897" s="21"/>
    </row>
    <row r="898" spans="2:44" ht="31.5" x14ac:dyDescent="0.5">
      <c r="B898" s="1"/>
      <c r="C898" s="15"/>
      <c r="D898" s="16"/>
      <c r="E898" s="15"/>
      <c r="F898" s="17"/>
      <c r="G898" s="8"/>
      <c r="H898" s="8"/>
      <c r="I898" s="8"/>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4" t="s">
        <v>49</v>
      </c>
      <c r="AM898" s="5" t="str">
        <f t="shared" si="57"/>
        <v/>
      </c>
      <c r="AN898" s="5" t="str">
        <f t="shared" si="58"/>
        <v/>
      </c>
      <c r="AO898" s="18" t="str">
        <f t="shared" si="59"/>
        <v/>
      </c>
      <c r="AP898" s="19"/>
      <c r="AQ898" s="20" t="str">
        <f t="shared" si="60"/>
        <v/>
      </c>
      <c r="AR898" s="21"/>
    </row>
    <row r="899" spans="2:44" ht="31.5" x14ac:dyDescent="0.5">
      <c r="B899" s="1"/>
      <c r="C899" s="15"/>
      <c r="D899" s="16"/>
      <c r="E899" s="15"/>
      <c r="F899" s="17"/>
      <c r="G899" s="8"/>
      <c r="H899" s="8"/>
      <c r="I899" s="8"/>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4" t="s">
        <v>49</v>
      </c>
      <c r="AM899" s="5" t="str">
        <f t="shared" si="57"/>
        <v/>
      </c>
      <c r="AN899" s="5" t="str">
        <f t="shared" si="58"/>
        <v/>
      </c>
      <c r="AO899" s="18" t="str">
        <f t="shared" si="59"/>
        <v/>
      </c>
      <c r="AP899" s="19"/>
      <c r="AQ899" s="20" t="str">
        <f t="shared" si="60"/>
        <v/>
      </c>
      <c r="AR899" s="21"/>
    </row>
    <row r="900" spans="2:44" ht="31.5" x14ac:dyDescent="0.5">
      <c r="B900" s="1"/>
      <c r="C900" s="15"/>
      <c r="D900" s="16"/>
      <c r="E900" s="15"/>
      <c r="F900" s="17"/>
      <c r="G900" s="8"/>
      <c r="H900" s="8"/>
      <c r="I900" s="8"/>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4" t="s">
        <v>49</v>
      </c>
      <c r="AM900" s="5" t="str">
        <f t="shared" si="57"/>
        <v/>
      </c>
      <c r="AN900" s="5" t="str">
        <f t="shared" si="58"/>
        <v/>
      </c>
      <c r="AO900" s="18" t="str">
        <f t="shared" si="59"/>
        <v/>
      </c>
      <c r="AP900" s="19"/>
      <c r="AQ900" s="20" t="str">
        <f t="shared" si="60"/>
        <v/>
      </c>
      <c r="AR900" s="21"/>
    </row>
    <row r="901" spans="2:44" ht="31.5" x14ac:dyDescent="0.5">
      <c r="B901" s="1"/>
      <c r="C901" s="15"/>
      <c r="D901" s="16"/>
      <c r="E901" s="15"/>
      <c r="F901" s="17"/>
      <c r="G901" s="8"/>
      <c r="H901" s="8"/>
      <c r="I901" s="8"/>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4" t="s">
        <v>49</v>
      </c>
      <c r="AM901" s="5" t="str">
        <f t="shared" si="57"/>
        <v/>
      </c>
      <c r="AN901" s="5" t="str">
        <f t="shared" si="58"/>
        <v/>
      </c>
      <c r="AO901" s="18" t="str">
        <f t="shared" si="59"/>
        <v/>
      </c>
      <c r="AP901" s="19"/>
      <c r="AQ901" s="20" t="str">
        <f t="shared" si="60"/>
        <v/>
      </c>
      <c r="AR901" s="21"/>
    </row>
    <row r="902" spans="2:44" ht="31.5" x14ac:dyDescent="0.5">
      <c r="B902" s="1"/>
      <c r="C902" s="15"/>
      <c r="D902" s="16"/>
      <c r="E902" s="15"/>
      <c r="F902" s="17"/>
      <c r="G902" s="8"/>
      <c r="H902" s="8"/>
      <c r="I902" s="8"/>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4" t="s">
        <v>49</v>
      </c>
      <c r="AM902" s="5" t="str">
        <f t="shared" si="57"/>
        <v/>
      </c>
      <c r="AN902" s="5" t="str">
        <f t="shared" si="58"/>
        <v/>
      </c>
      <c r="AO902" s="18" t="str">
        <f t="shared" si="59"/>
        <v/>
      </c>
      <c r="AP902" s="19"/>
      <c r="AQ902" s="20" t="str">
        <f t="shared" si="60"/>
        <v/>
      </c>
      <c r="AR902" s="21"/>
    </row>
    <row r="903" spans="2:44" ht="31.5" x14ac:dyDescent="0.5">
      <c r="B903" s="1"/>
      <c r="C903" s="15"/>
      <c r="D903" s="16"/>
      <c r="E903" s="15"/>
      <c r="F903" s="17"/>
      <c r="G903" s="8"/>
      <c r="H903" s="8"/>
      <c r="I903" s="8"/>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4" t="s">
        <v>49</v>
      </c>
      <c r="AM903" s="5" t="str">
        <f t="shared" si="57"/>
        <v/>
      </c>
      <c r="AN903" s="5" t="str">
        <f t="shared" si="58"/>
        <v/>
      </c>
      <c r="AO903" s="18" t="str">
        <f t="shared" si="59"/>
        <v/>
      </c>
      <c r="AP903" s="19"/>
      <c r="AQ903" s="20" t="str">
        <f t="shared" si="60"/>
        <v/>
      </c>
      <c r="AR903" s="21"/>
    </row>
    <row r="904" spans="2:44" ht="31.5" x14ac:dyDescent="0.5">
      <c r="B904" s="1"/>
      <c r="C904" s="15"/>
      <c r="D904" s="16"/>
      <c r="E904" s="15"/>
      <c r="F904" s="17"/>
      <c r="G904" s="8"/>
      <c r="H904" s="8"/>
      <c r="I904" s="8"/>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4" t="s">
        <v>49</v>
      </c>
      <c r="AM904" s="5" t="str">
        <f t="shared" si="57"/>
        <v/>
      </c>
      <c r="AN904" s="5" t="str">
        <f t="shared" si="58"/>
        <v/>
      </c>
      <c r="AO904" s="18" t="str">
        <f t="shared" si="59"/>
        <v/>
      </c>
      <c r="AP904" s="19"/>
      <c r="AQ904" s="20" t="str">
        <f t="shared" si="60"/>
        <v/>
      </c>
      <c r="AR904" s="21"/>
    </row>
    <row r="905" spans="2:44" ht="31.5" x14ac:dyDescent="0.5">
      <c r="B905" s="1"/>
      <c r="C905" s="15"/>
      <c r="D905" s="16"/>
      <c r="E905" s="15"/>
      <c r="F905" s="17"/>
      <c r="G905" s="8"/>
      <c r="H905" s="8"/>
      <c r="I905" s="8"/>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4" t="s">
        <v>49</v>
      </c>
      <c r="AM905" s="5" t="str">
        <f t="shared" si="57"/>
        <v/>
      </c>
      <c r="AN905" s="5" t="str">
        <f t="shared" si="58"/>
        <v/>
      </c>
      <c r="AO905" s="18" t="str">
        <f t="shared" si="59"/>
        <v/>
      </c>
      <c r="AP905" s="19"/>
      <c r="AQ905" s="20" t="str">
        <f t="shared" si="60"/>
        <v/>
      </c>
      <c r="AR905" s="21"/>
    </row>
    <row r="906" spans="2:44" ht="31.5" x14ac:dyDescent="0.5">
      <c r="B906" s="1"/>
      <c r="C906" s="15"/>
      <c r="D906" s="16"/>
      <c r="E906" s="15"/>
      <c r="F906" s="17"/>
      <c r="G906" s="8"/>
      <c r="H906" s="8"/>
      <c r="I906" s="8"/>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4" t="s">
        <v>49</v>
      </c>
      <c r="AM906" s="5" t="str">
        <f t="shared" si="57"/>
        <v/>
      </c>
      <c r="AN906" s="5" t="str">
        <f t="shared" si="58"/>
        <v/>
      </c>
      <c r="AO906" s="18" t="str">
        <f t="shared" si="59"/>
        <v/>
      </c>
      <c r="AP906" s="19"/>
      <c r="AQ906" s="20" t="str">
        <f t="shared" si="60"/>
        <v/>
      </c>
      <c r="AR906" s="21"/>
    </row>
    <row r="907" spans="2:44" ht="31.5" x14ac:dyDescent="0.5">
      <c r="B907" s="1"/>
      <c r="C907" s="15"/>
      <c r="D907" s="16"/>
      <c r="E907" s="15"/>
      <c r="F907" s="17"/>
      <c r="G907" s="8"/>
      <c r="H907" s="8"/>
      <c r="I907" s="8"/>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4" t="s">
        <v>49</v>
      </c>
      <c r="AM907" s="5" t="str">
        <f t="shared" si="57"/>
        <v/>
      </c>
      <c r="AN907" s="5" t="str">
        <f t="shared" si="58"/>
        <v/>
      </c>
      <c r="AO907" s="18" t="str">
        <f t="shared" si="59"/>
        <v/>
      </c>
      <c r="AP907" s="19"/>
      <c r="AQ907" s="20" t="str">
        <f t="shared" si="60"/>
        <v/>
      </c>
      <c r="AR907" s="21"/>
    </row>
    <row r="908" spans="2:44" ht="31.5" x14ac:dyDescent="0.5">
      <c r="B908" s="1"/>
      <c r="C908" s="15"/>
      <c r="D908" s="16"/>
      <c r="E908" s="15"/>
      <c r="F908" s="17"/>
      <c r="G908" s="8"/>
      <c r="H908" s="8"/>
      <c r="I908" s="8"/>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4" t="s">
        <v>49</v>
      </c>
      <c r="AM908" s="5" t="str">
        <f t="shared" si="57"/>
        <v/>
      </c>
      <c r="AN908" s="5" t="str">
        <f t="shared" si="58"/>
        <v/>
      </c>
      <c r="AO908" s="18" t="str">
        <f t="shared" si="59"/>
        <v/>
      </c>
      <c r="AP908" s="19"/>
      <c r="AQ908" s="20" t="str">
        <f t="shared" si="60"/>
        <v/>
      </c>
      <c r="AR908" s="21"/>
    </row>
    <row r="909" spans="2:44" ht="31.5" x14ac:dyDescent="0.5">
      <c r="B909" s="1"/>
      <c r="C909" s="15"/>
      <c r="D909" s="16"/>
      <c r="E909" s="15"/>
      <c r="F909" s="17"/>
      <c r="G909" s="8"/>
      <c r="H909" s="8"/>
      <c r="I909" s="8"/>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4" t="s">
        <v>49</v>
      </c>
      <c r="AM909" s="5" t="str">
        <f t="shared" si="57"/>
        <v/>
      </c>
      <c r="AN909" s="5" t="str">
        <f t="shared" si="58"/>
        <v/>
      </c>
      <c r="AO909" s="18" t="str">
        <f t="shared" si="59"/>
        <v/>
      </c>
      <c r="AP909" s="19"/>
      <c r="AQ909" s="20" t="str">
        <f t="shared" si="60"/>
        <v/>
      </c>
      <c r="AR909" s="21"/>
    </row>
    <row r="910" spans="2:44" ht="31.5" x14ac:dyDescent="0.5">
      <c r="B910" s="1"/>
      <c r="C910" s="15"/>
      <c r="D910" s="16"/>
      <c r="E910" s="15"/>
      <c r="F910" s="17"/>
      <c r="G910" s="8"/>
      <c r="H910" s="8"/>
      <c r="I910" s="8"/>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4" t="s">
        <v>49</v>
      </c>
      <c r="AM910" s="5" t="str">
        <f t="shared" si="57"/>
        <v/>
      </c>
      <c r="AN910" s="5" t="str">
        <f t="shared" si="58"/>
        <v/>
      </c>
      <c r="AO910" s="18" t="str">
        <f t="shared" si="59"/>
        <v/>
      </c>
      <c r="AP910" s="19"/>
      <c r="AQ910" s="20" t="str">
        <f t="shared" si="60"/>
        <v/>
      </c>
      <c r="AR910" s="21"/>
    </row>
    <row r="911" spans="2:44" ht="31.5" x14ac:dyDescent="0.5">
      <c r="B911" s="1"/>
      <c r="C911" s="15"/>
      <c r="D911" s="16"/>
      <c r="E911" s="15"/>
      <c r="F911" s="17"/>
      <c r="G911" s="8"/>
      <c r="H911" s="8"/>
      <c r="I911" s="8"/>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4" t="s">
        <v>49</v>
      </c>
      <c r="AM911" s="5" t="str">
        <f t="shared" si="57"/>
        <v/>
      </c>
      <c r="AN911" s="5" t="str">
        <f t="shared" si="58"/>
        <v/>
      </c>
      <c r="AO911" s="18" t="str">
        <f t="shared" si="59"/>
        <v/>
      </c>
      <c r="AP911" s="19"/>
      <c r="AQ911" s="20" t="str">
        <f t="shared" si="60"/>
        <v/>
      </c>
      <c r="AR911" s="21"/>
    </row>
    <row r="912" spans="2:44" ht="31.5" x14ac:dyDescent="0.5">
      <c r="B912" s="1"/>
      <c r="C912" s="15"/>
      <c r="D912" s="16"/>
      <c r="E912" s="15"/>
      <c r="F912" s="17"/>
      <c r="G912" s="8"/>
      <c r="H912" s="8"/>
      <c r="I912" s="8"/>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4" t="s">
        <v>49</v>
      </c>
      <c r="AM912" s="5" t="str">
        <f t="shared" si="57"/>
        <v/>
      </c>
      <c r="AN912" s="5" t="str">
        <f t="shared" si="58"/>
        <v/>
      </c>
      <c r="AO912" s="18" t="str">
        <f t="shared" si="59"/>
        <v/>
      </c>
      <c r="AP912" s="19"/>
      <c r="AQ912" s="20" t="str">
        <f t="shared" si="60"/>
        <v/>
      </c>
      <c r="AR912" s="21"/>
    </row>
    <row r="913" spans="2:44" ht="31.5" x14ac:dyDescent="0.5">
      <c r="B913" s="1"/>
      <c r="C913" s="15"/>
      <c r="D913" s="16"/>
      <c r="E913" s="15"/>
      <c r="F913" s="17"/>
      <c r="G913" s="8"/>
      <c r="H913" s="8"/>
      <c r="I913" s="8"/>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4" t="s">
        <v>49</v>
      </c>
      <c r="AM913" s="5" t="str">
        <f t="shared" si="57"/>
        <v/>
      </c>
      <c r="AN913" s="5" t="str">
        <f t="shared" si="58"/>
        <v/>
      </c>
      <c r="AO913" s="18" t="str">
        <f t="shared" si="59"/>
        <v/>
      </c>
      <c r="AP913" s="19"/>
      <c r="AQ913" s="20" t="str">
        <f t="shared" si="60"/>
        <v/>
      </c>
      <c r="AR913" s="21"/>
    </row>
    <row r="914" spans="2:44" ht="31.5" x14ac:dyDescent="0.5">
      <c r="B914" s="1"/>
      <c r="C914" s="15"/>
      <c r="D914" s="16"/>
      <c r="E914" s="15"/>
      <c r="F914" s="17"/>
      <c r="G914" s="8"/>
      <c r="H914" s="8"/>
      <c r="I914" s="8"/>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4" t="s">
        <v>49</v>
      </c>
      <c r="AM914" s="5" t="str">
        <f t="shared" si="57"/>
        <v/>
      </c>
      <c r="AN914" s="5" t="str">
        <f t="shared" si="58"/>
        <v/>
      </c>
      <c r="AO914" s="18" t="str">
        <f t="shared" si="59"/>
        <v/>
      </c>
      <c r="AP914" s="19"/>
      <c r="AQ914" s="20" t="str">
        <f t="shared" si="60"/>
        <v/>
      </c>
      <c r="AR914" s="21"/>
    </row>
    <row r="915" spans="2:44" ht="31.5" x14ac:dyDescent="0.5">
      <c r="B915" s="1"/>
      <c r="C915" s="15"/>
      <c r="D915" s="16"/>
      <c r="E915" s="15"/>
      <c r="F915" s="17"/>
      <c r="G915" s="8"/>
      <c r="H915" s="8"/>
      <c r="I915" s="8"/>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4" t="s">
        <v>49</v>
      </c>
      <c r="AM915" s="5" t="str">
        <f t="shared" si="57"/>
        <v/>
      </c>
      <c r="AN915" s="5" t="str">
        <f t="shared" si="58"/>
        <v/>
      </c>
      <c r="AO915" s="18" t="str">
        <f t="shared" si="59"/>
        <v/>
      </c>
      <c r="AP915" s="19"/>
      <c r="AQ915" s="20" t="str">
        <f t="shared" si="60"/>
        <v/>
      </c>
      <c r="AR915" s="21"/>
    </row>
    <row r="916" spans="2:44" ht="31.5" x14ac:dyDescent="0.5">
      <c r="B916" s="1"/>
      <c r="C916" s="15"/>
      <c r="D916" s="16"/>
      <c r="E916" s="15"/>
      <c r="F916" s="17"/>
      <c r="G916" s="8"/>
      <c r="H916" s="8"/>
      <c r="I916" s="8"/>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4" t="s">
        <v>49</v>
      </c>
      <c r="AM916" s="5" t="str">
        <f t="shared" si="57"/>
        <v/>
      </c>
      <c r="AN916" s="5" t="str">
        <f t="shared" si="58"/>
        <v/>
      </c>
      <c r="AO916" s="18" t="str">
        <f t="shared" si="59"/>
        <v/>
      </c>
      <c r="AP916" s="19"/>
      <c r="AQ916" s="20" t="str">
        <f t="shared" si="60"/>
        <v/>
      </c>
      <c r="AR916" s="21"/>
    </row>
    <row r="917" spans="2:44" ht="31.5" x14ac:dyDescent="0.5">
      <c r="B917" s="1"/>
      <c r="C917" s="15"/>
      <c r="D917" s="16"/>
      <c r="E917" s="15"/>
      <c r="F917" s="17"/>
      <c r="G917" s="8"/>
      <c r="H917" s="8"/>
      <c r="I917" s="8"/>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4" t="s">
        <v>49</v>
      </c>
      <c r="AM917" s="5" t="str">
        <f t="shared" si="57"/>
        <v/>
      </c>
      <c r="AN917" s="5" t="str">
        <f t="shared" si="58"/>
        <v/>
      </c>
      <c r="AO917" s="18" t="str">
        <f t="shared" si="59"/>
        <v/>
      </c>
      <c r="AP917" s="19"/>
      <c r="AQ917" s="20" t="str">
        <f t="shared" si="60"/>
        <v/>
      </c>
      <c r="AR917" s="21"/>
    </row>
    <row r="918" spans="2:44" ht="31.5" x14ac:dyDescent="0.5">
      <c r="B918" s="1"/>
      <c r="C918" s="15"/>
      <c r="D918" s="16"/>
      <c r="E918" s="15"/>
      <c r="F918" s="17"/>
      <c r="G918" s="8"/>
      <c r="H918" s="8"/>
      <c r="I918" s="8"/>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4" t="s">
        <v>49</v>
      </c>
      <c r="AM918" s="5" t="str">
        <f t="shared" si="57"/>
        <v/>
      </c>
      <c r="AN918" s="5" t="str">
        <f t="shared" si="58"/>
        <v/>
      </c>
      <c r="AO918" s="18" t="str">
        <f t="shared" si="59"/>
        <v/>
      </c>
      <c r="AP918" s="19"/>
      <c r="AQ918" s="20" t="str">
        <f t="shared" si="60"/>
        <v/>
      </c>
      <c r="AR918" s="21"/>
    </row>
    <row r="919" spans="2:44" ht="31.5" x14ac:dyDescent="0.5">
      <c r="B919" s="1"/>
      <c r="C919" s="15"/>
      <c r="D919" s="16"/>
      <c r="E919" s="15"/>
      <c r="F919" s="17"/>
      <c r="G919" s="8"/>
      <c r="H919" s="8"/>
      <c r="I919" s="8"/>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4" t="s">
        <v>49</v>
      </c>
      <c r="AM919" s="5" t="str">
        <f t="shared" si="57"/>
        <v/>
      </c>
      <c r="AN919" s="5" t="str">
        <f t="shared" si="58"/>
        <v/>
      </c>
      <c r="AO919" s="18" t="str">
        <f t="shared" si="59"/>
        <v/>
      </c>
      <c r="AP919" s="19"/>
      <c r="AQ919" s="20" t="str">
        <f t="shared" si="60"/>
        <v/>
      </c>
      <c r="AR919" s="21"/>
    </row>
    <row r="920" spans="2:44" ht="31.5" x14ac:dyDescent="0.5">
      <c r="B920" s="1"/>
      <c r="C920" s="15"/>
      <c r="D920" s="16"/>
      <c r="E920" s="15"/>
      <c r="F920" s="17"/>
      <c r="G920" s="8"/>
      <c r="H920" s="8"/>
      <c r="I920" s="8"/>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4" t="s">
        <v>49</v>
      </c>
      <c r="AM920" s="5" t="str">
        <f t="shared" si="57"/>
        <v/>
      </c>
      <c r="AN920" s="5" t="str">
        <f t="shared" si="58"/>
        <v/>
      </c>
      <c r="AO920" s="18" t="str">
        <f t="shared" si="59"/>
        <v/>
      </c>
      <c r="AP920" s="19"/>
      <c r="AQ920" s="20" t="str">
        <f t="shared" si="60"/>
        <v/>
      </c>
      <c r="AR920" s="21"/>
    </row>
    <row r="921" spans="2:44" ht="31.5" x14ac:dyDescent="0.5">
      <c r="B921" s="1"/>
      <c r="C921" s="15"/>
      <c r="D921" s="16"/>
      <c r="E921" s="15"/>
      <c r="F921" s="17"/>
      <c r="G921" s="8"/>
      <c r="H921" s="8"/>
      <c r="I921" s="8"/>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4" t="s">
        <v>49</v>
      </c>
      <c r="AM921" s="5" t="str">
        <f t="shared" si="57"/>
        <v/>
      </c>
      <c r="AN921" s="5" t="str">
        <f t="shared" si="58"/>
        <v/>
      </c>
      <c r="AO921" s="18" t="str">
        <f t="shared" si="59"/>
        <v/>
      </c>
      <c r="AP921" s="19"/>
      <c r="AQ921" s="20" t="str">
        <f t="shared" si="60"/>
        <v/>
      </c>
      <c r="AR921" s="21"/>
    </row>
    <row r="922" spans="2:44" ht="31.5" x14ac:dyDescent="0.5">
      <c r="B922" s="1"/>
      <c r="C922" s="15"/>
      <c r="D922" s="16"/>
      <c r="E922" s="15"/>
      <c r="F922" s="17"/>
      <c r="G922" s="8"/>
      <c r="H922" s="8"/>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4" t="s">
        <v>49</v>
      </c>
      <c r="AM922" s="5" t="str">
        <f t="shared" si="57"/>
        <v/>
      </c>
      <c r="AN922" s="5" t="str">
        <f t="shared" si="58"/>
        <v/>
      </c>
      <c r="AO922" s="18" t="str">
        <f t="shared" si="59"/>
        <v/>
      </c>
      <c r="AP922" s="19"/>
      <c r="AQ922" s="20" t="str">
        <f t="shared" si="60"/>
        <v/>
      </c>
      <c r="AR922" s="21"/>
    </row>
    <row r="923" spans="2:44" ht="31.5" x14ac:dyDescent="0.5">
      <c r="B923" s="1"/>
      <c r="C923" s="15"/>
      <c r="D923" s="16"/>
      <c r="E923" s="15"/>
      <c r="F923" s="17"/>
      <c r="G923" s="8"/>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4" t="s">
        <v>49</v>
      </c>
      <c r="AM923" s="5" t="str">
        <f t="shared" si="57"/>
        <v/>
      </c>
      <c r="AN923" s="5" t="str">
        <f t="shared" si="58"/>
        <v/>
      </c>
      <c r="AO923" s="18" t="str">
        <f t="shared" si="59"/>
        <v/>
      </c>
      <c r="AP923" s="19"/>
      <c r="AQ923" s="20" t="str">
        <f t="shared" si="60"/>
        <v/>
      </c>
      <c r="AR923" s="21"/>
    </row>
    <row r="924" spans="2:44" ht="31.5" x14ac:dyDescent="0.5">
      <c r="B924" s="1"/>
      <c r="C924" s="15"/>
      <c r="D924" s="16"/>
      <c r="E924" s="15"/>
      <c r="F924" s="17"/>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4" t="s">
        <v>49</v>
      </c>
      <c r="AM924" s="5" t="str">
        <f t="shared" si="57"/>
        <v/>
      </c>
      <c r="AN924" s="5" t="str">
        <f t="shared" si="58"/>
        <v/>
      </c>
      <c r="AO924" s="18" t="str">
        <f t="shared" si="59"/>
        <v/>
      </c>
      <c r="AP924" s="19"/>
      <c r="AQ924" s="20" t="str">
        <f t="shared" si="60"/>
        <v/>
      </c>
      <c r="AR924" s="21"/>
    </row>
    <row r="925" spans="2:44" ht="31.5" x14ac:dyDescent="0.5">
      <c r="B925" s="1"/>
      <c r="C925" s="15"/>
      <c r="D925" s="16"/>
      <c r="E925" s="15"/>
      <c r="F925" s="17"/>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4" t="s">
        <v>49</v>
      </c>
      <c r="AM925" s="5" t="str">
        <f t="shared" si="57"/>
        <v/>
      </c>
      <c r="AN925" s="5" t="str">
        <f t="shared" si="58"/>
        <v/>
      </c>
      <c r="AO925" s="18" t="str">
        <f t="shared" si="59"/>
        <v/>
      </c>
      <c r="AP925" s="19"/>
      <c r="AQ925" s="20" t="str">
        <f t="shared" si="60"/>
        <v/>
      </c>
      <c r="AR925" s="21"/>
    </row>
    <row r="926" spans="2:44" ht="31.5" x14ac:dyDescent="0.5">
      <c r="B926" s="1"/>
      <c r="C926" s="15"/>
      <c r="D926" s="16"/>
      <c r="E926" s="15"/>
      <c r="F926" s="17"/>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4" t="s">
        <v>49</v>
      </c>
      <c r="AM926" s="5" t="str">
        <f t="shared" si="57"/>
        <v/>
      </c>
      <c r="AN926" s="5" t="str">
        <f t="shared" si="58"/>
        <v/>
      </c>
      <c r="AO926" s="18" t="str">
        <f t="shared" si="59"/>
        <v/>
      </c>
      <c r="AP926" s="19"/>
      <c r="AQ926" s="20" t="str">
        <f t="shared" si="60"/>
        <v/>
      </c>
      <c r="AR926" s="21"/>
    </row>
    <row r="927" spans="2:44" ht="31.5" x14ac:dyDescent="0.5">
      <c r="B927" s="1"/>
      <c r="C927" s="15"/>
      <c r="D927" s="16"/>
      <c r="E927" s="15"/>
      <c r="F927" s="17"/>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4" t="s">
        <v>49</v>
      </c>
      <c r="AM927" s="5" t="str">
        <f t="shared" si="57"/>
        <v/>
      </c>
      <c r="AN927" s="5" t="str">
        <f t="shared" si="58"/>
        <v/>
      </c>
      <c r="AO927" s="18" t="str">
        <f t="shared" si="59"/>
        <v/>
      </c>
      <c r="AP927" s="19"/>
      <c r="AQ927" s="20" t="str">
        <f t="shared" si="60"/>
        <v/>
      </c>
      <c r="AR927" s="21"/>
    </row>
    <row r="928" spans="2:44" ht="31.5" x14ac:dyDescent="0.5">
      <c r="B928" s="1"/>
      <c r="C928" s="15"/>
      <c r="D928" s="16"/>
      <c r="E928" s="15"/>
      <c r="F928" s="17"/>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4" t="s">
        <v>49</v>
      </c>
      <c r="AM928" s="5" t="str">
        <f t="shared" si="57"/>
        <v/>
      </c>
      <c r="AN928" s="5" t="str">
        <f t="shared" si="58"/>
        <v/>
      </c>
      <c r="AO928" s="18" t="str">
        <f t="shared" si="59"/>
        <v/>
      </c>
      <c r="AP928" s="19"/>
      <c r="AQ928" s="20" t="str">
        <f t="shared" si="60"/>
        <v/>
      </c>
      <c r="AR928" s="21"/>
    </row>
    <row r="929" spans="2:44" ht="31.5" x14ac:dyDescent="0.5">
      <c r="B929" s="1"/>
      <c r="C929" s="15"/>
      <c r="D929" s="16"/>
      <c r="E929" s="15"/>
      <c r="F929" s="17"/>
      <c r="G929" s="8"/>
      <c r="H929" s="8"/>
      <c r="I929" s="8"/>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4" t="s">
        <v>49</v>
      </c>
      <c r="AM929" s="5" t="str">
        <f t="shared" si="57"/>
        <v/>
      </c>
      <c r="AN929" s="5" t="str">
        <f t="shared" si="58"/>
        <v/>
      </c>
      <c r="AO929" s="18" t="str">
        <f t="shared" si="59"/>
        <v/>
      </c>
      <c r="AP929" s="19"/>
      <c r="AQ929" s="20" t="str">
        <f t="shared" si="60"/>
        <v/>
      </c>
      <c r="AR929" s="21"/>
    </row>
    <row r="930" spans="2:44" ht="31.5" x14ac:dyDescent="0.5">
      <c r="B930" s="1"/>
      <c r="C930" s="15"/>
      <c r="D930" s="16"/>
      <c r="E930" s="15"/>
      <c r="F930" s="17"/>
      <c r="G930" s="8"/>
      <c r="H930" s="8"/>
      <c r="I930" s="8"/>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4" t="s">
        <v>49</v>
      </c>
      <c r="AM930" s="5" t="str">
        <f t="shared" si="57"/>
        <v/>
      </c>
      <c r="AN930" s="5" t="str">
        <f t="shared" si="58"/>
        <v/>
      </c>
      <c r="AO930" s="18" t="str">
        <f t="shared" si="59"/>
        <v/>
      </c>
      <c r="AP930" s="19"/>
      <c r="AQ930" s="20" t="str">
        <f t="shared" si="60"/>
        <v/>
      </c>
      <c r="AR930" s="21"/>
    </row>
    <row r="931" spans="2:44" ht="31.5" x14ac:dyDescent="0.5">
      <c r="B931" s="1"/>
      <c r="C931" s="15"/>
      <c r="D931" s="16"/>
      <c r="E931" s="15"/>
      <c r="F931" s="17"/>
      <c r="G931" s="8"/>
      <c r="H931" s="8"/>
      <c r="I931" s="8"/>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4" t="s">
        <v>49</v>
      </c>
      <c r="AM931" s="5" t="str">
        <f t="shared" si="57"/>
        <v/>
      </c>
      <c r="AN931" s="5" t="str">
        <f t="shared" si="58"/>
        <v/>
      </c>
      <c r="AO931" s="18" t="str">
        <f t="shared" si="59"/>
        <v/>
      </c>
      <c r="AP931" s="19"/>
      <c r="AQ931" s="20" t="str">
        <f t="shared" si="60"/>
        <v/>
      </c>
      <c r="AR931" s="21"/>
    </row>
    <row r="932" spans="2:44" ht="31.5" x14ac:dyDescent="0.5">
      <c r="B932" s="1"/>
      <c r="C932" s="15"/>
      <c r="D932" s="16"/>
      <c r="E932" s="15"/>
      <c r="F932" s="17"/>
      <c r="G932" s="8"/>
      <c r="H932" s="8"/>
      <c r="I932" s="8"/>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4" t="s">
        <v>49</v>
      </c>
      <c r="AM932" s="5" t="str">
        <f t="shared" si="57"/>
        <v/>
      </c>
      <c r="AN932" s="5" t="str">
        <f t="shared" si="58"/>
        <v/>
      </c>
      <c r="AO932" s="18" t="str">
        <f t="shared" si="59"/>
        <v/>
      </c>
      <c r="AP932" s="19"/>
      <c r="AQ932" s="20" t="str">
        <f t="shared" si="60"/>
        <v/>
      </c>
      <c r="AR932" s="21"/>
    </row>
    <row r="933" spans="2:44" ht="31.5" x14ac:dyDescent="0.5">
      <c r="B933" s="1"/>
      <c r="C933" s="15"/>
      <c r="D933" s="16"/>
      <c r="E933" s="15"/>
      <c r="F933" s="17"/>
      <c r="G933" s="8"/>
      <c r="H933" s="8"/>
      <c r="I933" s="8"/>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4" t="s">
        <v>49</v>
      </c>
      <c r="AM933" s="5" t="str">
        <f t="shared" si="57"/>
        <v/>
      </c>
      <c r="AN933" s="5" t="str">
        <f t="shared" si="58"/>
        <v/>
      </c>
      <c r="AO933" s="18" t="str">
        <f t="shared" si="59"/>
        <v/>
      </c>
      <c r="AP933" s="19"/>
      <c r="AQ933" s="20" t="str">
        <f t="shared" si="60"/>
        <v/>
      </c>
      <c r="AR933" s="21"/>
    </row>
    <row r="934" spans="2:44" ht="31.5" x14ac:dyDescent="0.5">
      <c r="B934" s="1"/>
      <c r="C934" s="15"/>
      <c r="D934" s="16"/>
      <c r="E934" s="15"/>
      <c r="F934" s="17"/>
      <c r="G934" s="8"/>
      <c r="H934" s="8"/>
      <c r="I934" s="8"/>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4" t="s">
        <v>49</v>
      </c>
      <c r="AM934" s="5" t="str">
        <f t="shared" si="57"/>
        <v/>
      </c>
      <c r="AN934" s="5" t="str">
        <f t="shared" si="58"/>
        <v/>
      </c>
      <c r="AO934" s="18" t="str">
        <f t="shared" si="59"/>
        <v/>
      </c>
      <c r="AP934" s="19"/>
      <c r="AQ934" s="20" t="str">
        <f t="shared" si="60"/>
        <v/>
      </c>
      <c r="AR934" s="21"/>
    </row>
    <row r="935" spans="2:44" ht="31.5" x14ac:dyDescent="0.5">
      <c r="B935" s="1"/>
      <c r="C935" s="15"/>
      <c r="D935" s="16"/>
      <c r="E935" s="15"/>
      <c r="F935" s="17"/>
      <c r="G935" s="8"/>
      <c r="H935" s="8"/>
      <c r="I935" s="8"/>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4" t="s">
        <v>49</v>
      </c>
      <c r="AM935" s="5" t="str">
        <f t="shared" si="57"/>
        <v/>
      </c>
      <c r="AN935" s="5" t="str">
        <f t="shared" si="58"/>
        <v/>
      </c>
      <c r="AO935" s="18" t="str">
        <f t="shared" si="59"/>
        <v/>
      </c>
      <c r="AP935" s="19"/>
      <c r="AQ935" s="20" t="str">
        <f t="shared" si="60"/>
        <v/>
      </c>
      <c r="AR935" s="21"/>
    </row>
    <row r="936" spans="2:44" ht="31.5" x14ac:dyDescent="0.5">
      <c r="B936" s="1"/>
      <c r="C936" s="15"/>
      <c r="D936" s="16"/>
      <c r="E936" s="15"/>
      <c r="F936" s="17"/>
      <c r="G936" s="8"/>
      <c r="H936" s="8"/>
      <c r="I936" s="8"/>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4" t="s">
        <v>49</v>
      </c>
      <c r="AM936" s="5" t="str">
        <f t="shared" si="57"/>
        <v/>
      </c>
      <c r="AN936" s="5" t="str">
        <f t="shared" si="58"/>
        <v/>
      </c>
      <c r="AO936" s="18" t="str">
        <f t="shared" si="59"/>
        <v/>
      </c>
      <c r="AP936" s="19"/>
      <c r="AQ936" s="20" t="str">
        <f t="shared" si="60"/>
        <v/>
      </c>
      <c r="AR936" s="21"/>
    </row>
    <row r="937" spans="2:44" ht="31.5" x14ac:dyDescent="0.5">
      <c r="B937" s="1"/>
      <c r="C937" s="15"/>
      <c r="D937" s="16"/>
      <c r="E937" s="15"/>
      <c r="F937" s="17"/>
      <c r="G937" s="8"/>
      <c r="H937" s="8"/>
      <c r="I937" s="8"/>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4" t="s">
        <v>49</v>
      </c>
      <c r="AM937" s="5" t="str">
        <f t="shared" si="57"/>
        <v/>
      </c>
      <c r="AN937" s="5" t="str">
        <f t="shared" si="58"/>
        <v/>
      </c>
      <c r="AO937" s="18" t="str">
        <f t="shared" si="59"/>
        <v/>
      </c>
      <c r="AP937" s="19"/>
      <c r="AQ937" s="20" t="str">
        <f t="shared" si="60"/>
        <v/>
      </c>
      <c r="AR937" s="21"/>
    </row>
    <row r="938" spans="2:44" ht="31.5" x14ac:dyDescent="0.5">
      <c r="B938" s="1"/>
      <c r="C938" s="15"/>
      <c r="D938" s="16"/>
      <c r="E938" s="15"/>
      <c r="F938" s="17"/>
      <c r="G938" s="8"/>
      <c r="H938" s="8"/>
      <c r="I938" s="8"/>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4" t="s">
        <v>49</v>
      </c>
      <c r="AM938" s="5" t="str">
        <f t="shared" si="57"/>
        <v/>
      </c>
      <c r="AN938" s="5" t="str">
        <f t="shared" si="58"/>
        <v/>
      </c>
      <c r="AO938" s="18" t="str">
        <f t="shared" si="59"/>
        <v/>
      </c>
      <c r="AP938" s="19"/>
      <c r="AQ938" s="20" t="str">
        <f t="shared" si="60"/>
        <v/>
      </c>
      <c r="AR938" s="21"/>
    </row>
    <row r="939" spans="2:44" ht="31.5" x14ac:dyDescent="0.5">
      <c r="B939" s="1"/>
      <c r="C939" s="15"/>
      <c r="D939" s="16"/>
      <c r="E939" s="15"/>
      <c r="F939" s="17"/>
      <c r="G939" s="8"/>
      <c r="H939" s="8"/>
      <c r="I939" s="8"/>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4" t="s">
        <v>49</v>
      </c>
      <c r="AM939" s="5" t="str">
        <f t="shared" si="57"/>
        <v/>
      </c>
      <c r="AN939" s="5" t="str">
        <f t="shared" si="58"/>
        <v/>
      </c>
      <c r="AO939" s="18" t="str">
        <f t="shared" si="59"/>
        <v/>
      </c>
      <c r="AP939" s="19"/>
      <c r="AQ939" s="20" t="str">
        <f t="shared" si="60"/>
        <v/>
      </c>
      <c r="AR939" s="21"/>
    </row>
    <row r="940" spans="2:44" ht="31.5" x14ac:dyDescent="0.5">
      <c r="B940" s="1"/>
      <c r="C940" s="15"/>
      <c r="D940" s="16"/>
      <c r="E940" s="15"/>
      <c r="F940" s="17"/>
      <c r="G940" s="8"/>
      <c r="H940" s="8"/>
      <c r="I940" s="8"/>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4" t="s">
        <v>49</v>
      </c>
      <c r="AM940" s="5" t="str">
        <f t="shared" si="57"/>
        <v/>
      </c>
      <c r="AN940" s="5" t="str">
        <f t="shared" si="58"/>
        <v/>
      </c>
      <c r="AO940" s="18" t="str">
        <f t="shared" si="59"/>
        <v/>
      </c>
      <c r="AP940" s="19"/>
      <c r="AQ940" s="20" t="str">
        <f t="shared" si="60"/>
        <v/>
      </c>
      <c r="AR940" s="21"/>
    </row>
    <row r="941" spans="2:44" ht="31.5" x14ac:dyDescent="0.5">
      <c r="B941" s="1"/>
      <c r="C941" s="15"/>
      <c r="D941" s="16"/>
      <c r="E941" s="15"/>
      <c r="F941" s="17"/>
      <c r="G941" s="8"/>
      <c r="H941" s="8"/>
      <c r="I941" s="8"/>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4" t="s">
        <v>49</v>
      </c>
      <c r="AM941" s="5" t="str">
        <f t="shared" si="57"/>
        <v/>
      </c>
      <c r="AN941" s="5" t="str">
        <f t="shared" si="58"/>
        <v/>
      </c>
      <c r="AO941" s="18" t="str">
        <f t="shared" si="59"/>
        <v/>
      </c>
      <c r="AP941" s="19"/>
      <c r="AQ941" s="20" t="str">
        <f t="shared" si="60"/>
        <v/>
      </c>
      <c r="AR941" s="21"/>
    </row>
    <row r="942" spans="2:44" ht="31.5" x14ac:dyDescent="0.5">
      <c r="B942" s="1"/>
      <c r="C942" s="15"/>
      <c r="D942" s="16"/>
      <c r="E942" s="15"/>
      <c r="F942" s="17"/>
      <c r="G942" s="8"/>
      <c r="H942" s="8"/>
      <c r="I942" s="8"/>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4" t="s">
        <v>49</v>
      </c>
      <c r="AM942" s="5" t="str">
        <f t="shared" si="57"/>
        <v/>
      </c>
      <c r="AN942" s="5" t="str">
        <f t="shared" si="58"/>
        <v/>
      </c>
      <c r="AO942" s="18" t="str">
        <f t="shared" si="59"/>
        <v/>
      </c>
      <c r="AP942" s="19"/>
      <c r="AQ942" s="20" t="str">
        <f t="shared" si="60"/>
        <v/>
      </c>
      <c r="AR942" s="21"/>
    </row>
    <row r="943" spans="2:44" ht="31.5" x14ac:dyDescent="0.5">
      <c r="B943" s="1"/>
      <c r="C943" s="15"/>
      <c r="D943" s="16"/>
      <c r="E943" s="15"/>
      <c r="F943" s="17"/>
      <c r="G943" s="8"/>
      <c r="H943" s="8"/>
      <c r="I943" s="8"/>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4" t="s">
        <v>49</v>
      </c>
      <c r="AM943" s="5" t="str">
        <f t="shared" si="57"/>
        <v/>
      </c>
      <c r="AN943" s="5" t="str">
        <f t="shared" si="58"/>
        <v/>
      </c>
      <c r="AO943" s="18" t="str">
        <f t="shared" si="59"/>
        <v/>
      </c>
      <c r="AP943" s="19"/>
      <c r="AQ943" s="20" t="str">
        <f t="shared" si="60"/>
        <v/>
      </c>
      <c r="AR943" s="21"/>
    </row>
    <row r="944" spans="2:44" ht="31.5" x14ac:dyDescent="0.5">
      <c r="B944" s="1"/>
      <c r="C944" s="15"/>
      <c r="D944" s="16"/>
      <c r="E944" s="15"/>
      <c r="F944" s="17"/>
      <c r="G944" s="8"/>
      <c r="H944" s="8"/>
      <c r="I944" s="8"/>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4" t="s">
        <v>49</v>
      </c>
      <c r="AM944" s="5" t="str">
        <f t="shared" si="57"/>
        <v/>
      </c>
      <c r="AN944" s="5" t="str">
        <f t="shared" si="58"/>
        <v/>
      </c>
      <c r="AO944" s="18" t="str">
        <f t="shared" si="59"/>
        <v/>
      </c>
      <c r="AP944" s="19"/>
      <c r="AQ944" s="20" t="str">
        <f t="shared" si="60"/>
        <v/>
      </c>
      <c r="AR944" s="21"/>
    </row>
    <row r="945" spans="2:44" ht="31.5" x14ac:dyDescent="0.5">
      <c r="B945" s="1"/>
      <c r="C945" s="15"/>
      <c r="D945" s="16"/>
      <c r="E945" s="15"/>
      <c r="F945" s="17"/>
      <c r="G945" s="8"/>
      <c r="H945" s="8"/>
      <c r="I945" s="8"/>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4" t="s">
        <v>49</v>
      </c>
      <c r="AM945" s="5" t="str">
        <f t="shared" si="57"/>
        <v/>
      </c>
      <c r="AN945" s="5" t="str">
        <f t="shared" si="58"/>
        <v/>
      </c>
      <c r="AO945" s="18" t="str">
        <f t="shared" si="59"/>
        <v/>
      </c>
      <c r="AP945" s="19"/>
      <c r="AQ945" s="20" t="str">
        <f t="shared" si="60"/>
        <v/>
      </c>
      <c r="AR945" s="21"/>
    </row>
    <row r="946" spans="2:44" ht="31.5" x14ac:dyDescent="0.5">
      <c r="B946" s="1"/>
      <c r="C946" s="15"/>
      <c r="D946" s="16"/>
      <c r="E946" s="15"/>
      <c r="F946" s="17"/>
      <c r="G946" s="8"/>
      <c r="H946" s="8"/>
      <c r="I946" s="8"/>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4" t="s">
        <v>49</v>
      </c>
      <c r="AM946" s="5" t="str">
        <f t="shared" si="57"/>
        <v/>
      </c>
      <c r="AN946" s="5" t="str">
        <f t="shared" si="58"/>
        <v/>
      </c>
      <c r="AO946" s="18" t="str">
        <f t="shared" si="59"/>
        <v/>
      </c>
      <c r="AP946" s="19"/>
      <c r="AQ946" s="20" t="str">
        <f t="shared" si="60"/>
        <v/>
      </c>
      <c r="AR946" s="21"/>
    </row>
    <row r="947" spans="2:44" ht="31.5" x14ac:dyDescent="0.5">
      <c r="B947" s="1"/>
      <c r="C947" s="15"/>
      <c r="D947" s="16"/>
      <c r="E947" s="15"/>
      <c r="F947" s="17"/>
      <c r="G947" s="8"/>
      <c r="H947" s="8"/>
      <c r="I947" s="8"/>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4" t="s">
        <v>49</v>
      </c>
      <c r="AM947" s="5" t="str">
        <f t="shared" ref="AM947:AM1010" si="61">IF($B947="","",COUNTIF($G947:$AK947,"P"))</f>
        <v/>
      </c>
      <c r="AN947" s="5" t="str">
        <f t="shared" ref="AN947:AN1010" si="62">IF($B947="","",COUNTIF($G947:$AK947,"AB"))</f>
        <v/>
      </c>
      <c r="AO947" s="18" t="str">
        <f t="shared" ref="AO947:AO1010" si="63">IF($B947="","",SUMPRODUCT(--($G$11:$AK$11&lt;&gt;""),--($G$12:$AK$12&lt;&gt;"Sun")))</f>
        <v/>
      </c>
      <c r="AP947" s="19"/>
      <c r="AQ947" s="20" t="str">
        <f t="shared" ref="AQ947:AQ1010" si="64">IF($B947="","",IF(AO947=0,"",AM947/AO947))</f>
        <v/>
      </c>
      <c r="AR947" s="21"/>
    </row>
    <row r="948" spans="2:44" ht="31.5" x14ac:dyDescent="0.5">
      <c r="B948" s="1"/>
      <c r="C948" s="15"/>
      <c r="D948" s="16"/>
      <c r="E948" s="15"/>
      <c r="F948" s="17"/>
      <c r="G948" s="8"/>
      <c r="H948" s="8"/>
      <c r="I948" s="8"/>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4" t="s">
        <v>49</v>
      </c>
      <c r="AM948" s="5" t="str">
        <f t="shared" si="61"/>
        <v/>
      </c>
      <c r="AN948" s="5" t="str">
        <f t="shared" si="62"/>
        <v/>
      </c>
      <c r="AO948" s="18" t="str">
        <f t="shared" si="63"/>
        <v/>
      </c>
      <c r="AP948" s="19"/>
      <c r="AQ948" s="20" t="str">
        <f t="shared" si="64"/>
        <v/>
      </c>
      <c r="AR948" s="21"/>
    </row>
    <row r="949" spans="2:44" ht="31.5" x14ac:dyDescent="0.5">
      <c r="B949" s="1"/>
      <c r="C949" s="15"/>
      <c r="D949" s="16"/>
      <c r="E949" s="15"/>
      <c r="F949" s="17"/>
      <c r="G949" s="8"/>
      <c r="H949" s="8"/>
      <c r="I949" s="8"/>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4" t="s">
        <v>49</v>
      </c>
      <c r="AM949" s="5" t="str">
        <f t="shared" si="61"/>
        <v/>
      </c>
      <c r="AN949" s="5" t="str">
        <f t="shared" si="62"/>
        <v/>
      </c>
      <c r="AO949" s="18" t="str">
        <f t="shared" si="63"/>
        <v/>
      </c>
      <c r="AP949" s="19"/>
      <c r="AQ949" s="20" t="str">
        <f t="shared" si="64"/>
        <v/>
      </c>
      <c r="AR949" s="21"/>
    </row>
    <row r="950" spans="2:44" ht="31.5" x14ac:dyDescent="0.5">
      <c r="B950" s="1"/>
      <c r="C950" s="15"/>
      <c r="D950" s="16"/>
      <c r="E950" s="15"/>
      <c r="F950" s="17"/>
      <c r="G950" s="8"/>
      <c r="H950" s="8"/>
      <c r="I950" s="8"/>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4" t="s">
        <v>49</v>
      </c>
      <c r="AM950" s="5" t="str">
        <f t="shared" si="61"/>
        <v/>
      </c>
      <c r="AN950" s="5" t="str">
        <f t="shared" si="62"/>
        <v/>
      </c>
      <c r="AO950" s="18" t="str">
        <f t="shared" si="63"/>
        <v/>
      </c>
      <c r="AP950" s="19"/>
      <c r="AQ950" s="20" t="str">
        <f t="shared" si="64"/>
        <v/>
      </c>
      <c r="AR950" s="21"/>
    </row>
    <row r="951" spans="2:44" ht="31.5" x14ac:dyDescent="0.5">
      <c r="B951" s="1"/>
      <c r="C951" s="15"/>
      <c r="D951" s="16"/>
      <c r="E951" s="15"/>
      <c r="F951" s="17"/>
      <c r="G951" s="8"/>
      <c r="H951" s="8"/>
      <c r="I951" s="8"/>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4" t="s">
        <v>49</v>
      </c>
      <c r="AM951" s="5" t="str">
        <f t="shared" si="61"/>
        <v/>
      </c>
      <c r="AN951" s="5" t="str">
        <f t="shared" si="62"/>
        <v/>
      </c>
      <c r="AO951" s="18" t="str">
        <f t="shared" si="63"/>
        <v/>
      </c>
      <c r="AP951" s="19"/>
      <c r="AQ951" s="20" t="str">
        <f t="shared" si="64"/>
        <v/>
      </c>
      <c r="AR951" s="21"/>
    </row>
    <row r="952" spans="2:44" ht="31.5" x14ac:dyDescent="0.5">
      <c r="B952" s="1"/>
      <c r="C952" s="15"/>
      <c r="D952" s="16"/>
      <c r="E952" s="15"/>
      <c r="F952" s="17"/>
      <c r="G952" s="8"/>
      <c r="H952" s="8"/>
      <c r="I952" s="8"/>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4" t="s">
        <v>49</v>
      </c>
      <c r="AM952" s="5" t="str">
        <f t="shared" si="61"/>
        <v/>
      </c>
      <c r="AN952" s="5" t="str">
        <f t="shared" si="62"/>
        <v/>
      </c>
      <c r="AO952" s="18" t="str">
        <f t="shared" si="63"/>
        <v/>
      </c>
      <c r="AP952" s="19"/>
      <c r="AQ952" s="20" t="str">
        <f t="shared" si="64"/>
        <v/>
      </c>
      <c r="AR952" s="21"/>
    </row>
    <row r="953" spans="2:44" ht="31.5" x14ac:dyDescent="0.5">
      <c r="B953" s="1"/>
      <c r="C953" s="15"/>
      <c r="D953" s="16"/>
      <c r="E953" s="15"/>
      <c r="F953" s="17"/>
      <c r="G953" s="8"/>
      <c r="H953" s="8"/>
      <c r="I953" s="8"/>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4" t="s">
        <v>49</v>
      </c>
      <c r="AM953" s="5" t="str">
        <f t="shared" si="61"/>
        <v/>
      </c>
      <c r="AN953" s="5" t="str">
        <f t="shared" si="62"/>
        <v/>
      </c>
      <c r="AO953" s="18" t="str">
        <f t="shared" si="63"/>
        <v/>
      </c>
      <c r="AP953" s="19"/>
      <c r="AQ953" s="20" t="str">
        <f t="shared" si="64"/>
        <v/>
      </c>
      <c r="AR953" s="21"/>
    </row>
    <row r="954" spans="2:44" ht="31.5" x14ac:dyDescent="0.5">
      <c r="B954" s="1"/>
      <c r="C954" s="15"/>
      <c r="D954" s="16"/>
      <c r="E954" s="15"/>
      <c r="F954" s="17"/>
      <c r="G954" s="8"/>
      <c r="H954" s="8"/>
      <c r="I954" s="8"/>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4" t="s">
        <v>49</v>
      </c>
      <c r="AM954" s="5" t="str">
        <f t="shared" si="61"/>
        <v/>
      </c>
      <c r="AN954" s="5" t="str">
        <f t="shared" si="62"/>
        <v/>
      </c>
      <c r="AO954" s="18" t="str">
        <f t="shared" si="63"/>
        <v/>
      </c>
      <c r="AP954" s="19"/>
      <c r="AQ954" s="20" t="str">
        <f t="shared" si="64"/>
        <v/>
      </c>
      <c r="AR954" s="21"/>
    </row>
    <row r="955" spans="2:44" ht="31.5" x14ac:dyDescent="0.5">
      <c r="B955" s="1"/>
      <c r="C955" s="15"/>
      <c r="D955" s="16"/>
      <c r="E955" s="15"/>
      <c r="F955" s="17"/>
      <c r="G955" s="8"/>
      <c r="H955" s="8"/>
      <c r="I955" s="8"/>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4" t="s">
        <v>49</v>
      </c>
      <c r="AM955" s="5" t="str">
        <f t="shared" si="61"/>
        <v/>
      </c>
      <c r="AN955" s="5" t="str">
        <f t="shared" si="62"/>
        <v/>
      </c>
      <c r="AO955" s="18" t="str">
        <f t="shared" si="63"/>
        <v/>
      </c>
      <c r="AP955" s="19"/>
      <c r="AQ955" s="20" t="str">
        <f t="shared" si="64"/>
        <v/>
      </c>
      <c r="AR955" s="21"/>
    </row>
    <row r="956" spans="2:44" ht="31.5" x14ac:dyDescent="0.5">
      <c r="B956" s="1"/>
      <c r="C956" s="15"/>
      <c r="D956" s="16"/>
      <c r="E956" s="15"/>
      <c r="F956" s="17"/>
      <c r="G956" s="8"/>
      <c r="H956" s="8"/>
      <c r="I956" s="8"/>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4" t="s">
        <v>49</v>
      </c>
      <c r="AM956" s="5" t="str">
        <f t="shared" si="61"/>
        <v/>
      </c>
      <c r="AN956" s="5" t="str">
        <f t="shared" si="62"/>
        <v/>
      </c>
      <c r="AO956" s="18" t="str">
        <f t="shared" si="63"/>
        <v/>
      </c>
      <c r="AP956" s="19"/>
      <c r="AQ956" s="20" t="str">
        <f t="shared" si="64"/>
        <v/>
      </c>
      <c r="AR956" s="21"/>
    </row>
    <row r="957" spans="2:44" ht="31.5" x14ac:dyDescent="0.5">
      <c r="B957" s="1"/>
      <c r="C957" s="15"/>
      <c r="D957" s="16"/>
      <c r="E957" s="15"/>
      <c r="F957" s="17"/>
      <c r="G957" s="8"/>
      <c r="H957" s="8"/>
      <c r="I957" s="8"/>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4" t="s">
        <v>49</v>
      </c>
      <c r="AM957" s="5" t="str">
        <f t="shared" si="61"/>
        <v/>
      </c>
      <c r="AN957" s="5" t="str">
        <f t="shared" si="62"/>
        <v/>
      </c>
      <c r="AO957" s="18" t="str">
        <f t="shared" si="63"/>
        <v/>
      </c>
      <c r="AP957" s="19"/>
      <c r="AQ957" s="20" t="str">
        <f t="shared" si="64"/>
        <v/>
      </c>
      <c r="AR957" s="21"/>
    </row>
    <row r="958" spans="2:44" ht="31.5" x14ac:dyDescent="0.5">
      <c r="B958" s="1"/>
      <c r="C958" s="15"/>
      <c r="D958" s="16"/>
      <c r="E958" s="15"/>
      <c r="F958" s="17"/>
      <c r="G958" s="8"/>
      <c r="H958" s="8"/>
      <c r="I958" s="8"/>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4" t="s">
        <v>49</v>
      </c>
      <c r="AM958" s="5" t="str">
        <f t="shared" si="61"/>
        <v/>
      </c>
      <c r="AN958" s="5" t="str">
        <f t="shared" si="62"/>
        <v/>
      </c>
      <c r="AO958" s="18" t="str">
        <f t="shared" si="63"/>
        <v/>
      </c>
      <c r="AP958" s="19"/>
      <c r="AQ958" s="20" t="str">
        <f t="shared" si="64"/>
        <v/>
      </c>
      <c r="AR958" s="21"/>
    </row>
    <row r="959" spans="2:44" ht="31.5" x14ac:dyDescent="0.5">
      <c r="B959" s="1"/>
      <c r="C959" s="15"/>
      <c r="D959" s="16"/>
      <c r="E959" s="15"/>
      <c r="F959" s="17"/>
      <c r="G959" s="8"/>
      <c r="H959" s="8"/>
      <c r="I959" s="8"/>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4" t="s">
        <v>49</v>
      </c>
      <c r="AM959" s="5" t="str">
        <f t="shared" si="61"/>
        <v/>
      </c>
      <c r="AN959" s="5" t="str">
        <f t="shared" si="62"/>
        <v/>
      </c>
      <c r="AO959" s="18" t="str">
        <f t="shared" si="63"/>
        <v/>
      </c>
      <c r="AP959" s="19"/>
      <c r="AQ959" s="20" t="str">
        <f t="shared" si="64"/>
        <v/>
      </c>
      <c r="AR959" s="21"/>
    </row>
    <row r="960" spans="2:44" ht="31.5" x14ac:dyDescent="0.5">
      <c r="B960" s="1"/>
      <c r="C960" s="15"/>
      <c r="D960" s="16"/>
      <c r="E960" s="15"/>
      <c r="F960" s="17"/>
      <c r="G960" s="8"/>
      <c r="H960" s="8"/>
      <c r="I960" s="8"/>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4" t="s">
        <v>49</v>
      </c>
      <c r="AM960" s="5" t="str">
        <f t="shared" si="61"/>
        <v/>
      </c>
      <c r="AN960" s="5" t="str">
        <f t="shared" si="62"/>
        <v/>
      </c>
      <c r="AO960" s="18" t="str">
        <f t="shared" si="63"/>
        <v/>
      </c>
      <c r="AP960" s="19"/>
      <c r="AQ960" s="20" t="str">
        <f t="shared" si="64"/>
        <v/>
      </c>
      <c r="AR960" s="21"/>
    </row>
    <row r="961" spans="2:44" ht="31.5" x14ac:dyDescent="0.5">
      <c r="B961" s="1"/>
      <c r="C961" s="15"/>
      <c r="D961" s="16"/>
      <c r="E961" s="15"/>
      <c r="F961" s="17"/>
      <c r="G961" s="8"/>
      <c r="H961" s="8"/>
      <c r="I961" s="8"/>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4" t="s">
        <v>49</v>
      </c>
      <c r="AM961" s="5" t="str">
        <f t="shared" si="61"/>
        <v/>
      </c>
      <c r="AN961" s="5" t="str">
        <f t="shared" si="62"/>
        <v/>
      </c>
      <c r="AO961" s="18" t="str">
        <f t="shared" si="63"/>
        <v/>
      </c>
      <c r="AP961" s="19"/>
      <c r="AQ961" s="20" t="str">
        <f t="shared" si="64"/>
        <v/>
      </c>
      <c r="AR961" s="21"/>
    </row>
    <row r="962" spans="2:44" ht="31.5" x14ac:dyDescent="0.5">
      <c r="B962" s="1"/>
      <c r="C962" s="15"/>
      <c r="D962" s="16"/>
      <c r="E962" s="15"/>
      <c r="F962" s="17"/>
      <c r="G962" s="8"/>
      <c r="H962" s="8"/>
      <c r="I962" s="8"/>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4" t="s">
        <v>49</v>
      </c>
      <c r="AM962" s="5" t="str">
        <f t="shared" si="61"/>
        <v/>
      </c>
      <c r="AN962" s="5" t="str">
        <f t="shared" si="62"/>
        <v/>
      </c>
      <c r="AO962" s="18" t="str">
        <f t="shared" si="63"/>
        <v/>
      </c>
      <c r="AP962" s="19"/>
      <c r="AQ962" s="20" t="str">
        <f t="shared" si="64"/>
        <v/>
      </c>
      <c r="AR962" s="21"/>
    </row>
    <row r="963" spans="2:44" ht="31.5" x14ac:dyDescent="0.5">
      <c r="B963" s="1"/>
      <c r="C963" s="15"/>
      <c r="D963" s="16"/>
      <c r="E963" s="15"/>
      <c r="F963" s="17"/>
      <c r="G963" s="8"/>
      <c r="H963" s="8"/>
      <c r="I963" s="8"/>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4" t="s">
        <v>49</v>
      </c>
      <c r="AM963" s="5" t="str">
        <f t="shared" si="61"/>
        <v/>
      </c>
      <c r="AN963" s="5" t="str">
        <f t="shared" si="62"/>
        <v/>
      </c>
      <c r="AO963" s="18" t="str">
        <f t="shared" si="63"/>
        <v/>
      </c>
      <c r="AP963" s="19"/>
      <c r="AQ963" s="20" t="str">
        <f t="shared" si="64"/>
        <v/>
      </c>
      <c r="AR963" s="21"/>
    </row>
    <row r="964" spans="2:44" ht="31.5" x14ac:dyDescent="0.5">
      <c r="B964" s="1"/>
      <c r="C964" s="15"/>
      <c r="D964" s="16"/>
      <c r="E964" s="15"/>
      <c r="F964" s="17"/>
      <c r="G964" s="8"/>
      <c r="H964" s="8"/>
      <c r="I964" s="8"/>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4" t="s">
        <v>49</v>
      </c>
      <c r="AM964" s="5" t="str">
        <f t="shared" si="61"/>
        <v/>
      </c>
      <c r="AN964" s="5" t="str">
        <f t="shared" si="62"/>
        <v/>
      </c>
      <c r="AO964" s="18" t="str">
        <f t="shared" si="63"/>
        <v/>
      </c>
      <c r="AP964" s="19"/>
      <c r="AQ964" s="20" t="str">
        <f t="shared" si="64"/>
        <v/>
      </c>
      <c r="AR964" s="21"/>
    </row>
    <row r="965" spans="2:44" ht="31.5" x14ac:dyDescent="0.5">
      <c r="B965" s="1"/>
      <c r="C965" s="15"/>
      <c r="D965" s="16"/>
      <c r="E965" s="15"/>
      <c r="F965" s="17"/>
      <c r="G965" s="8"/>
      <c r="H965" s="8"/>
      <c r="I965" s="8"/>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4" t="s">
        <v>49</v>
      </c>
      <c r="AM965" s="5" t="str">
        <f t="shared" si="61"/>
        <v/>
      </c>
      <c r="AN965" s="5" t="str">
        <f t="shared" si="62"/>
        <v/>
      </c>
      <c r="AO965" s="18" t="str">
        <f t="shared" si="63"/>
        <v/>
      </c>
      <c r="AP965" s="19"/>
      <c r="AQ965" s="20" t="str">
        <f t="shared" si="64"/>
        <v/>
      </c>
      <c r="AR965" s="21"/>
    </row>
    <row r="966" spans="2:44" ht="31.5" x14ac:dyDescent="0.5">
      <c r="B966" s="1"/>
      <c r="C966" s="15"/>
      <c r="D966" s="16"/>
      <c r="E966" s="15"/>
      <c r="F966" s="17"/>
      <c r="G966" s="8"/>
      <c r="H966" s="8"/>
      <c r="I966" s="8"/>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4" t="s">
        <v>49</v>
      </c>
      <c r="AM966" s="5" t="str">
        <f t="shared" si="61"/>
        <v/>
      </c>
      <c r="AN966" s="5" t="str">
        <f t="shared" si="62"/>
        <v/>
      </c>
      <c r="AO966" s="18" t="str">
        <f t="shared" si="63"/>
        <v/>
      </c>
      <c r="AP966" s="19"/>
      <c r="AQ966" s="20" t="str">
        <f t="shared" si="64"/>
        <v/>
      </c>
      <c r="AR966" s="21"/>
    </row>
    <row r="967" spans="2:44" ht="31.5" x14ac:dyDescent="0.5">
      <c r="B967" s="1"/>
      <c r="C967" s="15"/>
      <c r="D967" s="16"/>
      <c r="E967" s="15"/>
      <c r="F967" s="17"/>
      <c r="G967" s="8"/>
      <c r="H967" s="8"/>
      <c r="I967" s="8"/>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4" t="s">
        <v>49</v>
      </c>
      <c r="AM967" s="5" t="str">
        <f t="shared" si="61"/>
        <v/>
      </c>
      <c r="AN967" s="5" t="str">
        <f t="shared" si="62"/>
        <v/>
      </c>
      <c r="AO967" s="18" t="str">
        <f t="shared" si="63"/>
        <v/>
      </c>
      <c r="AP967" s="19"/>
      <c r="AQ967" s="20" t="str">
        <f t="shared" si="64"/>
        <v/>
      </c>
      <c r="AR967" s="21"/>
    </row>
    <row r="968" spans="2:44" ht="31.5" x14ac:dyDescent="0.5">
      <c r="B968" s="1"/>
      <c r="C968" s="15"/>
      <c r="D968" s="16"/>
      <c r="E968" s="15"/>
      <c r="F968" s="17"/>
      <c r="G968" s="8"/>
      <c r="H968" s="8"/>
      <c r="I968" s="8"/>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4" t="s">
        <v>49</v>
      </c>
      <c r="AM968" s="5" t="str">
        <f t="shared" si="61"/>
        <v/>
      </c>
      <c r="AN968" s="5" t="str">
        <f t="shared" si="62"/>
        <v/>
      </c>
      <c r="AO968" s="18" t="str">
        <f t="shared" si="63"/>
        <v/>
      </c>
      <c r="AP968" s="19"/>
      <c r="AQ968" s="20" t="str">
        <f t="shared" si="64"/>
        <v/>
      </c>
      <c r="AR968" s="21"/>
    </row>
    <row r="969" spans="2:44" ht="31.5" x14ac:dyDescent="0.5">
      <c r="B969" s="1"/>
      <c r="C969" s="15"/>
      <c r="D969" s="16"/>
      <c r="E969" s="15"/>
      <c r="F969" s="17"/>
      <c r="G969" s="8"/>
      <c r="H969" s="8"/>
      <c r="I969" s="8"/>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4" t="s">
        <v>49</v>
      </c>
      <c r="AM969" s="5" t="str">
        <f t="shared" si="61"/>
        <v/>
      </c>
      <c r="AN969" s="5" t="str">
        <f t="shared" si="62"/>
        <v/>
      </c>
      <c r="AO969" s="18" t="str">
        <f t="shared" si="63"/>
        <v/>
      </c>
      <c r="AP969" s="19"/>
      <c r="AQ969" s="20" t="str">
        <f t="shared" si="64"/>
        <v/>
      </c>
      <c r="AR969" s="21"/>
    </row>
    <row r="970" spans="2:44" ht="31.5" x14ac:dyDescent="0.5">
      <c r="B970" s="1"/>
      <c r="C970" s="15"/>
      <c r="D970" s="16"/>
      <c r="E970" s="15"/>
      <c r="F970" s="17"/>
      <c r="G970" s="8"/>
      <c r="H970" s="8"/>
      <c r="I970" s="8"/>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4" t="s">
        <v>49</v>
      </c>
      <c r="AM970" s="5" t="str">
        <f t="shared" si="61"/>
        <v/>
      </c>
      <c r="AN970" s="5" t="str">
        <f t="shared" si="62"/>
        <v/>
      </c>
      <c r="AO970" s="18" t="str">
        <f t="shared" si="63"/>
        <v/>
      </c>
      <c r="AP970" s="19"/>
      <c r="AQ970" s="20" t="str">
        <f t="shared" si="64"/>
        <v/>
      </c>
      <c r="AR970" s="21"/>
    </row>
    <row r="971" spans="2:44" ht="31.5" x14ac:dyDescent="0.5">
      <c r="B971" s="1"/>
      <c r="C971" s="15"/>
      <c r="D971" s="16"/>
      <c r="E971" s="15"/>
      <c r="F971" s="17"/>
      <c r="G971" s="8"/>
      <c r="H971" s="8"/>
      <c r="I971" s="8"/>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4" t="s">
        <v>49</v>
      </c>
      <c r="AM971" s="5" t="str">
        <f t="shared" si="61"/>
        <v/>
      </c>
      <c r="AN971" s="5" t="str">
        <f t="shared" si="62"/>
        <v/>
      </c>
      <c r="AO971" s="18" t="str">
        <f t="shared" si="63"/>
        <v/>
      </c>
      <c r="AP971" s="19"/>
      <c r="AQ971" s="20" t="str">
        <f t="shared" si="64"/>
        <v/>
      </c>
      <c r="AR971" s="21"/>
    </row>
    <row r="972" spans="2:44" ht="31.5" x14ac:dyDescent="0.5">
      <c r="B972" s="1"/>
      <c r="C972" s="15"/>
      <c r="D972" s="16"/>
      <c r="E972" s="15"/>
      <c r="F972" s="17"/>
      <c r="G972" s="8"/>
      <c r="H972" s="8"/>
      <c r="I972" s="8"/>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4" t="s">
        <v>49</v>
      </c>
      <c r="AM972" s="5" t="str">
        <f t="shared" si="61"/>
        <v/>
      </c>
      <c r="AN972" s="5" t="str">
        <f t="shared" si="62"/>
        <v/>
      </c>
      <c r="AO972" s="18" t="str">
        <f t="shared" si="63"/>
        <v/>
      </c>
      <c r="AP972" s="19"/>
      <c r="AQ972" s="20" t="str">
        <f t="shared" si="64"/>
        <v/>
      </c>
      <c r="AR972" s="21"/>
    </row>
    <row r="973" spans="2:44" ht="31.5" x14ac:dyDescent="0.5">
      <c r="B973" s="1"/>
      <c r="C973" s="15"/>
      <c r="D973" s="16"/>
      <c r="E973" s="15"/>
      <c r="F973" s="17"/>
      <c r="G973" s="8"/>
      <c r="H973" s="8"/>
      <c r="I973" s="8"/>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4" t="s">
        <v>49</v>
      </c>
      <c r="AM973" s="5" t="str">
        <f t="shared" si="61"/>
        <v/>
      </c>
      <c r="AN973" s="5" t="str">
        <f t="shared" si="62"/>
        <v/>
      </c>
      <c r="AO973" s="18" t="str">
        <f t="shared" si="63"/>
        <v/>
      </c>
      <c r="AP973" s="19"/>
      <c r="AQ973" s="20" t="str">
        <f t="shared" si="64"/>
        <v/>
      </c>
      <c r="AR973" s="21"/>
    </row>
    <row r="974" spans="2:44" ht="31.5" x14ac:dyDescent="0.5">
      <c r="B974" s="1"/>
      <c r="C974" s="15"/>
      <c r="D974" s="16"/>
      <c r="E974" s="15"/>
      <c r="F974" s="17"/>
      <c r="G974" s="8"/>
      <c r="H974" s="8"/>
      <c r="I974" s="8"/>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4" t="s">
        <v>49</v>
      </c>
      <c r="AM974" s="5" t="str">
        <f t="shared" si="61"/>
        <v/>
      </c>
      <c r="AN974" s="5" t="str">
        <f t="shared" si="62"/>
        <v/>
      </c>
      <c r="AO974" s="18" t="str">
        <f t="shared" si="63"/>
        <v/>
      </c>
      <c r="AP974" s="19"/>
      <c r="AQ974" s="20" t="str">
        <f t="shared" si="64"/>
        <v/>
      </c>
      <c r="AR974" s="21"/>
    </row>
    <row r="975" spans="2:44" ht="31.5" x14ac:dyDescent="0.5">
      <c r="B975" s="1"/>
      <c r="C975" s="15"/>
      <c r="D975" s="16"/>
      <c r="E975" s="15"/>
      <c r="F975" s="17"/>
      <c r="G975" s="8"/>
      <c r="H975" s="8"/>
      <c r="I975" s="8"/>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4" t="s">
        <v>49</v>
      </c>
      <c r="AM975" s="5" t="str">
        <f t="shared" si="61"/>
        <v/>
      </c>
      <c r="AN975" s="5" t="str">
        <f t="shared" si="62"/>
        <v/>
      </c>
      <c r="AO975" s="18" t="str">
        <f t="shared" si="63"/>
        <v/>
      </c>
      <c r="AP975" s="19"/>
      <c r="AQ975" s="20" t="str">
        <f t="shared" si="64"/>
        <v/>
      </c>
      <c r="AR975" s="21"/>
    </row>
    <row r="976" spans="2:44" ht="31.5" x14ac:dyDescent="0.5">
      <c r="B976" s="1"/>
      <c r="C976" s="15"/>
      <c r="D976" s="16"/>
      <c r="E976" s="15"/>
      <c r="F976" s="17"/>
      <c r="G976" s="8"/>
      <c r="H976" s="8"/>
      <c r="I976" s="8"/>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4" t="s">
        <v>49</v>
      </c>
      <c r="AM976" s="5" t="str">
        <f t="shared" si="61"/>
        <v/>
      </c>
      <c r="AN976" s="5" t="str">
        <f t="shared" si="62"/>
        <v/>
      </c>
      <c r="AO976" s="18" t="str">
        <f t="shared" si="63"/>
        <v/>
      </c>
      <c r="AP976" s="19"/>
      <c r="AQ976" s="20" t="str">
        <f t="shared" si="64"/>
        <v/>
      </c>
      <c r="AR976" s="21"/>
    </row>
    <row r="977" spans="2:44" ht="31.5" x14ac:dyDescent="0.5">
      <c r="B977" s="1"/>
      <c r="C977" s="15"/>
      <c r="D977" s="16"/>
      <c r="E977" s="15"/>
      <c r="F977" s="17"/>
      <c r="G977" s="8"/>
      <c r="H977" s="8"/>
      <c r="I977" s="8"/>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4" t="s">
        <v>49</v>
      </c>
      <c r="AM977" s="5" t="str">
        <f t="shared" si="61"/>
        <v/>
      </c>
      <c r="AN977" s="5" t="str">
        <f t="shared" si="62"/>
        <v/>
      </c>
      <c r="AO977" s="18" t="str">
        <f t="shared" si="63"/>
        <v/>
      </c>
      <c r="AP977" s="19"/>
      <c r="AQ977" s="20" t="str">
        <f t="shared" si="64"/>
        <v/>
      </c>
      <c r="AR977" s="21"/>
    </row>
    <row r="978" spans="2:44" ht="31.5" x14ac:dyDescent="0.5">
      <c r="B978" s="1"/>
      <c r="C978" s="15"/>
      <c r="D978" s="16"/>
      <c r="E978" s="15"/>
      <c r="F978" s="17"/>
      <c r="G978" s="8"/>
      <c r="H978" s="8"/>
      <c r="I978" s="8"/>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4" t="s">
        <v>49</v>
      </c>
      <c r="AM978" s="5" t="str">
        <f t="shared" si="61"/>
        <v/>
      </c>
      <c r="AN978" s="5" t="str">
        <f t="shared" si="62"/>
        <v/>
      </c>
      <c r="AO978" s="18" t="str">
        <f t="shared" si="63"/>
        <v/>
      </c>
      <c r="AP978" s="19"/>
      <c r="AQ978" s="20" t="str">
        <f t="shared" si="64"/>
        <v/>
      </c>
      <c r="AR978" s="21"/>
    </row>
    <row r="979" spans="2:44" ht="31.5" x14ac:dyDescent="0.5">
      <c r="B979" s="1"/>
      <c r="C979" s="15"/>
      <c r="D979" s="16"/>
      <c r="E979" s="15"/>
      <c r="F979" s="17"/>
      <c r="G979" s="8"/>
      <c r="H979" s="8"/>
      <c r="I979" s="8"/>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4" t="s">
        <v>49</v>
      </c>
      <c r="AM979" s="5" t="str">
        <f t="shared" si="61"/>
        <v/>
      </c>
      <c r="AN979" s="5" t="str">
        <f t="shared" si="62"/>
        <v/>
      </c>
      <c r="AO979" s="18" t="str">
        <f t="shared" si="63"/>
        <v/>
      </c>
      <c r="AP979" s="19"/>
      <c r="AQ979" s="20" t="str">
        <f t="shared" si="64"/>
        <v/>
      </c>
      <c r="AR979" s="21"/>
    </row>
    <row r="980" spans="2:44" ht="31.5" x14ac:dyDescent="0.5">
      <c r="B980" s="1"/>
      <c r="C980" s="15"/>
      <c r="D980" s="16"/>
      <c r="E980" s="15"/>
      <c r="F980" s="17"/>
      <c r="G980" s="8"/>
      <c r="H980" s="8"/>
      <c r="I980" s="8"/>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4" t="s">
        <v>49</v>
      </c>
      <c r="AM980" s="5" t="str">
        <f t="shared" si="61"/>
        <v/>
      </c>
      <c r="AN980" s="5" t="str">
        <f t="shared" si="62"/>
        <v/>
      </c>
      <c r="AO980" s="18" t="str">
        <f t="shared" si="63"/>
        <v/>
      </c>
      <c r="AP980" s="19"/>
      <c r="AQ980" s="20" t="str">
        <f t="shared" si="64"/>
        <v/>
      </c>
      <c r="AR980" s="21"/>
    </row>
    <row r="981" spans="2:44" ht="31.5" x14ac:dyDescent="0.5">
      <c r="B981" s="1"/>
      <c r="C981" s="15"/>
      <c r="D981" s="16"/>
      <c r="E981" s="15"/>
      <c r="F981" s="17"/>
      <c r="G981" s="8"/>
      <c r="H981" s="8"/>
      <c r="I981" s="8"/>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4" t="s">
        <v>49</v>
      </c>
      <c r="AM981" s="5" t="str">
        <f t="shared" si="61"/>
        <v/>
      </c>
      <c r="AN981" s="5" t="str">
        <f t="shared" si="62"/>
        <v/>
      </c>
      <c r="AO981" s="18" t="str">
        <f t="shared" si="63"/>
        <v/>
      </c>
      <c r="AP981" s="19"/>
      <c r="AQ981" s="20" t="str">
        <f t="shared" si="64"/>
        <v/>
      </c>
      <c r="AR981" s="21"/>
    </row>
    <row r="982" spans="2:44" ht="31.5" x14ac:dyDescent="0.5">
      <c r="B982" s="1"/>
      <c r="C982" s="15"/>
      <c r="D982" s="16"/>
      <c r="E982" s="15"/>
      <c r="F982" s="17"/>
      <c r="G982" s="8"/>
      <c r="H982" s="8"/>
      <c r="I982" s="8"/>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4" t="s">
        <v>49</v>
      </c>
      <c r="AM982" s="5" t="str">
        <f t="shared" si="61"/>
        <v/>
      </c>
      <c r="AN982" s="5" t="str">
        <f t="shared" si="62"/>
        <v/>
      </c>
      <c r="AO982" s="18" t="str">
        <f t="shared" si="63"/>
        <v/>
      </c>
      <c r="AP982" s="19"/>
      <c r="AQ982" s="20" t="str">
        <f t="shared" si="64"/>
        <v/>
      </c>
      <c r="AR982" s="21"/>
    </row>
    <row r="983" spans="2:44" ht="31.5" x14ac:dyDescent="0.5">
      <c r="B983" s="1"/>
      <c r="C983" s="15"/>
      <c r="D983" s="16"/>
      <c r="E983" s="15"/>
      <c r="F983" s="17"/>
      <c r="G983" s="8"/>
      <c r="H983" s="8"/>
      <c r="I983" s="8"/>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4" t="s">
        <v>49</v>
      </c>
      <c r="AM983" s="5" t="str">
        <f t="shared" si="61"/>
        <v/>
      </c>
      <c r="AN983" s="5" t="str">
        <f t="shared" si="62"/>
        <v/>
      </c>
      <c r="AO983" s="18" t="str">
        <f t="shared" si="63"/>
        <v/>
      </c>
      <c r="AP983" s="19"/>
      <c r="AQ983" s="20" t="str">
        <f t="shared" si="64"/>
        <v/>
      </c>
      <c r="AR983" s="21"/>
    </row>
    <row r="984" spans="2:44" ht="31.5" x14ac:dyDescent="0.5">
      <c r="B984" s="1"/>
      <c r="C984" s="15"/>
      <c r="D984" s="16"/>
      <c r="E984" s="15"/>
      <c r="F984" s="17"/>
      <c r="G984" s="8"/>
      <c r="H984" s="8"/>
      <c r="I984" s="8"/>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4" t="s">
        <v>49</v>
      </c>
      <c r="AM984" s="5" t="str">
        <f t="shared" si="61"/>
        <v/>
      </c>
      <c r="AN984" s="5" t="str">
        <f t="shared" si="62"/>
        <v/>
      </c>
      <c r="AO984" s="18" t="str">
        <f t="shared" si="63"/>
        <v/>
      </c>
      <c r="AP984" s="19"/>
      <c r="AQ984" s="20" t="str">
        <f t="shared" si="64"/>
        <v/>
      </c>
      <c r="AR984" s="21"/>
    </row>
    <row r="985" spans="2:44" ht="31.5" x14ac:dyDescent="0.5">
      <c r="B985" s="1"/>
      <c r="C985" s="15"/>
      <c r="D985" s="16"/>
      <c r="E985" s="15"/>
      <c r="F985" s="17"/>
      <c r="G985" s="8"/>
      <c r="H985" s="8"/>
      <c r="I985" s="8"/>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4" t="s">
        <v>49</v>
      </c>
      <c r="AM985" s="5" t="str">
        <f t="shared" si="61"/>
        <v/>
      </c>
      <c r="AN985" s="5" t="str">
        <f t="shared" si="62"/>
        <v/>
      </c>
      <c r="AO985" s="18" t="str">
        <f t="shared" si="63"/>
        <v/>
      </c>
      <c r="AP985" s="19"/>
      <c r="AQ985" s="20" t="str">
        <f t="shared" si="64"/>
        <v/>
      </c>
      <c r="AR985" s="21"/>
    </row>
    <row r="986" spans="2:44" ht="31.5" x14ac:dyDescent="0.5">
      <c r="B986" s="1"/>
      <c r="C986" s="15"/>
      <c r="D986" s="16"/>
      <c r="E986" s="15"/>
      <c r="F986" s="17"/>
      <c r="G986" s="8"/>
      <c r="H986" s="8"/>
      <c r="I986" s="8"/>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4" t="s">
        <v>49</v>
      </c>
      <c r="AM986" s="5" t="str">
        <f t="shared" si="61"/>
        <v/>
      </c>
      <c r="AN986" s="5" t="str">
        <f t="shared" si="62"/>
        <v/>
      </c>
      <c r="AO986" s="18" t="str">
        <f t="shared" si="63"/>
        <v/>
      </c>
      <c r="AP986" s="19"/>
      <c r="AQ986" s="20" t="str">
        <f t="shared" si="64"/>
        <v/>
      </c>
      <c r="AR986" s="21"/>
    </row>
    <row r="987" spans="2:44" ht="31.5" x14ac:dyDescent="0.5">
      <c r="B987" s="1"/>
      <c r="C987" s="15"/>
      <c r="D987" s="16"/>
      <c r="E987" s="15"/>
      <c r="F987" s="17"/>
      <c r="G987" s="8"/>
      <c r="H987" s="8"/>
      <c r="I987" s="8"/>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4" t="s">
        <v>49</v>
      </c>
      <c r="AM987" s="5" t="str">
        <f t="shared" si="61"/>
        <v/>
      </c>
      <c r="AN987" s="5" t="str">
        <f t="shared" si="62"/>
        <v/>
      </c>
      <c r="AO987" s="18" t="str">
        <f t="shared" si="63"/>
        <v/>
      </c>
      <c r="AP987" s="19"/>
      <c r="AQ987" s="20" t="str">
        <f t="shared" si="64"/>
        <v/>
      </c>
      <c r="AR987" s="21"/>
    </row>
    <row r="988" spans="2:44" ht="31.5" x14ac:dyDescent="0.5">
      <c r="B988" s="1"/>
      <c r="C988" s="15"/>
      <c r="D988" s="16"/>
      <c r="E988" s="15"/>
      <c r="F988" s="17"/>
      <c r="G988" s="8"/>
      <c r="H988" s="8"/>
      <c r="I988" s="8"/>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4" t="s">
        <v>49</v>
      </c>
      <c r="AM988" s="5" t="str">
        <f t="shared" si="61"/>
        <v/>
      </c>
      <c r="AN988" s="5" t="str">
        <f t="shared" si="62"/>
        <v/>
      </c>
      <c r="AO988" s="18" t="str">
        <f t="shared" si="63"/>
        <v/>
      </c>
      <c r="AP988" s="19"/>
      <c r="AQ988" s="20" t="str">
        <f t="shared" si="64"/>
        <v/>
      </c>
      <c r="AR988" s="21"/>
    </row>
    <row r="989" spans="2:44" ht="31.5" x14ac:dyDescent="0.5">
      <c r="B989" s="1"/>
      <c r="C989" s="15"/>
      <c r="D989" s="16"/>
      <c r="E989" s="15"/>
      <c r="F989" s="17"/>
      <c r="G989" s="8"/>
      <c r="H989" s="8"/>
      <c r="I989" s="8"/>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4" t="s">
        <v>49</v>
      </c>
      <c r="AM989" s="5" t="str">
        <f t="shared" si="61"/>
        <v/>
      </c>
      <c r="AN989" s="5" t="str">
        <f t="shared" si="62"/>
        <v/>
      </c>
      <c r="AO989" s="18" t="str">
        <f t="shared" si="63"/>
        <v/>
      </c>
      <c r="AP989" s="19"/>
      <c r="AQ989" s="20" t="str">
        <f t="shared" si="64"/>
        <v/>
      </c>
      <c r="AR989" s="21"/>
    </row>
    <row r="990" spans="2:44" ht="31.5" x14ac:dyDescent="0.5">
      <c r="B990" s="1"/>
      <c r="C990" s="15"/>
      <c r="D990" s="16"/>
      <c r="E990" s="15"/>
      <c r="F990" s="17"/>
      <c r="G990" s="8"/>
      <c r="H990" s="8"/>
      <c r="I990" s="8"/>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4" t="s">
        <v>49</v>
      </c>
      <c r="AM990" s="5" t="str">
        <f t="shared" si="61"/>
        <v/>
      </c>
      <c r="AN990" s="5" t="str">
        <f t="shared" si="62"/>
        <v/>
      </c>
      <c r="AO990" s="18" t="str">
        <f t="shared" si="63"/>
        <v/>
      </c>
      <c r="AP990" s="19"/>
      <c r="AQ990" s="20" t="str">
        <f t="shared" si="64"/>
        <v/>
      </c>
      <c r="AR990" s="21"/>
    </row>
    <row r="991" spans="2:44" ht="31.5" x14ac:dyDescent="0.5">
      <c r="B991" s="1"/>
      <c r="C991" s="15"/>
      <c r="D991" s="16"/>
      <c r="E991" s="15"/>
      <c r="F991" s="17"/>
      <c r="G991" s="8"/>
      <c r="H991" s="8"/>
      <c r="I991" s="8"/>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4" t="s">
        <v>49</v>
      </c>
      <c r="AM991" s="5" t="str">
        <f t="shared" si="61"/>
        <v/>
      </c>
      <c r="AN991" s="5" t="str">
        <f t="shared" si="62"/>
        <v/>
      </c>
      <c r="AO991" s="18" t="str">
        <f t="shared" si="63"/>
        <v/>
      </c>
      <c r="AP991" s="19"/>
      <c r="AQ991" s="20" t="str">
        <f t="shared" si="64"/>
        <v/>
      </c>
      <c r="AR991" s="21"/>
    </row>
    <row r="992" spans="2:44" ht="31.5" x14ac:dyDescent="0.5">
      <c r="B992" s="1"/>
      <c r="C992" s="15"/>
      <c r="D992" s="16"/>
      <c r="E992" s="15"/>
      <c r="F992" s="17"/>
      <c r="G992" s="8"/>
      <c r="H992" s="8"/>
      <c r="I992" s="8"/>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4" t="s">
        <v>49</v>
      </c>
      <c r="AM992" s="5" t="str">
        <f t="shared" si="61"/>
        <v/>
      </c>
      <c r="AN992" s="5" t="str">
        <f t="shared" si="62"/>
        <v/>
      </c>
      <c r="AO992" s="18" t="str">
        <f t="shared" si="63"/>
        <v/>
      </c>
      <c r="AP992" s="19"/>
      <c r="AQ992" s="20" t="str">
        <f t="shared" si="64"/>
        <v/>
      </c>
      <c r="AR992" s="21"/>
    </row>
    <row r="993" spans="2:44" ht="31.5" x14ac:dyDescent="0.5">
      <c r="B993" s="1"/>
      <c r="C993" s="15"/>
      <c r="D993" s="16"/>
      <c r="E993" s="15"/>
      <c r="F993" s="17"/>
      <c r="G993" s="8"/>
      <c r="H993" s="8"/>
      <c r="I993" s="8"/>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4" t="s">
        <v>49</v>
      </c>
      <c r="AM993" s="5" t="str">
        <f t="shared" si="61"/>
        <v/>
      </c>
      <c r="AN993" s="5" t="str">
        <f t="shared" si="62"/>
        <v/>
      </c>
      <c r="AO993" s="18" t="str">
        <f t="shared" si="63"/>
        <v/>
      </c>
      <c r="AP993" s="19"/>
      <c r="AQ993" s="20" t="str">
        <f t="shared" si="64"/>
        <v/>
      </c>
      <c r="AR993" s="21"/>
    </row>
    <row r="994" spans="2:44" ht="31.5" x14ac:dyDescent="0.5">
      <c r="B994" s="1"/>
      <c r="C994" s="15"/>
      <c r="D994" s="16"/>
      <c r="E994" s="15"/>
      <c r="F994" s="17"/>
      <c r="G994" s="8"/>
      <c r="H994" s="8"/>
      <c r="I994" s="8"/>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4" t="s">
        <v>49</v>
      </c>
      <c r="AM994" s="5" t="str">
        <f t="shared" si="61"/>
        <v/>
      </c>
      <c r="AN994" s="5" t="str">
        <f t="shared" si="62"/>
        <v/>
      </c>
      <c r="AO994" s="18" t="str">
        <f t="shared" si="63"/>
        <v/>
      </c>
      <c r="AP994" s="19"/>
      <c r="AQ994" s="20" t="str">
        <f t="shared" si="64"/>
        <v/>
      </c>
      <c r="AR994" s="21"/>
    </row>
    <row r="995" spans="2:44" ht="31.5" x14ac:dyDescent="0.5">
      <c r="B995" s="1"/>
      <c r="C995" s="15"/>
      <c r="D995" s="16"/>
      <c r="E995" s="15"/>
      <c r="F995" s="17"/>
      <c r="G995" s="8"/>
      <c r="H995" s="8"/>
      <c r="I995" s="8"/>
      <c r="J995" s="8"/>
      <c r="K995" s="8"/>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4" t="s">
        <v>49</v>
      </c>
      <c r="AM995" s="5" t="str">
        <f t="shared" si="61"/>
        <v/>
      </c>
      <c r="AN995" s="5" t="str">
        <f t="shared" si="62"/>
        <v/>
      </c>
      <c r="AO995" s="18" t="str">
        <f t="shared" si="63"/>
        <v/>
      </c>
      <c r="AP995" s="19"/>
      <c r="AQ995" s="20" t="str">
        <f t="shared" si="64"/>
        <v/>
      </c>
      <c r="AR995" s="21"/>
    </row>
    <row r="996" spans="2:44" ht="31.5" x14ac:dyDescent="0.5">
      <c r="B996" s="1"/>
      <c r="C996" s="15"/>
      <c r="D996" s="16"/>
      <c r="E996" s="15"/>
      <c r="F996" s="17"/>
      <c r="G996" s="8"/>
      <c r="H996" s="8"/>
      <c r="I996" s="8"/>
      <c r="J996" s="8"/>
      <c r="K996" s="8"/>
      <c r="L996" s="8"/>
      <c r="M996" s="8"/>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4" t="s">
        <v>49</v>
      </c>
      <c r="AM996" s="5" t="str">
        <f t="shared" si="61"/>
        <v/>
      </c>
      <c r="AN996" s="5" t="str">
        <f t="shared" si="62"/>
        <v/>
      </c>
      <c r="AO996" s="18" t="str">
        <f t="shared" si="63"/>
        <v/>
      </c>
      <c r="AP996" s="19"/>
      <c r="AQ996" s="20" t="str">
        <f t="shared" si="64"/>
        <v/>
      </c>
      <c r="AR996" s="21"/>
    </row>
    <row r="997" spans="2:44" ht="31.5" x14ac:dyDescent="0.5">
      <c r="B997" s="1"/>
      <c r="C997" s="15"/>
      <c r="D997" s="16"/>
      <c r="E997" s="15"/>
      <c r="F997" s="17"/>
      <c r="G997" s="8"/>
      <c r="H997" s="8"/>
      <c r="I997" s="8"/>
      <c r="J997" s="8"/>
      <c r="K997" s="8"/>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4" t="s">
        <v>49</v>
      </c>
      <c r="AM997" s="5" t="str">
        <f t="shared" si="61"/>
        <v/>
      </c>
      <c r="AN997" s="5" t="str">
        <f t="shared" si="62"/>
        <v/>
      </c>
      <c r="AO997" s="18" t="str">
        <f t="shared" si="63"/>
        <v/>
      </c>
      <c r="AP997" s="19"/>
      <c r="AQ997" s="20" t="str">
        <f t="shared" si="64"/>
        <v/>
      </c>
      <c r="AR997" s="21"/>
    </row>
    <row r="998" spans="2:44" ht="31.5" x14ac:dyDescent="0.5">
      <c r="B998" s="1"/>
      <c r="C998" s="15"/>
      <c r="D998" s="16"/>
      <c r="E998" s="15"/>
      <c r="F998" s="17"/>
      <c r="G998" s="8"/>
      <c r="H998" s="8"/>
      <c r="I998" s="8"/>
      <c r="J998" s="8"/>
      <c r="K998" s="8"/>
      <c r="L998" s="8"/>
      <c r="M998" s="8"/>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4" t="s">
        <v>49</v>
      </c>
      <c r="AM998" s="5" t="str">
        <f t="shared" si="61"/>
        <v/>
      </c>
      <c r="AN998" s="5" t="str">
        <f t="shared" si="62"/>
        <v/>
      </c>
      <c r="AO998" s="18" t="str">
        <f t="shared" si="63"/>
        <v/>
      </c>
      <c r="AP998" s="19"/>
      <c r="AQ998" s="20" t="str">
        <f t="shared" si="64"/>
        <v/>
      </c>
      <c r="AR998" s="21"/>
    </row>
    <row r="999" spans="2:44" ht="31.5" x14ac:dyDescent="0.5">
      <c r="B999" s="1"/>
      <c r="C999" s="15"/>
      <c r="D999" s="16"/>
      <c r="E999" s="15"/>
      <c r="F999" s="17"/>
      <c r="G999" s="8"/>
      <c r="H999" s="8"/>
      <c r="I999" s="8"/>
      <c r="J999" s="8"/>
      <c r="K999" s="8"/>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4" t="s">
        <v>49</v>
      </c>
      <c r="AM999" s="5" t="str">
        <f t="shared" si="61"/>
        <v/>
      </c>
      <c r="AN999" s="5" t="str">
        <f t="shared" si="62"/>
        <v/>
      </c>
      <c r="AO999" s="18" t="str">
        <f t="shared" si="63"/>
        <v/>
      </c>
      <c r="AP999" s="19"/>
      <c r="AQ999" s="20" t="str">
        <f t="shared" si="64"/>
        <v/>
      </c>
      <c r="AR999" s="21"/>
    </row>
    <row r="1000" spans="2:44" ht="31.5" x14ac:dyDescent="0.5">
      <c r="B1000" s="1"/>
      <c r="C1000" s="15"/>
      <c r="D1000" s="16"/>
      <c r="E1000" s="15"/>
      <c r="F1000" s="17"/>
      <c r="G1000" s="8"/>
      <c r="H1000" s="8"/>
      <c r="I1000" s="8"/>
      <c r="J1000" s="8"/>
      <c r="K1000" s="8"/>
      <c r="L1000" s="8"/>
      <c r="M1000" s="8"/>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4" t="s">
        <v>49</v>
      </c>
      <c r="AM1000" s="5" t="str">
        <f t="shared" si="61"/>
        <v/>
      </c>
      <c r="AN1000" s="5" t="str">
        <f t="shared" si="62"/>
        <v/>
      </c>
      <c r="AO1000" s="18" t="str">
        <f t="shared" si="63"/>
        <v/>
      </c>
      <c r="AP1000" s="19"/>
      <c r="AQ1000" s="20" t="str">
        <f t="shared" si="64"/>
        <v/>
      </c>
      <c r="AR1000" s="21"/>
    </row>
    <row r="1001" spans="2:44" ht="31.5" x14ac:dyDescent="0.5">
      <c r="B1001" s="1"/>
      <c r="C1001" s="15"/>
      <c r="D1001" s="16"/>
      <c r="E1001" s="15"/>
      <c r="F1001" s="17"/>
      <c r="G1001" s="8"/>
      <c r="H1001" s="8"/>
      <c r="I1001" s="8"/>
      <c r="J1001" s="8"/>
      <c r="K1001" s="8"/>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4" t="s">
        <v>49</v>
      </c>
      <c r="AM1001" s="5" t="str">
        <f t="shared" si="61"/>
        <v/>
      </c>
      <c r="AN1001" s="5" t="str">
        <f t="shared" si="62"/>
        <v/>
      </c>
      <c r="AO1001" s="18" t="str">
        <f t="shared" si="63"/>
        <v/>
      </c>
      <c r="AP1001" s="19"/>
      <c r="AQ1001" s="20" t="str">
        <f t="shared" si="64"/>
        <v/>
      </c>
      <c r="AR1001" s="21"/>
    </row>
    <row r="1002" spans="2:44" ht="31.5" x14ac:dyDescent="0.5">
      <c r="B1002" s="1"/>
      <c r="C1002" s="15"/>
      <c r="D1002" s="16"/>
      <c r="E1002" s="15"/>
      <c r="F1002" s="17"/>
      <c r="G1002" s="8"/>
      <c r="H1002" s="8"/>
      <c r="I1002" s="8"/>
      <c r="J1002" s="8"/>
      <c r="K1002" s="8"/>
      <c r="L1002" s="8"/>
      <c r="M1002" s="8"/>
      <c r="N1002" s="8"/>
      <c r="O1002" s="8"/>
      <c r="P1002" s="8"/>
      <c r="Q1002" s="8"/>
      <c r="R1002" s="8"/>
      <c r="S1002" s="8"/>
      <c r="T1002" s="8"/>
      <c r="U1002" s="8"/>
      <c r="V1002" s="8"/>
      <c r="W1002" s="8"/>
      <c r="X1002" s="8"/>
      <c r="Y1002" s="8"/>
      <c r="Z1002" s="8"/>
      <c r="AA1002" s="8"/>
      <c r="AB1002" s="8"/>
      <c r="AC1002" s="8"/>
      <c r="AD1002" s="8"/>
      <c r="AE1002" s="8"/>
      <c r="AF1002" s="8"/>
      <c r="AG1002" s="8"/>
      <c r="AH1002" s="8"/>
      <c r="AI1002" s="8"/>
      <c r="AJ1002" s="8"/>
      <c r="AK1002" s="8"/>
      <c r="AL1002" s="4" t="s">
        <v>49</v>
      </c>
      <c r="AM1002" s="5" t="str">
        <f t="shared" si="61"/>
        <v/>
      </c>
      <c r="AN1002" s="5" t="str">
        <f t="shared" si="62"/>
        <v/>
      </c>
      <c r="AO1002" s="18" t="str">
        <f t="shared" si="63"/>
        <v/>
      </c>
      <c r="AP1002" s="19"/>
      <c r="AQ1002" s="20" t="str">
        <f t="shared" si="64"/>
        <v/>
      </c>
      <c r="AR1002" s="21"/>
    </row>
    <row r="1003" spans="2:44" ht="31.5" x14ac:dyDescent="0.5">
      <c r="B1003" s="1"/>
      <c r="C1003" s="15"/>
      <c r="D1003" s="16"/>
      <c r="E1003" s="15"/>
      <c r="F1003" s="17"/>
      <c r="G1003" s="8"/>
      <c r="H1003" s="8"/>
      <c r="I1003" s="8"/>
      <c r="J1003" s="8"/>
      <c r="K1003" s="8"/>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4" t="s">
        <v>49</v>
      </c>
      <c r="AM1003" s="5" t="str">
        <f t="shared" si="61"/>
        <v/>
      </c>
      <c r="AN1003" s="5" t="str">
        <f t="shared" si="62"/>
        <v/>
      </c>
      <c r="AO1003" s="18" t="str">
        <f t="shared" si="63"/>
        <v/>
      </c>
      <c r="AP1003" s="19"/>
      <c r="AQ1003" s="20" t="str">
        <f t="shared" si="64"/>
        <v/>
      </c>
      <c r="AR1003" s="21"/>
    </row>
    <row r="1004" spans="2:44" ht="31.5" x14ac:dyDescent="0.5">
      <c r="B1004" s="1"/>
      <c r="C1004" s="15"/>
      <c r="D1004" s="16"/>
      <c r="E1004" s="15"/>
      <c r="F1004" s="17"/>
      <c r="G1004" s="8"/>
      <c r="H1004" s="8"/>
      <c r="I1004" s="8"/>
      <c r="J1004" s="8"/>
      <c r="K1004" s="8"/>
      <c r="L1004" s="8"/>
      <c r="M1004" s="8"/>
      <c r="N1004" s="8"/>
      <c r="O1004" s="8"/>
      <c r="P1004" s="8"/>
      <c r="Q1004" s="8"/>
      <c r="R1004" s="8"/>
      <c r="S1004" s="8"/>
      <c r="T1004" s="8"/>
      <c r="U1004" s="8"/>
      <c r="V1004" s="8"/>
      <c r="W1004" s="8"/>
      <c r="X1004" s="8"/>
      <c r="Y1004" s="8"/>
      <c r="Z1004" s="8"/>
      <c r="AA1004" s="8"/>
      <c r="AB1004" s="8"/>
      <c r="AC1004" s="8"/>
      <c r="AD1004" s="8"/>
      <c r="AE1004" s="8"/>
      <c r="AF1004" s="8"/>
      <c r="AG1004" s="8"/>
      <c r="AH1004" s="8"/>
      <c r="AI1004" s="8"/>
      <c r="AJ1004" s="8"/>
      <c r="AK1004" s="8"/>
      <c r="AL1004" s="4" t="s">
        <v>49</v>
      </c>
      <c r="AM1004" s="5" t="str">
        <f t="shared" si="61"/>
        <v/>
      </c>
      <c r="AN1004" s="5" t="str">
        <f t="shared" si="62"/>
        <v/>
      </c>
      <c r="AO1004" s="18" t="str">
        <f t="shared" si="63"/>
        <v/>
      </c>
      <c r="AP1004" s="19"/>
      <c r="AQ1004" s="20" t="str">
        <f t="shared" si="64"/>
        <v/>
      </c>
      <c r="AR1004" s="21"/>
    </row>
    <row r="1005" spans="2:44" ht="31.5" x14ac:dyDescent="0.5">
      <c r="B1005" s="1"/>
      <c r="C1005" s="15"/>
      <c r="D1005" s="16"/>
      <c r="E1005" s="15"/>
      <c r="F1005" s="17"/>
      <c r="G1005" s="8"/>
      <c r="H1005" s="8"/>
      <c r="I1005" s="8"/>
      <c r="J1005" s="8"/>
      <c r="K1005" s="8"/>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4" t="s">
        <v>49</v>
      </c>
      <c r="AM1005" s="5" t="str">
        <f t="shared" si="61"/>
        <v/>
      </c>
      <c r="AN1005" s="5" t="str">
        <f t="shared" si="62"/>
        <v/>
      </c>
      <c r="AO1005" s="18" t="str">
        <f t="shared" si="63"/>
        <v/>
      </c>
      <c r="AP1005" s="19"/>
      <c r="AQ1005" s="20" t="str">
        <f t="shared" si="64"/>
        <v/>
      </c>
      <c r="AR1005" s="21"/>
    </row>
    <row r="1006" spans="2:44" ht="31.5" x14ac:dyDescent="0.5">
      <c r="B1006" s="1"/>
      <c r="C1006" s="15"/>
      <c r="D1006" s="16"/>
      <c r="E1006" s="15"/>
      <c r="F1006" s="17"/>
      <c r="G1006" s="8"/>
      <c r="H1006" s="8"/>
      <c r="I1006" s="8"/>
      <c r="J1006" s="8"/>
      <c r="K1006" s="8"/>
      <c r="L1006" s="8"/>
      <c r="M1006" s="8"/>
      <c r="N1006" s="8"/>
      <c r="O1006" s="8"/>
      <c r="P1006" s="8"/>
      <c r="Q1006" s="8"/>
      <c r="R1006" s="8"/>
      <c r="S1006" s="8"/>
      <c r="T1006" s="8"/>
      <c r="U1006" s="8"/>
      <c r="V1006" s="8"/>
      <c r="W1006" s="8"/>
      <c r="X1006" s="8"/>
      <c r="Y1006" s="8"/>
      <c r="Z1006" s="8"/>
      <c r="AA1006" s="8"/>
      <c r="AB1006" s="8"/>
      <c r="AC1006" s="8"/>
      <c r="AD1006" s="8"/>
      <c r="AE1006" s="8"/>
      <c r="AF1006" s="8"/>
      <c r="AG1006" s="8"/>
      <c r="AH1006" s="8"/>
      <c r="AI1006" s="8"/>
      <c r="AJ1006" s="8"/>
      <c r="AK1006" s="8"/>
      <c r="AL1006" s="4" t="s">
        <v>49</v>
      </c>
      <c r="AM1006" s="5" t="str">
        <f t="shared" si="61"/>
        <v/>
      </c>
      <c r="AN1006" s="5" t="str">
        <f t="shared" si="62"/>
        <v/>
      </c>
      <c r="AO1006" s="18" t="str">
        <f t="shared" si="63"/>
        <v/>
      </c>
      <c r="AP1006" s="19"/>
      <c r="AQ1006" s="20" t="str">
        <f t="shared" si="64"/>
        <v/>
      </c>
      <c r="AR1006" s="21"/>
    </row>
    <row r="1007" spans="2:44" ht="31.5" x14ac:dyDescent="0.5">
      <c r="B1007" s="1"/>
      <c r="C1007" s="15"/>
      <c r="D1007" s="16"/>
      <c r="E1007" s="15"/>
      <c r="F1007" s="17"/>
      <c r="G1007" s="8"/>
      <c r="H1007" s="8"/>
      <c r="I1007" s="8"/>
      <c r="J1007" s="8"/>
      <c r="K1007" s="8"/>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4" t="s">
        <v>49</v>
      </c>
      <c r="AM1007" s="5" t="str">
        <f t="shared" si="61"/>
        <v/>
      </c>
      <c r="AN1007" s="5" t="str">
        <f t="shared" si="62"/>
        <v/>
      </c>
      <c r="AO1007" s="18" t="str">
        <f t="shared" si="63"/>
        <v/>
      </c>
      <c r="AP1007" s="19"/>
      <c r="AQ1007" s="20" t="str">
        <f t="shared" si="64"/>
        <v/>
      </c>
      <c r="AR1007" s="21"/>
    </row>
    <row r="1008" spans="2:44" ht="31.5" x14ac:dyDescent="0.5">
      <c r="B1008" s="1"/>
      <c r="C1008" s="15"/>
      <c r="D1008" s="16"/>
      <c r="E1008" s="15"/>
      <c r="F1008" s="17"/>
      <c r="G1008" s="8"/>
      <c r="H1008" s="8"/>
      <c r="I1008" s="8"/>
      <c r="J1008" s="8"/>
      <c r="K1008" s="8"/>
      <c r="L1008" s="8"/>
      <c r="M1008" s="8"/>
      <c r="N1008" s="8"/>
      <c r="O1008" s="8"/>
      <c r="P1008" s="8"/>
      <c r="Q1008" s="8"/>
      <c r="R1008" s="8"/>
      <c r="S1008" s="8"/>
      <c r="T1008" s="8"/>
      <c r="U1008" s="8"/>
      <c r="V1008" s="8"/>
      <c r="W1008" s="8"/>
      <c r="X1008" s="8"/>
      <c r="Y1008" s="8"/>
      <c r="Z1008" s="8"/>
      <c r="AA1008" s="8"/>
      <c r="AB1008" s="8"/>
      <c r="AC1008" s="8"/>
      <c r="AD1008" s="8"/>
      <c r="AE1008" s="8"/>
      <c r="AF1008" s="8"/>
      <c r="AG1008" s="8"/>
      <c r="AH1008" s="8"/>
      <c r="AI1008" s="8"/>
      <c r="AJ1008" s="8"/>
      <c r="AK1008" s="8"/>
      <c r="AL1008" s="4" t="s">
        <v>49</v>
      </c>
      <c r="AM1008" s="5" t="str">
        <f t="shared" si="61"/>
        <v/>
      </c>
      <c r="AN1008" s="5" t="str">
        <f t="shared" si="62"/>
        <v/>
      </c>
      <c r="AO1008" s="18" t="str">
        <f t="shared" si="63"/>
        <v/>
      </c>
      <c r="AP1008" s="19"/>
      <c r="AQ1008" s="20" t="str">
        <f t="shared" si="64"/>
        <v/>
      </c>
      <c r="AR1008" s="21"/>
    </row>
    <row r="1009" spans="2:44" ht="31.5" x14ac:dyDescent="0.5">
      <c r="B1009" s="1"/>
      <c r="C1009" s="15"/>
      <c r="D1009" s="16"/>
      <c r="E1009" s="15"/>
      <c r="F1009" s="17"/>
      <c r="G1009" s="8"/>
      <c r="H1009" s="8"/>
      <c r="I1009" s="8"/>
      <c r="J1009" s="8"/>
      <c r="K1009" s="8"/>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4" t="s">
        <v>49</v>
      </c>
      <c r="AM1009" s="5" t="str">
        <f t="shared" si="61"/>
        <v/>
      </c>
      <c r="AN1009" s="5" t="str">
        <f t="shared" si="62"/>
        <v/>
      </c>
      <c r="AO1009" s="18" t="str">
        <f t="shared" si="63"/>
        <v/>
      </c>
      <c r="AP1009" s="19"/>
      <c r="AQ1009" s="20" t="str">
        <f t="shared" si="64"/>
        <v/>
      </c>
      <c r="AR1009" s="21"/>
    </row>
    <row r="1010" spans="2:44" ht="31.5" x14ac:dyDescent="0.5">
      <c r="B1010" s="1"/>
      <c r="C1010" s="15"/>
      <c r="D1010" s="16"/>
      <c r="E1010" s="15"/>
      <c r="F1010" s="17"/>
      <c r="G1010" s="8"/>
      <c r="H1010" s="8"/>
      <c r="I1010" s="8"/>
      <c r="J1010" s="8"/>
      <c r="K1010" s="8"/>
      <c r="L1010" s="8"/>
      <c r="M1010" s="8"/>
      <c r="N1010" s="8"/>
      <c r="O1010" s="8"/>
      <c r="P1010" s="8"/>
      <c r="Q1010" s="8"/>
      <c r="R1010" s="8"/>
      <c r="S1010" s="8"/>
      <c r="T1010" s="8"/>
      <c r="U1010" s="8"/>
      <c r="V1010" s="8"/>
      <c r="W1010" s="8"/>
      <c r="X1010" s="8"/>
      <c r="Y1010" s="8"/>
      <c r="Z1010" s="8"/>
      <c r="AA1010" s="8"/>
      <c r="AB1010" s="8"/>
      <c r="AC1010" s="8"/>
      <c r="AD1010" s="8"/>
      <c r="AE1010" s="8"/>
      <c r="AF1010" s="8"/>
      <c r="AG1010" s="8"/>
      <c r="AH1010" s="8"/>
      <c r="AI1010" s="8"/>
      <c r="AJ1010" s="8"/>
      <c r="AK1010" s="8"/>
      <c r="AL1010" s="4" t="s">
        <v>49</v>
      </c>
      <c r="AM1010" s="5" t="str">
        <f t="shared" si="61"/>
        <v/>
      </c>
      <c r="AN1010" s="5" t="str">
        <f t="shared" si="62"/>
        <v/>
      </c>
      <c r="AO1010" s="18" t="str">
        <f t="shared" si="63"/>
        <v/>
      </c>
      <c r="AP1010" s="19"/>
      <c r="AQ1010" s="20" t="str">
        <f t="shared" si="64"/>
        <v/>
      </c>
      <c r="AR1010" s="21"/>
    </row>
    <row r="1011" spans="2:44" ht="31.5" x14ac:dyDescent="0.5">
      <c r="B1011" s="1"/>
      <c r="C1011" s="15"/>
      <c r="D1011" s="16"/>
      <c r="E1011" s="15"/>
      <c r="F1011" s="17"/>
      <c r="G1011" s="8"/>
      <c r="H1011" s="8"/>
      <c r="I1011" s="8"/>
      <c r="J1011" s="8"/>
      <c r="K1011" s="8"/>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4" t="s">
        <v>49</v>
      </c>
      <c r="AM1011" s="5" t="str">
        <f t="shared" ref="AM1011:AM1074" si="65">IF($B1011="","",COUNTIF($G1011:$AK1011,"P"))</f>
        <v/>
      </c>
      <c r="AN1011" s="5" t="str">
        <f t="shared" ref="AN1011:AN1074" si="66">IF($B1011="","",COUNTIF($G1011:$AK1011,"AB"))</f>
        <v/>
      </c>
      <c r="AO1011" s="18" t="str">
        <f t="shared" ref="AO1011:AO1074" si="67">IF($B1011="","",SUMPRODUCT(--($G$11:$AK$11&lt;&gt;""),--($G$12:$AK$12&lt;&gt;"Sun")))</f>
        <v/>
      </c>
      <c r="AP1011" s="19"/>
      <c r="AQ1011" s="20" t="str">
        <f t="shared" ref="AQ1011:AQ1074" si="68">IF($B1011="","",IF(AO1011=0,"",AM1011/AO1011))</f>
        <v/>
      </c>
      <c r="AR1011" s="21"/>
    </row>
    <row r="1012" spans="2:44" ht="31.5" x14ac:dyDescent="0.5">
      <c r="B1012" s="1"/>
      <c r="C1012" s="15"/>
      <c r="D1012" s="16"/>
      <c r="E1012" s="15"/>
      <c r="F1012" s="17"/>
      <c r="G1012" s="8"/>
      <c r="H1012" s="8"/>
      <c r="I1012" s="8"/>
      <c r="J1012" s="8"/>
      <c r="K1012" s="8"/>
      <c r="L1012" s="8"/>
      <c r="M1012" s="8"/>
      <c r="N1012" s="8"/>
      <c r="O1012" s="8"/>
      <c r="P1012" s="8"/>
      <c r="Q1012" s="8"/>
      <c r="R1012" s="8"/>
      <c r="S1012" s="8"/>
      <c r="T1012" s="8"/>
      <c r="U1012" s="8"/>
      <c r="V1012" s="8"/>
      <c r="W1012" s="8"/>
      <c r="X1012" s="8"/>
      <c r="Y1012" s="8"/>
      <c r="Z1012" s="8"/>
      <c r="AA1012" s="8"/>
      <c r="AB1012" s="8"/>
      <c r="AC1012" s="8"/>
      <c r="AD1012" s="8"/>
      <c r="AE1012" s="8"/>
      <c r="AF1012" s="8"/>
      <c r="AG1012" s="8"/>
      <c r="AH1012" s="8"/>
      <c r="AI1012" s="8"/>
      <c r="AJ1012" s="8"/>
      <c r="AK1012" s="8"/>
      <c r="AL1012" s="4" t="s">
        <v>49</v>
      </c>
      <c r="AM1012" s="5" t="str">
        <f t="shared" si="65"/>
        <v/>
      </c>
      <c r="AN1012" s="5" t="str">
        <f t="shared" si="66"/>
        <v/>
      </c>
      <c r="AO1012" s="18" t="str">
        <f t="shared" si="67"/>
        <v/>
      </c>
      <c r="AP1012" s="19"/>
      <c r="AQ1012" s="20" t="str">
        <f t="shared" si="68"/>
        <v/>
      </c>
      <c r="AR1012" s="21"/>
    </row>
    <row r="1013" spans="2:44" ht="31.5" x14ac:dyDescent="0.5">
      <c r="B1013" s="1"/>
      <c r="C1013" s="15"/>
      <c r="D1013" s="16"/>
      <c r="E1013" s="15"/>
      <c r="F1013" s="17"/>
      <c r="G1013" s="8"/>
      <c r="H1013" s="8"/>
      <c r="I1013" s="8"/>
      <c r="J1013" s="8"/>
      <c r="K1013" s="8"/>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4" t="s">
        <v>49</v>
      </c>
      <c r="AM1013" s="5" t="str">
        <f t="shared" si="65"/>
        <v/>
      </c>
      <c r="AN1013" s="5" t="str">
        <f t="shared" si="66"/>
        <v/>
      </c>
      <c r="AO1013" s="18" t="str">
        <f t="shared" si="67"/>
        <v/>
      </c>
      <c r="AP1013" s="19"/>
      <c r="AQ1013" s="20" t="str">
        <f t="shared" si="68"/>
        <v/>
      </c>
      <c r="AR1013" s="21"/>
    </row>
    <row r="1014" spans="2:44" ht="31.5" x14ac:dyDescent="0.5">
      <c r="B1014" s="1"/>
      <c r="C1014" s="15"/>
      <c r="D1014" s="16"/>
      <c r="E1014" s="15"/>
      <c r="F1014" s="17"/>
      <c r="G1014" s="8"/>
      <c r="H1014" s="8"/>
      <c r="I1014" s="8"/>
      <c r="J1014" s="8"/>
      <c r="K1014" s="8"/>
      <c r="L1014" s="8"/>
      <c r="M1014" s="8"/>
      <c r="N1014" s="8"/>
      <c r="O1014" s="8"/>
      <c r="P1014" s="8"/>
      <c r="Q1014" s="8"/>
      <c r="R1014" s="8"/>
      <c r="S1014" s="8"/>
      <c r="T1014" s="8"/>
      <c r="U1014" s="8"/>
      <c r="V1014" s="8"/>
      <c r="W1014" s="8"/>
      <c r="X1014" s="8"/>
      <c r="Y1014" s="8"/>
      <c r="Z1014" s="8"/>
      <c r="AA1014" s="8"/>
      <c r="AB1014" s="8"/>
      <c r="AC1014" s="8"/>
      <c r="AD1014" s="8"/>
      <c r="AE1014" s="8"/>
      <c r="AF1014" s="8"/>
      <c r="AG1014" s="8"/>
      <c r="AH1014" s="8"/>
      <c r="AI1014" s="8"/>
      <c r="AJ1014" s="8"/>
      <c r="AK1014" s="8"/>
      <c r="AL1014" s="4" t="s">
        <v>49</v>
      </c>
      <c r="AM1014" s="5" t="str">
        <f t="shared" si="65"/>
        <v/>
      </c>
      <c r="AN1014" s="5" t="str">
        <f t="shared" si="66"/>
        <v/>
      </c>
      <c r="AO1014" s="18" t="str">
        <f t="shared" si="67"/>
        <v/>
      </c>
      <c r="AP1014" s="19"/>
      <c r="AQ1014" s="20" t="str">
        <f t="shared" si="68"/>
        <v/>
      </c>
      <c r="AR1014" s="21"/>
    </row>
    <row r="1015" spans="2:44" ht="31.5" x14ac:dyDescent="0.5">
      <c r="B1015" s="1"/>
      <c r="C1015" s="15"/>
      <c r="D1015" s="16"/>
      <c r="E1015" s="15"/>
      <c r="F1015" s="17"/>
      <c r="G1015" s="8"/>
      <c r="H1015" s="8"/>
      <c r="I1015" s="8"/>
      <c r="J1015" s="8"/>
      <c r="K1015" s="8"/>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4" t="s">
        <v>49</v>
      </c>
      <c r="AM1015" s="5" t="str">
        <f t="shared" si="65"/>
        <v/>
      </c>
      <c r="AN1015" s="5" t="str">
        <f t="shared" si="66"/>
        <v/>
      </c>
      <c r="AO1015" s="18" t="str">
        <f t="shared" si="67"/>
        <v/>
      </c>
      <c r="AP1015" s="19"/>
      <c r="AQ1015" s="20" t="str">
        <f t="shared" si="68"/>
        <v/>
      </c>
      <c r="AR1015" s="21"/>
    </row>
    <row r="1016" spans="2:44" ht="31.5" x14ac:dyDescent="0.5">
      <c r="B1016" s="1"/>
      <c r="C1016" s="15"/>
      <c r="D1016" s="16"/>
      <c r="E1016" s="15"/>
      <c r="F1016" s="17"/>
      <c r="G1016" s="8"/>
      <c r="H1016" s="8"/>
      <c r="I1016" s="8"/>
      <c r="J1016" s="8"/>
      <c r="K1016" s="8"/>
      <c r="L1016" s="8"/>
      <c r="M1016" s="8"/>
      <c r="N1016" s="8"/>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4" t="s">
        <v>49</v>
      </c>
      <c r="AM1016" s="5" t="str">
        <f t="shared" si="65"/>
        <v/>
      </c>
      <c r="AN1016" s="5" t="str">
        <f t="shared" si="66"/>
        <v/>
      </c>
      <c r="AO1016" s="18" t="str">
        <f t="shared" si="67"/>
        <v/>
      </c>
      <c r="AP1016" s="19"/>
      <c r="AQ1016" s="20" t="str">
        <f t="shared" si="68"/>
        <v/>
      </c>
      <c r="AR1016" s="21"/>
    </row>
    <row r="1017" spans="2:44" ht="31.5" x14ac:dyDescent="0.5">
      <c r="B1017" s="1"/>
      <c r="C1017" s="15"/>
      <c r="D1017" s="16"/>
      <c r="E1017" s="15"/>
      <c r="F1017" s="17"/>
      <c r="G1017" s="8"/>
      <c r="H1017" s="8"/>
      <c r="I1017" s="8"/>
      <c r="J1017" s="8"/>
      <c r="K1017" s="8"/>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4" t="s">
        <v>49</v>
      </c>
      <c r="AM1017" s="5" t="str">
        <f t="shared" si="65"/>
        <v/>
      </c>
      <c r="AN1017" s="5" t="str">
        <f t="shared" si="66"/>
        <v/>
      </c>
      <c r="AO1017" s="18" t="str">
        <f t="shared" si="67"/>
        <v/>
      </c>
      <c r="AP1017" s="19"/>
      <c r="AQ1017" s="20" t="str">
        <f t="shared" si="68"/>
        <v/>
      </c>
      <c r="AR1017" s="21"/>
    </row>
    <row r="1018" spans="2:44" ht="31.5" x14ac:dyDescent="0.5">
      <c r="B1018" s="1"/>
      <c r="C1018" s="15"/>
      <c r="D1018" s="16"/>
      <c r="E1018" s="15"/>
      <c r="F1018" s="17"/>
      <c r="G1018" s="8"/>
      <c r="H1018" s="8"/>
      <c r="I1018" s="8"/>
      <c r="J1018" s="8"/>
      <c r="K1018" s="8"/>
      <c r="L1018" s="8"/>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4" t="s">
        <v>49</v>
      </c>
      <c r="AM1018" s="5" t="str">
        <f t="shared" si="65"/>
        <v/>
      </c>
      <c r="AN1018" s="5" t="str">
        <f t="shared" si="66"/>
        <v/>
      </c>
      <c r="AO1018" s="18" t="str">
        <f t="shared" si="67"/>
        <v/>
      </c>
      <c r="AP1018" s="19"/>
      <c r="AQ1018" s="20" t="str">
        <f t="shared" si="68"/>
        <v/>
      </c>
      <c r="AR1018" s="21"/>
    </row>
    <row r="1019" spans="2:44" ht="31.5" x14ac:dyDescent="0.5">
      <c r="B1019" s="1"/>
      <c r="C1019" s="15"/>
      <c r="D1019" s="16"/>
      <c r="E1019" s="15"/>
      <c r="F1019" s="17"/>
      <c r="G1019" s="8"/>
      <c r="H1019" s="8"/>
      <c r="I1019" s="8"/>
      <c r="J1019" s="8"/>
      <c r="K1019" s="8"/>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4" t="s">
        <v>49</v>
      </c>
      <c r="AM1019" s="5" t="str">
        <f t="shared" si="65"/>
        <v/>
      </c>
      <c r="AN1019" s="5" t="str">
        <f t="shared" si="66"/>
        <v/>
      </c>
      <c r="AO1019" s="18" t="str">
        <f t="shared" si="67"/>
        <v/>
      </c>
      <c r="AP1019" s="19"/>
      <c r="AQ1019" s="20" t="str">
        <f t="shared" si="68"/>
        <v/>
      </c>
      <c r="AR1019" s="21"/>
    </row>
    <row r="1020" spans="2:44" ht="31.5" x14ac:dyDescent="0.5">
      <c r="B1020" s="1"/>
      <c r="C1020" s="15"/>
      <c r="D1020" s="16"/>
      <c r="E1020" s="15"/>
      <c r="F1020" s="17"/>
      <c r="G1020" s="8"/>
      <c r="H1020" s="8"/>
      <c r="I1020" s="8"/>
      <c r="J1020" s="8"/>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4" t="s">
        <v>49</v>
      </c>
      <c r="AM1020" s="5" t="str">
        <f t="shared" si="65"/>
        <v/>
      </c>
      <c r="AN1020" s="5" t="str">
        <f t="shared" si="66"/>
        <v/>
      </c>
      <c r="AO1020" s="18" t="str">
        <f t="shared" si="67"/>
        <v/>
      </c>
      <c r="AP1020" s="19"/>
      <c r="AQ1020" s="20" t="str">
        <f t="shared" si="68"/>
        <v/>
      </c>
      <c r="AR1020" s="21"/>
    </row>
    <row r="1021" spans="2:44" ht="31.5" x14ac:dyDescent="0.5">
      <c r="B1021" s="1"/>
      <c r="C1021" s="15"/>
      <c r="D1021" s="16"/>
      <c r="E1021" s="15"/>
      <c r="F1021" s="17"/>
      <c r="G1021" s="8"/>
      <c r="H1021" s="8"/>
      <c r="I1021" s="8"/>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4" t="s">
        <v>49</v>
      </c>
      <c r="AM1021" s="5" t="str">
        <f t="shared" si="65"/>
        <v/>
      </c>
      <c r="AN1021" s="5" t="str">
        <f t="shared" si="66"/>
        <v/>
      </c>
      <c r="AO1021" s="18" t="str">
        <f t="shared" si="67"/>
        <v/>
      </c>
      <c r="AP1021" s="19"/>
      <c r="AQ1021" s="20" t="str">
        <f t="shared" si="68"/>
        <v/>
      </c>
      <c r="AR1021" s="21"/>
    </row>
    <row r="1022" spans="2:44" ht="31.5" x14ac:dyDescent="0.5">
      <c r="B1022" s="1"/>
      <c r="C1022" s="15"/>
      <c r="D1022" s="16"/>
      <c r="E1022" s="15"/>
      <c r="F1022" s="17"/>
      <c r="G1022" s="8"/>
      <c r="H1022" s="8"/>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4" t="s">
        <v>49</v>
      </c>
      <c r="AM1022" s="5" t="str">
        <f t="shared" si="65"/>
        <v/>
      </c>
      <c r="AN1022" s="5" t="str">
        <f t="shared" si="66"/>
        <v/>
      </c>
      <c r="AO1022" s="18" t="str">
        <f t="shared" si="67"/>
        <v/>
      </c>
      <c r="AP1022" s="19"/>
      <c r="AQ1022" s="20" t="str">
        <f t="shared" si="68"/>
        <v/>
      </c>
      <c r="AR1022" s="21"/>
    </row>
    <row r="1023" spans="2:44" ht="31.5" x14ac:dyDescent="0.5">
      <c r="B1023" s="1"/>
      <c r="C1023" s="15"/>
      <c r="D1023" s="16"/>
      <c r="E1023" s="15"/>
      <c r="F1023" s="17"/>
      <c r="G1023" s="8"/>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4" t="s">
        <v>49</v>
      </c>
      <c r="AM1023" s="5" t="str">
        <f t="shared" si="65"/>
        <v/>
      </c>
      <c r="AN1023" s="5" t="str">
        <f t="shared" si="66"/>
        <v/>
      </c>
      <c r="AO1023" s="18" t="str">
        <f t="shared" si="67"/>
        <v/>
      </c>
      <c r="AP1023" s="19"/>
      <c r="AQ1023" s="20" t="str">
        <f t="shared" si="68"/>
        <v/>
      </c>
      <c r="AR1023" s="21"/>
    </row>
    <row r="1024" spans="2:44" ht="31.5" x14ac:dyDescent="0.5">
      <c r="B1024" s="1"/>
      <c r="C1024" s="15"/>
      <c r="D1024" s="16"/>
      <c r="E1024" s="15"/>
      <c r="F1024" s="17"/>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4" t="s">
        <v>49</v>
      </c>
      <c r="AM1024" s="5" t="str">
        <f t="shared" si="65"/>
        <v/>
      </c>
      <c r="AN1024" s="5" t="str">
        <f t="shared" si="66"/>
        <v/>
      </c>
      <c r="AO1024" s="18" t="str">
        <f t="shared" si="67"/>
        <v/>
      </c>
      <c r="AP1024" s="19"/>
      <c r="AQ1024" s="20" t="str">
        <f t="shared" si="68"/>
        <v/>
      </c>
      <c r="AR1024" s="21"/>
    </row>
    <row r="1025" spans="2:44" ht="31.5" x14ac:dyDescent="0.5">
      <c r="B1025" s="1"/>
      <c r="C1025" s="15"/>
      <c r="D1025" s="16"/>
      <c r="E1025" s="15"/>
      <c r="F1025" s="17"/>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4" t="s">
        <v>49</v>
      </c>
      <c r="AM1025" s="5" t="str">
        <f t="shared" si="65"/>
        <v/>
      </c>
      <c r="AN1025" s="5" t="str">
        <f t="shared" si="66"/>
        <v/>
      </c>
      <c r="AO1025" s="18" t="str">
        <f t="shared" si="67"/>
        <v/>
      </c>
      <c r="AP1025" s="19"/>
      <c r="AQ1025" s="20" t="str">
        <f t="shared" si="68"/>
        <v/>
      </c>
      <c r="AR1025" s="21"/>
    </row>
    <row r="1026" spans="2:44" ht="31.5" x14ac:dyDescent="0.5">
      <c r="B1026" s="1"/>
      <c r="C1026" s="15"/>
      <c r="D1026" s="16"/>
      <c r="E1026" s="15"/>
      <c r="F1026" s="17"/>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4" t="s">
        <v>49</v>
      </c>
      <c r="AM1026" s="5" t="str">
        <f t="shared" si="65"/>
        <v/>
      </c>
      <c r="AN1026" s="5" t="str">
        <f t="shared" si="66"/>
        <v/>
      </c>
      <c r="AO1026" s="18" t="str">
        <f t="shared" si="67"/>
        <v/>
      </c>
      <c r="AP1026" s="19"/>
      <c r="AQ1026" s="20" t="str">
        <f t="shared" si="68"/>
        <v/>
      </c>
      <c r="AR1026" s="21"/>
    </row>
    <row r="1027" spans="2:44" ht="31.5" x14ac:dyDescent="0.5">
      <c r="B1027" s="1"/>
      <c r="C1027" s="15"/>
      <c r="D1027" s="16"/>
      <c r="E1027" s="15"/>
      <c r="F1027" s="17"/>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4" t="s">
        <v>49</v>
      </c>
      <c r="AM1027" s="5" t="str">
        <f t="shared" si="65"/>
        <v/>
      </c>
      <c r="AN1027" s="5" t="str">
        <f t="shared" si="66"/>
        <v/>
      </c>
      <c r="AO1027" s="18" t="str">
        <f t="shared" si="67"/>
        <v/>
      </c>
      <c r="AP1027" s="19"/>
      <c r="AQ1027" s="20" t="str">
        <f t="shared" si="68"/>
        <v/>
      </c>
      <c r="AR1027" s="21"/>
    </row>
    <row r="1028" spans="2:44" ht="31.5" x14ac:dyDescent="0.5">
      <c r="B1028" s="1"/>
      <c r="C1028" s="15"/>
      <c r="D1028" s="16"/>
      <c r="E1028" s="15"/>
      <c r="F1028" s="17"/>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4" t="s">
        <v>49</v>
      </c>
      <c r="AM1028" s="5" t="str">
        <f t="shared" si="65"/>
        <v/>
      </c>
      <c r="AN1028" s="5" t="str">
        <f t="shared" si="66"/>
        <v/>
      </c>
      <c r="AO1028" s="18" t="str">
        <f t="shared" si="67"/>
        <v/>
      </c>
      <c r="AP1028" s="19"/>
      <c r="AQ1028" s="20" t="str">
        <f t="shared" si="68"/>
        <v/>
      </c>
      <c r="AR1028" s="21"/>
    </row>
    <row r="1029" spans="2:44" ht="31.5" x14ac:dyDescent="0.5">
      <c r="B1029" s="1"/>
      <c r="C1029" s="15"/>
      <c r="D1029" s="16"/>
      <c r="E1029" s="15"/>
      <c r="F1029" s="17"/>
      <c r="G1029" s="8"/>
      <c r="H1029" s="8"/>
      <c r="I1029" s="8"/>
      <c r="J1029" s="8"/>
      <c r="K1029" s="8"/>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4" t="s">
        <v>49</v>
      </c>
      <c r="AM1029" s="5" t="str">
        <f t="shared" si="65"/>
        <v/>
      </c>
      <c r="AN1029" s="5" t="str">
        <f t="shared" si="66"/>
        <v/>
      </c>
      <c r="AO1029" s="18" t="str">
        <f t="shared" si="67"/>
        <v/>
      </c>
      <c r="AP1029" s="19"/>
      <c r="AQ1029" s="20" t="str">
        <f t="shared" si="68"/>
        <v/>
      </c>
      <c r="AR1029" s="21"/>
    </row>
    <row r="1030" spans="2:44" ht="31.5" x14ac:dyDescent="0.5">
      <c r="B1030" s="1"/>
      <c r="C1030" s="15"/>
      <c r="D1030" s="16"/>
      <c r="E1030" s="15"/>
      <c r="F1030" s="17"/>
      <c r="G1030" s="8"/>
      <c r="H1030" s="8"/>
      <c r="I1030" s="8"/>
      <c r="J1030" s="8"/>
      <c r="K1030" s="8"/>
      <c r="L1030" s="8"/>
      <c r="M1030" s="8"/>
      <c r="N1030" s="8"/>
      <c r="O1030" s="8"/>
      <c r="P1030" s="8"/>
      <c r="Q1030" s="8"/>
      <c r="R1030" s="8"/>
      <c r="S1030" s="8"/>
      <c r="T1030" s="8"/>
      <c r="U1030" s="8"/>
      <c r="V1030" s="8"/>
      <c r="W1030" s="8"/>
      <c r="X1030" s="8"/>
      <c r="Y1030" s="8"/>
      <c r="Z1030" s="8"/>
      <c r="AA1030" s="8"/>
      <c r="AB1030" s="8"/>
      <c r="AC1030" s="8"/>
      <c r="AD1030" s="8"/>
      <c r="AE1030" s="8"/>
      <c r="AF1030" s="8"/>
      <c r="AG1030" s="8"/>
      <c r="AH1030" s="8"/>
      <c r="AI1030" s="8"/>
      <c r="AJ1030" s="8"/>
      <c r="AK1030" s="8"/>
      <c r="AL1030" s="4" t="s">
        <v>49</v>
      </c>
      <c r="AM1030" s="5" t="str">
        <f t="shared" si="65"/>
        <v/>
      </c>
      <c r="AN1030" s="5" t="str">
        <f t="shared" si="66"/>
        <v/>
      </c>
      <c r="AO1030" s="18" t="str">
        <f t="shared" si="67"/>
        <v/>
      </c>
      <c r="AP1030" s="19"/>
      <c r="AQ1030" s="20" t="str">
        <f t="shared" si="68"/>
        <v/>
      </c>
      <c r="AR1030" s="21"/>
    </row>
    <row r="1031" spans="2:44" ht="31.5" x14ac:dyDescent="0.5">
      <c r="B1031" s="1"/>
      <c r="C1031" s="15"/>
      <c r="D1031" s="16"/>
      <c r="E1031" s="15"/>
      <c r="F1031" s="17"/>
      <c r="G1031" s="8"/>
      <c r="H1031" s="8"/>
      <c r="I1031" s="8"/>
      <c r="J1031" s="8"/>
      <c r="K1031" s="8"/>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4" t="s">
        <v>49</v>
      </c>
      <c r="AM1031" s="5" t="str">
        <f t="shared" si="65"/>
        <v/>
      </c>
      <c r="AN1031" s="5" t="str">
        <f t="shared" si="66"/>
        <v/>
      </c>
      <c r="AO1031" s="18" t="str">
        <f t="shared" si="67"/>
        <v/>
      </c>
      <c r="AP1031" s="19"/>
      <c r="AQ1031" s="20" t="str">
        <f t="shared" si="68"/>
        <v/>
      </c>
      <c r="AR1031" s="21"/>
    </row>
    <row r="1032" spans="2:44" ht="31.5" x14ac:dyDescent="0.5">
      <c r="B1032" s="1"/>
      <c r="C1032" s="15"/>
      <c r="D1032" s="16"/>
      <c r="E1032" s="15"/>
      <c r="F1032" s="17"/>
      <c r="G1032" s="8"/>
      <c r="H1032" s="8"/>
      <c r="I1032" s="8"/>
      <c r="J1032" s="8"/>
      <c r="K1032" s="8"/>
      <c r="L1032" s="8"/>
      <c r="M1032" s="8"/>
      <c r="N1032" s="8"/>
      <c r="O1032" s="8"/>
      <c r="P1032" s="8"/>
      <c r="Q1032" s="8"/>
      <c r="R1032" s="8"/>
      <c r="S1032" s="8"/>
      <c r="T1032" s="8"/>
      <c r="U1032" s="8"/>
      <c r="V1032" s="8"/>
      <c r="W1032" s="8"/>
      <c r="X1032" s="8"/>
      <c r="Y1032" s="8"/>
      <c r="Z1032" s="8"/>
      <c r="AA1032" s="8"/>
      <c r="AB1032" s="8"/>
      <c r="AC1032" s="8"/>
      <c r="AD1032" s="8"/>
      <c r="AE1032" s="8"/>
      <c r="AF1032" s="8"/>
      <c r="AG1032" s="8"/>
      <c r="AH1032" s="8"/>
      <c r="AI1032" s="8"/>
      <c r="AJ1032" s="8"/>
      <c r="AK1032" s="8"/>
      <c r="AL1032" s="4" t="s">
        <v>49</v>
      </c>
      <c r="AM1032" s="5" t="str">
        <f t="shared" si="65"/>
        <v/>
      </c>
      <c r="AN1032" s="5" t="str">
        <f t="shared" si="66"/>
        <v/>
      </c>
      <c r="AO1032" s="18" t="str">
        <f t="shared" si="67"/>
        <v/>
      </c>
      <c r="AP1032" s="19"/>
      <c r="AQ1032" s="20" t="str">
        <f t="shared" si="68"/>
        <v/>
      </c>
      <c r="AR1032" s="21"/>
    </row>
    <row r="1033" spans="2:44" ht="31.5" x14ac:dyDescent="0.5">
      <c r="B1033" s="1"/>
      <c r="C1033" s="15"/>
      <c r="D1033" s="16"/>
      <c r="E1033" s="15"/>
      <c r="F1033" s="17"/>
      <c r="G1033" s="8"/>
      <c r="H1033" s="8"/>
      <c r="I1033" s="8"/>
      <c r="J1033" s="8"/>
      <c r="K1033" s="8"/>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4" t="s">
        <v>49</v>
      </c>
      <c r="AM1033" s="5" t="str">
        <f t="shared" si="65"/>
        <v/>
      </c>
      <c r="AN1033" s="5" t="str">
        <f t="shared" si="66"/>
        <v/>
      </c>
      <c r="AO1033" s="18" t="str">
        <f t="shared" si="67"/>
        <v/>
      </c>
      <c r="AP1033" s="19"/>
      <c r="AQ1033" s="20" t="str">
        <f t="shared" si="68"/>
        <v/>
      </c>
      <c r="AR1033" s="21"/>
    </row>
    <row r="1034" spans="2:44" ht="31.5" x14ac:dyDescent="0.5">
      <c r="B1034" s="1"/>
      <c r="C1034" s="15"/>
      <c r="D1034" s="16"/>
      <c r="E1034" s="15"/>
      <c r="F1034" s="17"/>
      <c r="G1034" s="8"/>
      <c r="H1034" s="8"/>
      <c r="I1034" s="8"/>
      <c r="J1034" s="8"/>
      <c r="K1034" s="8"/>
      <c r="L1034" s="8"/>
      <c r="M1034" s="8"/>
      <c r="N1034" s="8"/>
      <c r="O1034" s="8"/>
      <c r="P1034" s="8"/>
      <c r="Q1034" s="8"/>
      <c r="R1034" s="8"/>
      <c r="S1034" s="8"/>
      <c r="T1034" s="8"/>
      <c r="U1034" s="8"/>
      <c r="V1034" s="8"/>
      <c r="W1034" s="8"/>
      <c r="X1034" s="8"/>
      <c r="Y1034" s="8"/>
      <c r="Z1034" s="8"/>
      <c r="AA1034" s="8"/>
      <c r="AB1034" s="8"/>
      <c r="AC1034" s="8"/>
      <c r="AD1034" s="8"/>
      <c r="AE1034" s="8"/>
      <c r="AF1034" s="8"/>
      <c r="AG1034" s="8"/>
      <c r="AH1034" s="8"/>
      <c r="AI1034" s="8"/>
      <c r="AJ1034" s="8"/>
      <c r="AK1034" s="8"/>
      <c r="AL1034" s="4" t="s">
        <v>49</v>
      </c>
      <c r="AM1034" s="5" t="str">
        <f t="shared" si="65"/>
        <v/>
      </c>
      <c r="AN1034" s="5" t="str">
        <f t="shared" si="66"/>
        <v/>
      </c>
      <c r="AO1034" s="18" t="str">
        <f t="shared" si="67"/>
        <v/>
      </c>
      <c r="AP1034" s="19"/>
      <c r="AQ1034" s="20" t="str">
        <f t="shared" si="68"/>
        <v/>
      </c>
      <c r="AR1034" s="21"/>
    </row>
    <row r="1035" spans="2:44" ht="31.5" x14ac:dyDescent="0.5">
      <c r="B1035" s="1"/>
      <c r="C1035" s="15"/>
      <c r="D1035" s="16"/>
      <c r="E1035" s="15"/>
      <c r="F1035" s="17"/>
      <c r="G1035" s="8"/>
      <c r="H1035" s="8"/>
      <c r="I1035" s="8"/>
      <c r="J1035" s="8"/>
      <c r="K1035" s="8"/>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4" t="s">
        <v>49</v>
      </c>
      <c r="AM1035" s="5" t="str">
        <f t="shared" si="65"/>
        <v/>
      </c>
      <c r="AN1035" s="5" t="str">
        <f t="shared" si="66"/>
        <v/>
      </c>
      <c r="AO1035" s="18" t="str">
        <f t="shared" si="67"/>
        <v/>
      </c>
      <c r="AP1035" s="19"/>
      <c r="AQ1035" s="20" t="str">
        <f t="shared" si="68"/>
        <v/>
      </c>
      <c r="AR1035" s="21"/>
    </row>
    <row r="1036" spans="2:44" ht="31.5" x14ac:dyDescent="0.5">
      <c r="B1036" s="1"/>
      <c r="C1036" s="15"/>
      <c r="D1036" s="16"/>
      <c r="E1036" s="15"/>
      <c r="F1036" s="17"/>
      <c r="G1036" s="8"/>
      <c r="H1036" s="8"/>
      <c r="I1036" s="8"/>
      <c r="J1036" s="8"/>
      <c r="K1036" s="8"/>
      <c r="L1036" s="8"/>
      <c r="M1036" s="8"/>
      <c r="N1036" s="8"/>
      <c r="O1036" s="8"/>
      <c r="P1036" s="8"/>
      <c r="Q1036" s="8"/>
      <c r="R1036" s="8"/>
      <c r="S1036" s="8"/>
      <c r="T1036" s="8"/>
      <c r="U1036" s="8"/>
      <c r="V1036" s="8"/>
      <c r="W1036" s="8"/>
      <c r="X1036" s="8"/>
      <c r="Y1036" s="8"/>
      <c r="Z1036" s="8"/>
      <c r="AA1036" s="8"/>
      <c r="AB1036" s="8"/>
      <c r="AC1036" s="8"/>
      <c r="AD1036" s="8"/>
      <c r="AE1036" s="8"/>
      <c r="AF1036" s="8"/>
      <c r="AG1036" s="8"/>
      <c r="AH1036" s="8"/>
      <c r="AI1036" s="8"/>
      <c r="AJ1036" s="8"/>
      <c r="AK1036" s="8"/>
      <c r="AL1036" s="4" t="s">
        <v>49</v>
      </c>
      <c r="AM1036" s="5" t="str">
        <f t="shared" si="65"/>
        <v/>
      </c>
      <c r="AN1036" s="5" t="str">
        <f t="shared" si="66"/>
        <v/>
      </c>
      <c r="AO1036" s="18" t="str">
        <f t="shared" si="67"/>
        <v/>
      </c>
      <c r="AP1036" s="19"/>
      <c r="AQ1036" s="20" t="str">
        <f t="shared" si="68"/>
        <v/>
      </c>
      <c r="AR1036" s="21"/>
    </row>
    <row r="1037" spans="2:44" ht="31.5" x14ac:dyDescent="0.5">
      <c r="B1037" s="1"/>
      <c r="C1037" s="15"/>
      <c r="D1037" s="16"/>
      <c r="E1037" s="15"/>
      <c r="F1037" s="17"/>
      <c r="G1037" s="8"/>
      <c r="H1037" s="8"/>
      <c r="I1037" s="8"/>
      <c r="J1037" s="8"/>
      <c r="K1037" s="8"/>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4" t="s">
        <v>49</v>
      </c>
      <c r="AM1037" s="5" t="str">
        <f t="shared" si="65"/>
        <v/>
      </c>
      <c r="AN1037" s="5" t="str">
        <f t="shared" si="66"/>
        <v/>
      </c>
      <c r="AO1037" s="18" t="str">
        <f t="shared" si="67"/>
        <v/>
      </c>
      <c r="AP1037" s="19"/>
      <c r="AQ1037" s="20" t="str">
        <f t="shared" si="68"/>
        <v/>
      </c>
      <c r="AR1037" s="21"/>
    </row>
    <row r="1038" spans="2:44" ht="31.5" x14ac:dyDescent="0.5">
      <c r="B1038" s="1"/>
      <c r="C1038" s="15"/>
      <c r="D1038" s="16"/>
      <c r="E1038" s="15"/>
      <c r="F1038" s="17"/>
      <c r="G1038" s="8"/>
      <c r="H1038" s="8"/>
      <c r="I1038" s="8"/>
      <c r="J1038" s="8"/>
      <c r="K1038" s="8"/>
      <c r="L1038" s="8"/>
      <c r="M1038" s="8"/>
      <c r="N1038" s="8"/>
      <c r="O1038" s="8"/>
      <c r="P1038" s="8"/>
      <c r="Q1038" s="8"/>
      <c r="R1038" s="8"/>
      <c r="S1038" s="8"/>
      <c r="T1038" s="8"/>
      <c r="U1038" s="8"/>
      <c r="V1038" s="8"/>
      <c r="W1038" s="8"/>
      <c r="X1038" s="8"/>
      <c r="Y1038" s="8"/>
      <c r="Z1038" s="8"/>
      <c r="AA1038" s="8"/>
      <c r="AB1038" s="8"/>
      <c r="AC1038" s="8"/>
      <c r="AD1038" s="8"/>
      <c r="AE1038" s="8"/>
      <c r="AF1038" s="8"/>
      <c r="AG1038" s="8"/>
      <c r="AH1038" s="8"/>
      <c r="AI1038" s="8"/>
      <c r="AJ1038" s="8"/>
      <c r="AK1038" s="8"/>
      <c r="AL1038" s="4" t="s">
        <v>49</v>
      </c>
      <c r="AM1038" s="5" t="str">
        <f t="shared" si="65"/>
        <v/>
      </c>
      <c r="AN1038" s="5" t="str">
        <f t="shared" si="66"/>
        <v/>
      </c>
      <c r="AO1038" s="18" t="str">
        <f t="shared" si="67"/>
        <v/>
      </c>
      <c r="AP1038" s="19"/>
      <c r="AQ1038" s="20" t="str">
        <f t="shared" si="68"/>
        <v/>
      </c>
      <c r="AR1038" s="21"/>
    </row>
    <row r="1039" spans="2:44" ht="31.5" x14ac:dyDescent="0.5">
      <c r="B1039" s="1"/>
      <c r="C1039" s="15"/>
      <c r="D1039" s="16"/>
      <c r="E1039" s="15"/>
      <c r="F1039" s="17"/>
      <c r="G1039" s="8"/>
      <c r="H1039" s="8"/>
      <c r="I1039" s="8"/>
      <c r="J1039" s="8"/>
      <c r="K1039" s="8"/>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4" t="s">
        <v>49</v>
      </c>
      <c r="AM1039" s="5" t="str">
        <f t="shared" si="65"/>
        <v/>
      </c>
      <c r="AN1039" s="5" t="str">
        <f t="shared" si="66"/>
        <v/>
      </c>
      <c r="AO1039" s="18" t="str">
        <f t="shared" si="67"/>
        <v/>
      </c>
      <c r="AP1039" s="19"/>
      <c r="AQ1039" s="20" t="str">
        <f t="shared" si="68"/>
        <v/>
      </c>
      <c r="AR1039" s="21"/>
    </row>
    <row r="1040" spans="2:44" ht="31.5" x14ac:dyDescent="0.5">
      <c r="B1040" s="1"/>
      <c r="C1040" s="15"/>
      <c r="D1040" s="16"/>
      <c r="E1040" s="15"/>
      <c r="F1040" s="17"/>
      <c r="G1040" s="8"/>
      <c r="H1040" s="8"/>
      <c r="I1040" s="8"/>
      <c r="J1040" s="8"/>
      <c r="K1040" s="8"/>
      <c r="L1040" s="8"/>
      <c r="M1040" s="8"/>
      <c r="N1040" s="8"/>
      <c r="O1040" s="8"/>
      <c r="P1040" s="8"/>
      <c r="Q1040" s="8"/>
      <c r="R1040" s="8"/>
      <c r="S1040" s="8"/>
      <c r="T1040" s="8"/>
      <c r="U1040" s="8"/>
      <c r="V1040" s="8"/>
      <c r="W1040" s="8"/>
      <c r="X1040" s="8"/>
      <c r="Y1040" s="8"/>
      <c r="Z1040" s="8"/>
      <c r="AA1040" s="8"/>
      <c r="AB1040" s="8"/>
      <c r="AC1040" s="8"/>
      <c r="AD1040" s="8"/>
      <c r="AE1040" s="8"/>
      <c r="AF1040" s="8"/>
      <c r="AG1040" s="8"/>
      <c r="AH1040" s="8"/>
      <c r="AI1040" s="8"/>
      <c r="AJ1040" s="8"/>
      <c r="AK1040" s="8"/>
      <c r="AL1040" s="4" t="s">
        <v>49</v>
      </c>
      <c r="AM1040" s="5" t="str">
        <f t="shared" si="65"/>
        <v/>
      </c>
      <c r="AN1040" s="5" t="str">
        <f t="shared" si="66"/>
        <v/>
      </c>
      <c r="AO1040" s="18" t="str">
        <f t="shared" si="67"/>
        <v/>
      </c>
      <c r="AP1040" s="19"/>
      <c r="AQ1040" s="20" t="str">
        <f t="shared" si="68"/>
        <v/>
      </c>
      <c r="AR1040" s="21"/>
    </row>
    <row r="1041" spans="2:44" ht="31.5" x14ac:dyDescent="0.5">
      <c r="B1041" s="1"/>
      <c r="C1041" s="15"/>
      <c r="D1041" s="16"/>
      <c r="E1041" s="15"/>
      <c r="F1041" s="17"/>
      <c r="G1041" s="8"/>
      <c r="H1041" s="8"/>
      <c r="I1041" s="8"/>
      <c r="J1041" s="8"/>
      <c r="K1041" s="8"/>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4" t="s">
        <v>49</v>
      </c>
      <c r="AM1041" s="5" t="str">
        <f t="shared" si="65"/>
        <v/>
      </c>
      <c r="AN1041" s="5" t="str">
        <f t="shared" si="66"/>
        <v/>
      </c>
      <c r="AO1041" s="18" t="str">
        <f t="shared" si="67"/>
        <v/>
      </c>
      <c r="AP1041" s="19"/>
      <c r="AQ1041" s="20" t="str">
        <f t="shared" si="68"/>
        <v/>
      </c>
      <c r="AR1041" s="21"/>
    </row>
    <row r="1042" spans="2:44" ht="31.5" x14ac:dyDescent="0.5">
      <c r="B1042" s="1"/>
      <c r="C1042" s="15"/>
      <c r="D1042" s="16"/>
      <c r="E1042" s="15"/>
      <c r="F1042" s="17"/>
      <c r="G1042" s="8"/>
      <c r="H1042" s="8"/>
      <c r="I1042" s="8"/>
      <c r="J1042" s="8"/>
      <c r="K1042" s="8"/>
      <c r="L1042" s="8"/>
      <c r="M1042" s="8"/>
      <c r="N1042" s="8"/>
      <c r="O1042" s="8"/>
      <c r="P1042" s="8"/>
      <c r="Q1042" s="8"/>
      <c r="R1042" s="8"/>
      <c r="S1042" s="8"/>
      <c r="T1042" s="8"/>
      <c r="U1042" s="8"/>
      <c r="V1042" s="8"/>
      <c r="W1042" s="8"/>
      <c r="X1042" s="8"/>
      <c r="Y1042" s="8"/>
      <c r="Z1042" s="8"/>
      <c r="AA1042" s="8"/>
      <c r="AB1042" s="8"/>
      <c r="AC1042" s="8"/>
      <c r="AD1042" s="8"/>
      <c r="AE1042" s="8"/>
      <c r="AF1042" s="8"/>
      <c r="AG1042" s="8"/>
      <c r="AH1042" s="8"/>
      <c r="AI1042" s="8"/>
      <c r="AJ1042" s="8"/>
      <c r="AK1042" s="8"/>
      <c r="AL1042" s="4" t="s">
        <v>49</v>
      </c>
      <c r="AM1042" s="5" t="str">
        <f t="shared" si="65"/>
        <v/>
      </c>
      <c r="AN1042" s="5" t="str">
        <f t="shared" si="66"/>
        <v/>
      </c>
      <c r="AO1042" s="18" t="str">
        <f t="shared" si="67"/>
        <v/>
      </c>
      <c r="AP1042" s="19"/>
      <c r="AQ1042" s="20" t="str">
        <f t="shared" si="68"/>
        <v/>
      </c>
      <c r="AR1042" s="21"/>
    </row>
    <row r="1043" spans="2:44" ht="31.5" x14ac:dyDescent="0.5">
      <c r="B1043" s="1"/>
      <c r="C1043" s="15"/>
      <c r="D1043" s="16"/>
      <c r="E1043" s="15"/>
      <c r="F1043" s="17"/>
      <c r="G1043" s="8"/>
      <c r="H1043" s="8"/>
      <c r="I1043" s="8"/>
      <c r="J1043" s="8"/>
      <c r="K1043" s="8"/>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4" t="s">
        <v>49</v>
      </c>
      <c r="AM1043" s="5" t="str">
        <f t="shared" si="65"/>
        <v/>
      </c>
      <c r="AN1043" s="5" t="str">
        <f t="shared" si="66"/>
        <v/>
      </c>
      <c r="AO1043" s="18" t="str">
        <f t="shared" si="67"/>
        <v/>
      </c>
      <c r="AP1043" s="19"/>
      <c r="AQ1043" s="20" t="str">
        <f t="shared" si="68"/>
        <v/>
      </c>
      <c r="AR1043" s="21"/>
    </row>
    <row r="1044" spans="2:44" ht="31.5" x14ac:dyDescent="0.5">
      <c r="B1044" s="1"/>
      <c r="C1044" s="15"/>
      <c r="D1044" s="16"/>
      <c r="E1044" s="15"/>
      <c r="F1044" s="17"/>
      <c r="G1044" s="8"/>
      <c r="H1044" s="8"/>
      <c r="I1044" s="8"/>
      <c r="J1044" s="8"/>
      <c r="K1044" s="8"/>
      <c r="L1044" s="8"/>
      <c r="M1044" s="8"/>
      <c r="N1044" s="8"/>
      <c r="O1044" s="8"/>
      <c r="P1044" s="8"/>
      <c r="Q1044" s="8"/>
      <c r="R1044" s="8"/>
      <c r="S1044" s="8"/>
      <c r="T1044" s="8"/>
      <c r="U1044" s="8"/>
      <c r="V1044" s="8"/>
      <c r="W1044" s="8"/>
      <c r="X1044" s="8"/>
      <c r="Y1044" s="8"/>
      <c r="Z1044" s="8"/>
      <c r="AA1044" s="8"/>
      <c r="AB1044" s="8"/>
      <c r="AC1044" s="8"/>
      <c r="AD1044" s="8"/>
      <c r="AE1044" s="8"/>
      <c r="AF1044" s="8"/>
      <c r="AG1044" s="8"/>
      <c r="AH1044" s="8"/>
      <c r="AI1044" s="8"/>
      <c r="AJ1044" s="8"/>
      <c r="AK1044" s="8"/>
      <c r="AL1044" s="4" t="s">
        <v>49</v>
      </c>
      <c r="AM1044" s="5" t="str">
        <f t="shared" si="65"/>
        <v/>
      </c>
      <c r="AN1044" s="5" t="str">
        <f t="shared" si="66"/>
        <v/>
      </c>
      <c r="AO1044" s="18" t="str">
        <f t="shared" si="67"/>
        <v/>
      </c>
      <c r="AP1044" s="19"/>
      <c r="AQ1044" s="20" t="str">
        <f t="shared" si="68"/>
        <v/>
      </c>
      <c r="AR1044" s="21"/>
    </row>
    <row r="1045" spans="2:44" ht="31.5" x14ac:dyDescent="0.5">
      <c r="B1045" s="1"/>
      <c r="C1045" s="15"/>
      <c r="D1045" s="16"/>
      <c r="E1045" s="15"/>
      <c r="F1045" s="17"/>
      <c r="G1045" s="8"/>
      <c r="H1045" s="8"/>
      <c r="I1045" s="8"/>
      <c r="J1045" s="8"/>
      <c r="K1045" s="8"/>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4" t="s">
        <v>49</v>
      </c>
      <c r="AM1045" s="5" t="str">
        <f t="shared" si="65"/>
        <v/>
      </c>
      <c r="AN1045" s="5" t="str">
        <f t="shared" si="66"/>
        <v/>
      </c>
      <c r="AO1045" s="18" t="str">
        <f t="shared" si="67"/>
        <v/>
      </c>
      <c r="AP1045" s="19"/>
      <c r="AQ1045" s="20" t="str">
        <f t="shared" si="68"/>
        <v/>
      </c>
      <c r="AR1045" s="21"/>
    </row>
    <row r="1046" spans="2:44" ht="31.5" x14ac:dyDescent="0.5">
      <c r="B1046" s="1"/>
      <c r="C1046" s="15"/>
      <c r="D1046" s="16"/>
      <c r="E1046" s="15"/>
      <c r="F1046" s="17"/>
      <c r="G1046" s="8"/>
      <c r="H1046" s="8"/>
      <c r="I1046" s="8"/>
      <c r="J1046" s="8"/>
      <c r="K1046" s="8"/>
      <c r="L1046" s="8"/>
      <c r="M1046" s="8"/>
      <c r="N1046" s="8"/>
      <c r="O1046" s="8"/>
      <c r="P1046" s="8"/>
      <c r="Q1046" s="8"/>
      <c r="R1046" s="8"/>
      <c r="S1046" s="8"/>
      <c r="T1046" s="8"/>
      <c r="U1046" s="8"/>
      <c r="V1046" s="8"/>
      <c r="W1046" s="8"/>
      <c r="X1046" s="8"/>
      <c r="Y1046" s="8"/>
      <c r="Z1046" s="8"/>
      <c r="AA1046" s="8"/>
      <c r="AB1046" s="8"/>
      <c r="AC1046" s="8"/>
      <c r="AD1046" s="8"/>
      <c r="AE1046" s="8"/>
      <c r="AF1046" s="8"/>
      <c r="AG1046" s="8"/>
      <c r="AH1046" s="8"/>
      <c r="AI1046" s="8"/>
      <c r="AJ1046" s="8"/>
      <c r="AK1046" s="8"/>
      <c r="AL1046" s="4" t="s">
        <v>49</v>
      </c>
      <c r="AM1046" s="5" t="str">
        <f t="shared" si="65"/>
        <v/>
      </c>
      <c r="AN1046" s="5" t="str">
        <f t="shared" si="66"/>
        <v/>
      </c>
      <c r="AO1046" s="18" t="str">
        <f t="shared" si="67"/>
        <v/>
      </c>
      <c r="AP1046" s="19"/>
      <c r="AQ1046" s="20" t="str">
        <f t="shared" si="68"/>
        <v/>
      </c>
      <c r="AR1046" s="21"/>
    </row>
    <row r="1047" spans="2:44" ht="31.5" x14ac:dyDescent="0.5">
      <c r="B1047" s="1"/>
      <c r="C1047" s="15"/>
      <c r="D1047" s="16"/>
      <c r="E1047" s="15"/>
      <c r="F1047" s="17"/>
      <c r="G1047" s="8"/>
      <c r="H1047" s="8"/>
      <c r="I1047" s="8"/>
      <c r="J1047" s="8"/>
      <c r="K1047" s="8"/>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4" t="s">
        <v>49</v>
      </c>
      <c r="AM1047" s="5" t="str">
        <f t="shared" si="65"/>
        <v/>
      </c>
      <c r="AN1047" s="5" t="str">
        <f t="shared" si="66"/>
        <v/>
      </c>
      <c r="AO1047" s="18" t="str">
        <f t="shared" si="67"/>
        <v/>
      </c>
      <c r="AP1047" s="19"/>
      <c r="AQ1047" s="20" t="str">
        <f t="shared" si="68"/>
        <v/>
      </c>
      <c r="AR1047" s="21"/>
    </row>
    <row r="1048" spans="2:44" ht="31.5" x14ac:dyDescent="0.5">
      <c r="B1048" s="1"/>
      <c r="C1048" s="15"/>
      <c r="D1048" s="16"/>
      <c r="E1048" s="15"/>
      <c r="F1048" s="17"/>
      <c r="G1048" s="8"/>
      <c r="H1048" s="8"/>
      <c r="I1048" s="8"/>
      <c r="J1048" s="8"/>
      <c r="K1048" s="8"/>
      <c r="L1048" s="8"/>
      <c r="M1048" s="8"/>
      <c r="N1048" s="8"/>
      <c r="O1048" s="8"/>
      <c r="P1048" s="8"/>
      <c r="Q1048" s="8"/>
      <c r="R1048" s="8"/>
      <c r="S1048" s="8"/>
      <c r="T1048" s="8"/>
      <c r="U1048" s="8"/>
      <c r="V1048" s="8"/>
      <c r="W1048" s="8"/>
      <c r="X1048" s="8"/>
      <c r="Y1048" s="8"/>
      <c r="Z1048" s="8"/>
      <c r="AA1048" s="8"/>
      <c r="AB1048" s="8"/>
      <c r="AC1048" s="8"/>
      <c r="AD1048" s="8"/>
      <c r="AE1048" s="8"/>
      <c r="AF1048" s="8"/>
      <c r="AG1048" s="8"/>
      <c r="AH1048" s="8"/>
      <c r="AI1048" s="8"/>
      <c r="AJ1048" s="8"/>
      <c r="AK1048" s="8"/>
      <c r="AL1048" s="4" t="s">
        <v>49</v>
      </c>
      <c r="AM1048" s="5" t="str">
        <f t="shared" si="65"/>
        <v/>
      </c>
      <c r="AN1048" s="5" t="str">
        <f t="shared" si="66"/>
        <v/>
      </c>
      <c r="AO1048" s="18" t="str">
        <f t="shared" si="67"/>
        <v/>
      </c>
      <c r="AP1048" s="19"/>
      <c r="AQ1048" s="20" t="str">
        <f t="shared" si="68"/>
        <v/>
      </c>
      <c r="AR1048" s="21"/>
    </row>
    <row r="1049" spans="2:44" ht="31.5" x14ac:dyDescent="0.5">
      <c r="B1049" s="1"/>
      <c r="C1049" s="15"/>
      <c r="D1049" s="16"/>
      <c r="E1049" s="15"/>
      <c r="F1049" s="17"/>
      <c r="G1049" s="8"/>
      <c r="H1049" s="8"/>
      <c r="I1049" s="8"/>
      <c r="J1049" s="8"/>
      <c r="K1049" s="8"/>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4" t="s">
        <v>49</v>
      </c>
      <c r="AM1049" s="5" t="str">
        <f t="shared" si="65"/>
        <v/>
      </c>
      <c r="AN1049" s="5" t="str">
        <f t="shared" si="66"/>
        <v/>
      </c>
      <c r="AO1049" s="18" t="str">
        <f t="shared" si="67"/>
        <v/>
      </c>
      <c r="AP1049" s="19"/>
      <c r="AQ1049" s="20" t="str">
        <f t="shared" si="68"/>
        <v/>
      </c>
      <c r="AR1049" s="21"/>
    </row>
    <row r="1050" spans="2:44" ht="31.5" x14ac:dyDescent="0.5">
      <c r="B1050" s="1"/>
      <c r="C1050" s="15"/>
      <c r="D1050" s="16"/>
      <c r="E1050" s="15"/>
      <c r="F1050" s="17"/>
      <c r="G1050" s="8"/>
      <c r="H1050" s="8"/>
      <c r="I1050" s="8"/>
      <c r="J1050" s="8"/>
      <c r="K1050" s="8"/>
      <c r="L1050" s="8"/>
      <c r="M1050" s="8"/>
      <c r="N1050" s="8"/>
      <c r="O1050" s="8"/>
      <c r="P1050" s="8"/>
      <c r="Q1050" s="8"/>
      <c r="R1050" s="8"/>
      <c r="S1050" s="8"/>
      <c r="T1050" s="8"/>
      <c r="U1050" s="8"/>
      <c r="V1050" s="8"/>
      <c r="W1050" s="8"/>
      <c r="X1050" s="8"/>
      <c r="Y1050" s="8"/>
      <c r="Z1050" s="8"/>
      <c r="AA1050" s="8"/>
      <c r="AB1050" s="8"/>
      <c r="AC1050" s="8"/>
      <c r="AD1050" s="8"/>
      <c r="AE1050" s="8"/>
      <c r="AF1050" s="8"/>
      <c r="AG1050" s="8"/>
      <c r="AH1050" s="8"/>
      <c r="AI1050" s="8"/>
      <c r="AJ1050" s="8"/>
      <c r="AK1050" s="8"/>
      <c r="AL1050" s="4" t="s">
        <v>49</v>
      </c>
      <c r="AM1050" s="5" t="str">
        <f t="shared" si="65"/>
        <v/>
      </c>
      <c r="AN1050" s="5" t="str">
        <f t="shared" si="66"/>
        <v/>
      </c>
      <c r="AO1050" s="18" t="str">
        <f t="shared" si="67"/>
        <v/>
      </c>
      <c r="AP1050" s="19"/>
      <c r="AQ1050" s="20" t="str">
        <f t="shared" si="68"/>
        <v/>
      </c>
      <c r="AR1050" s="21"/>
    </row>
    <row r="1051" spans="2:44" ht="31.5" x14ac:dyDescent="0.5">
      <c r="B1051" s="1"/>
      <c r="C1051" s="15"/>
      <c r="D1051" s="16"/>
      <c r="E1051" s="15"/>
      <c r="F1051" s="17"/>
      <c r="G1051" s="8"/>
      <c r="H1051" s="8"/>
      <c r="I1051" s="8"/>
      <c r="J1051" s="8"/>
      <c r="K1051" s="8"/>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4" t="s">
        <v>49</v>
      </c>
      <c r="AM1051" s="5" t="str">
        <f t="shared" si="65"/>
        <v/>
      </c>
      <c r="AN1051" s="5" t="str">
        <f t="shared" si="66"/>
        <v/>
      </c>
      <c r="AO1051" s="18" t="str">
        <f t="shared" si="67"/>
        <v/>
      </c>
      <c r="AP1051" s="19"/>
      <c r="AQ1051" s="20" t="str">
        <f t="shared" si="68"/>
        <v/>
      </c>
      <c r="AR1051" s="21"/>
    </row>
    <row r="1052" spans="2:44" ht="31.5" x14ac:dyDescent="0.5">
      <c r="B1052" s="1"/>
      <c r="C1052" s="15"/>
      <c r="D1052" s="16"/>
      <c r="E1052" s="15"/>
      <c r="F1052" s="17"/>
      <c r="G1052" s="8"/>
      <c r="H1052" s="8"/>
      <c r="I1052" s="8"/>
      <c r="J1052" s="8"/>
      <c r="K1052" s="8"/>
      <c r="L1052" s="8"/>
      <c r="M1052" s="8"/>
      <c r="N1052" s="8"/>
      <c r="O1052" s="8"/>
      <c r="P1052" s="8"/>
      <c r="Q1052" s="8"/>
      <c r="R1052" s="8"/>
      <c r="S1052" s="8"/>
      <c r="T1052" s="8"/>
      <c r="U1052" s="8"/>
      <c r="V1052" s="8"/>
      <c r="W1052" s="8"/>
      <c r="X1052" s="8"/>
      <c r="Y1052" s="8"/>
      <c r="Z1052" s="8"/>
      <c r="AA1052" s="8"/>
      <c r="AB1052" s="8"/>
      <c r="AC1052" s="8"/>
      <c r="AD1052" s="8"/>
      <c r="AE1052" s="8"/>
      <c r="AF1052" s="8"/>
      <c r="AG1052" s="8"/>
      <c r="AH1052" s="8"/>
      <c r="AI1052" s="8"/>
      <c r="AJ1052" s="8"/>
      <c r="AK1052" s="8"/>
      <c r="AL1052" s="4" t="s">
        <v>49</v>
      </c>
      <c r="AM1052" s="5" t="str">
        <f t="shared" si="65"/>
        <v/>
      </c>
      <c r="AN1052" s="5" t="str">
        <f t="shared" si="66"/>
        <v/>
      </c>
      <c r="AO1052" s="18" t="str">
        <f t="shared" si="67"/>
        <v/>
      </c>
      <c r="AP1052" s="19"/>
      <c r="AQ1052" s="20" t="str">
        <f t="shared" si="68"/>
        <v/>
      </c>
      <c r="AR1052" s="21"/>
    </row>
    <row r="1053" spans="2:44" ht="31.5" x14ac:dyDescent="0.5">
      <c r="B1053" s="1"/>
      <c r="C1053" s="15"/>
      <c r="D1053" s="16"/>
      <c r="E1053" s="15"/>
      <c r="F1053" s="17"/>
      <c r="G1053" s="8"/>
      <c r="H1053" s="8"/>
      <c r="I1053" s="8"/>
      <c r="J1053" s="8"/>
      <c r="K1053" s="8"/>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4" t="s">
        <v>49</v>
      </c>
      <c r="AM1053" s="5" t="str">
        <f t="shared" si="65"/>
        <v/>
      </c>
      <c r="AN1053" s="5" t="str">
        <f t="shared" si="66"/>
        <v/>
      </c>
      <c r="AO1053" s="18" t="str">
        <f t="shared" si="67"/>
        <v/>
      </c>
      <c r="AP1053" s="19"/>
      <c r="AQ1053" s="20" t="str">
        <f t="shared" si="68"/>
        <v/>
      </c>
      <c r="AR1053" s="21"/>
    </row>
    <row r="1054" spans="2:44" ht="31.5" x14ac:dyDescent="0.5">
      <c r="B1054" s="1"/>
      <c r="C1054" s="15"/>
      <c r="D1054" s="16"/>
      <c r="E1054" s="15"/>
      <c r="F1054" s="17"/>
      <c r="G1054" s="8"/>
      <c r="H1054" s="8"/>
      <c r="I1054" s="8"/>
      <c r="J1054" s="8"/>
      <c r="K1054" s="8"/>
      <c r="L1054" s="8"/>
      <c r="M1054" s="8"/>
      <c r="N1054" s="8"/>
      <c r="O1054" s="8"/>
      <c r="P1054" s="8"/>
      <c r="Q1054" s="8"/>
      <c r="R1054" s="8"/>
      <c r="S1054" s="8"/>
      <c r="T1054" s="8"/>
      <c r="U1054" s="8"/>
      <c r="V1054" s="8"/>
      <c r="W1054" s="8"/>
      <c r="X1054" s="8"/>
      <c r="Y1054" s="8"/>
      <c r="Z1054" s="8"/>
      <c r="AA1054" s="8"/>
      <c r="AB1054" s="8"/>
      <c r="AC1054" s="8"/>
      <c r="AD1054" s="8"/>
      <c r="AE1054" s="8"/>
      <c r="AF1054" s="8"/>
      <c r="AG1054" s="8"/>
      <c r="AH1054" s="8"/>
      <c r="AI1054" s="8"/>
      <c r="AJ1054" s="8"/>
      <c r="AK1054" s="8"/>
      <c r="AL1054" s="4" t="s">
        <v>49</v>
      </c>
      <c r="AM1054" s="5" t="str">
        <f t="shared" si="65"/>
        <v/>
      </c>
      <c r="AN1054" s="5" t="str">
        <f t="shared" si="66"/>
        <v/>
      </c>
      <c r="AO1054" s="18" t="str">
        <f t="shared" si="67"/>
        <v/>
      </c>
      <c r="AP1054" s="19"/>
      <c r="AQ1054" s="20" t="str">
        <f t="shared" si="68"/>
        <v/>
      </c>
      <c r="AR1054" s="21"/>
    </row>
    <row r="1055" spans="2:44" ht="31.5" x14ac:dyDescent="0.5">
      <c r="B1055" s="1"/>
      <c r="C1055" s="15"/>
      <c r="D1055" s="16"/>
      <c r="E1055" s="15"/>
      <c r="F1055" s="17"/>
      <c r="G1055" s="8"/>
      <c r="H1055" s="8"/>
      <c r="I1055" s="8"/>
      <c r="J1055" s="8"/>
      <c r="K1055" s="8"/>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4" t="s">
        <v>49</v>
      </c>
      <c r="AM1055" s="5" t="str">
        <f t="shared" si="65"/>
        <v/>
      </c>
      <c r="AN1055" s="5" t="str">
        <f t="shared" si="66"/>
        <v/>
      </c>
      <c r="AO1055" s="18" t="str">
        <f t="shared" si="67"/>
        <v/>
      </c>
      <c r="AP1055" s="19"/>
      <c r="AQ1055" s="20" t="str">
        <f t="shared" si="68"/>
        <v/>
      </c>
      <c r="AR1055" s="21"/>
    </row>
    <row r="1056" spans="2:44" ht="31.5" x14ac:dyDescent="0.5">
      <c r="B1056" s="1"/>
      <c r="C1056" s="15"/>
      <c r="D1056" s="16"/>
      <c r="E1056" s="15"/>
      <c r="F1056" s="17"/>
      <c r="G1056" s="8"/>
      <c r="H1056" s="8"/>
      <c r="I1056" s="8"/>
      <c r="J1056" s="8"/>
      <c r="K1056" s="8"/>
      <c r="L1056" s="8"/>
      <c r="M1056" s="8"/>
      <c r="N1056" s="8"/>
      <c r="O1056" s="8"/>
      <c r="P1056" s="8"/>
      <c r="Q1056" s="8"/>
      <c r="R1056" s="8"/>
      <c r="S1056" s="8"/>
      <c r="T1056" s="8"/>
      <c r="U1056" s="8"/>
      <c r="V1056" s="8"/>
      <c r="W1056" s="8"/>
      <c r="X1056" s="8"/>
      <c r="Y1056" s="8"/>
      <c r="Z1056" s="8"/>
      <c r="AA1056" s="8"/>
      <c r="AB1056" s="8"/>
      <c r="AC1056" s="8"/>
      <c r="AD1056" s="8"/>
      <c r="AE1056" s="8"/>
      <c r="AF1056" s="8"/>
      <c r="AG1056" s="8"/>
      <c r="AH1056" s="8"/>
      <c r="AI1056" s="8"/>
      <c r="AJ1056" s="8"/>
      <c r="AK1056" s="8"/>
      <c r="AL1056" s="4" t="s">
        <v>49</v>
      </c>
      <c r="AM1056" s="5" t="str">
        <f t="shared" si="65"/>
        <v/>
      </c>
      <c r="AN1056" s="5" t="str">
        <f t="shared" si="66"/>
        <v/>
      </c>
      <c r="AO1056" s="18" t="str">
        <f t="shared" si="67"/>
        <v/>
      </c>
      <c r="AP1056" s="19"/>
      <c r="AQ1056" s="20" t="str">
        <f t="shared" si="68"/>
        <v/>
      </c>
      <c r="AR1056" s="21"/>
    </row>
    <row r="1057" spans="2:44" ht="31.5" x14ac:dyDescent="0.5">
      <c r="B1057" s="1"/>
      <c r="C1057" s="15"/>
      <c r="D1057" s="16"/>
      <c r="E1057" s="15"/>
      <c r="F1057" s="17"/>
      <c r="G1057" s="8"/>
      <c r="H1057" s="8"/>
      <c r="I1057" s="8"/>
      <c r="J1057" s="8"/>
      <c r="K1057" s="8"/>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4" t="s">
        <v>49</v>
      </c>
      <c r="AM1057" s="5" t="str">
        <f t="shared" si="65"/>
        <v/>
      </c>
      <c r="AN1057" s="5" t="str">
        <f t="shared" si="66"/>
        <v/>
      </c>
      <c r="AO1057" s="18" t="str">
        <f t="shared" si="67"/>
        <v/>
      </c>
      <c r="AP1057" s="19"/>
      <c r="AQ1057" s="20" t="str">
        <f t="shared" si="68"/>
        <v/>
      </c>
      <c r="AR1057" s="21"/>
    </row>
    <row r="1058" spans="2:44" ht="31.5" x14ac:dyDescent="0.5">
      <c r="B1058" s="1"/>
      <c r="C1058" s="15"/>
      <c r="D1058" s="16"/>
      <c r="E1058" s="15"/>
      <c r="F1058" s="17"/>
      <c r="G1058" s="8"/>
      <c r="H1058" s="8"/>
      <c r="I1058" s="8"/>
      <c r="J1058" s="8"/>
      <c r="K1058" s="8"/>
      <c r="L1058" s="8"/>
      <c r="M1058" s="8"/>
      <c r="N1058" s="8"/>
      <c r="O1058" s="8"/>
      <c r="P1058" s="8"/>
      <c r="Q1058" s="8"/>
      <c r="R1058" s="8"/>
      <c r="S1058" s="8"/>
      <c r="T1058" s="8"/>
      <c r="U1058" s="8"/>
      <c r="V1058" s="8"/>
      <c r="W1058" s="8"/>
      <c r="X1058" s="8"/>
      <c r="Y1058" s="8"/>
      <c r="Z1058" s="8"/>
      <c r="AA1058" s="8"/>
      <c r="AB1058" s="8"/>
      <c r="AC1058" s="8"/>
      <c r="AD1058" s="8"/>
      <c r="AE1058" s="8"/>
      <c r="AF1058" s="8"/>
      <c r="AG1058" s="8"/>
      <c r="AH1058" s="8"/>
      <c r="AI1058" s="8"/>
      <c r="AJ1058" s="8"/>
      <c r="AK1058" s="8"/>
      <c r="AL1058" s="4" t="s">
        <v>49</v>
      </c>
      <c r="AM1058" s="5" t="str">
        <f t="shared" si="65"/>
        <v/>
      </c>
      <c r="AN1058" s="5" t="str">
        <f t="shared" si="66"/>
        <v/>
      </c>
      <c r="AO1058" s="18" t="str">
        <f t="shared" si="67"/>
        <v/>
      </c>
      <c r="AP1058" s="19"/>
      <c r="AQ1058" s="20" t="str">
        <f t="shared" si="68"/>
        <v/>
      </c>
      <c r="AR1058" s="21"/>
    </row>
    <row r="1059" spans="2:44" ht="31.5" x14ac:dyDescent="0.5">
      <c r="B1059" s="1"/>
      <c r="C1059" s="15"/>
      <c r="D1059" s="16"/>
      <c r="E1059" s="15"/>
      <c r="F1059" s="17"/>
      <c r="G1059" s="8"/>
      <c r="H1059" s="8"/>
      <c r="I1059" s="8"/>
      <c r="J1059" s="8"/>
      <c r="K1059" s="8"/>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4" t="s">
        <v>49</v>
      </c>
      <c r="AM1059" s="5" t="str">
        <f t="shared" si="65"/>
        <v/>
      </c>
      <c r="AN1059" s="5" t="str">
        <f t="shared" si="66"/>
        <v/>
      </c>
      <c r="AO1059" s="18" t="str">
        <f t="shared" si="67"/>
        <v/>
      </c>
      <c r="AP1059" s="19"/>
      <c r="AQ1059" s="20" t="str">
        <f t="shared" si="68"/>
        <v/>
      </c>
      <c r="AR1059" s="21"/>
    </row>
    <row r="1060" spans="2:44" ht="31.5" x14ac:dyDescent="0.5">
      <c r="B1060" s="1"/>
      <c r="C1060" s="15"/>
      <c r="D1060" s="16"/>
      <c r="E1060" s="15"/>
      <c r="F1060" s="17"/>
      <c r="G1060" s="8"/>
      <c r="H1060" s="8"/>
      <c r="I1060" s="8"/>
      <c r="J1060" s="8"/>
      <c r="K1060" s="8"/>
      <c r="L1060" s="8"/>
      <c r="M1060" s="8"/>
      <c r="N1060" s="8"/>
      <c r="O1060" s="8"/>
      <c r="P1060" s="8"/>
      <c r="Q1060" s="8"/>
      <c r="R1060" s="8"/>
      <c r="S1060" s="8"/>
      <c r="T1060" s="8"/>
      <c r="U1060" s="8"/>
      <c r="V1060" s="8"/>
      <c r="W1060" s="8"/>
      <c r="X1060" s="8"/>
      <c r="Y1060" s="8"/>
      <c r="Z1060" s="8"/>
      <c r="AA1060" s="8"/>
      <c r="AB1060" s="8"/>
      <c r="AC1060" s="8"/>
      <c r="AD1060" s="8"/>
      <c r="AE1060" s="8"/>
      <c r="AF1060" s="8"/>
      <c r="AG1060" s="8"/>
      <c r="AH1060" s="8"/>
      <c r="AI1060" s="8"/>
      <c r="AJ1060" s="8"/>
      <c r="AK1060" s="8"/>
      <c r="AL1060" s="4" t="s">
        <v>49</v>
      </c>
      <c r="AM1060" s="5" t="str">
        <f t="shared" si="65"/>
        <v/>
      </c>
      <c r="AN1060" s="5" t="str">
        <f t="shared" si="66"/>
        <v/>
      </c>
      <c r="AO1060" s="18" t="str">
        <f t="shared" si="67"/>
        <v/>
      </c>
      <c r="AP1060" s="19"/>
      <c r="AQ1060" s="20" t="str">
        <f t="shared" si="68"/>
        <v/>
      </c>
      <c r="AR1060" s="21"/>
    </row>
    <row r="1061" spans="2:44" ht="31.5" x14ac:dyDescent="0.5">
      <c r="B1061" s="1"/>
      <c r="C1061" s="15"/>
      <c r="D1061" s="16"/>
      <c r="E1061" s="15"/>
      <c r="F1061" s="17"/>
      <c r="G1061" s="8"/>
      <c r="H1061" s="8"/>
      <c r="I1061" s="8"/>
      <c r="J1061" s="8"/>
      <c r="K1061" s="8"/>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4" t="s">
        <v>49</v>
      </c>
      <c r="AM1061" s="5" t="str">
        <f t="shared" si="65"/>
        <v/>
      </c>
      <c r="AN1061" s="5" t="str">
        <f t="shared" si="66"/>
        <v/>
      </c>
      <c r="AO1061" s="18" t="str">
        <f t="shared" si="67"/>
        <v/>
      </c>
      <c r="AP1061" s="19"/>
      <c r="AQ1061" s="20" t="str">
        <f t="shared" si="68"/>
        <v/>
      </c>
      <c r="AR1061" s="21"/>
    </row>
    <row r="1062" spans="2:44" ht="31.5" x14ac:dyDescent="0.5">
      <c r="B1062" s="1"/>
      <c r="C1062" s="15"/>
      <c r="D1062" s="16"/>
      <c r="E1062" s="15"/>
      <c r="F1062" s="17"/>
      <c r="G1062" s="8"/>
      <c r="H1062" s="8"/>
      <c r="I1062" s="8"/>
      <c r="J1062" s="8"/>
      <c r="K1062" s="8"/>
      <c r="L1062" s="8"/>
      <c r="M1062" s="8"/>
      <c r="N1062" s="8"/>
      <c r="O1062" s="8"/>
      <c r="P1062" s="8"/>
      <c r="Q1062" s="8"/>
      <c r="R1062" s="8"/>
      <c r="S1062" s="8"/>
      <c r="T1062" s="8"/>
      <c r="U1062" s="8"/>
      <c r="V1062" s="8"/>
      <c r="W1062" s="8"/>
      <c r="X1062" s="8"/>
      <c r="Y1062" s="8"/>
      <c r="Z1062" s="8"/>
      <c r="AA1062" s="8"/>
      <c r="AB1062" s="8"/>
      <c r="AC1062" s="8"/>
      <c r="AD1062" s="8"/>
      <c r="AE1062" s="8"/>
      <c r="AF1062" s="8"/>
      <c r="AG1062" s="8"/>
      <c r="AH1062" s="8"/>
      <c r="AI1062" s="8"/>
      <c r="AJ1062" s="8"/>
      <c r="AK1062" s="8"/>
      <c r="AL1062" s="4" t="s">
        <v>49</v>
      </c>
      <c r="AM1062" s="5" t="str">
        <f t="shared" si="65"/>
        <v/>
      </c>
      <c r="AN1062" s="5" t="str">
        <f t="shared" si="66"/>
        <v/>
      </c>
      <c r="AO1062" s="18" t="str">
        <f t="shared" si="67"/>
        <v/>
      </c>
      <c r="AP1062" s="19"/>
      <c r="AQ1062" s="20" t="str">
        <f t="shared" si="68"/>
        <v/>
      </c>
      <c r="AR1062" s="21"/>
    </row>
    <row r="1063" spans="2:44" ht="31.5" x14ac:dyDescent="0.5">
      <c r="B1063" s="1"/>
      <c r="C1063" s="15"/>
      <c r="D1063" s="16"/>
      <c r="E1063" s="15"/>
      <c r="F1063" s="17"/>
      <c r="G1063" s="8"/>
      <c r="H1063" s="8"/>
      <c r="I1063" s="8"/>
      <c r="J1063" s="8"/>
      <c r="K1063" s="8"/>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4" t="s">
        <v>49</v>
      </c>
      <c r="AM1063" s="5" t="str">
        <f t="shared" si="65"/>
        <v/>
      </c>
      <c r="AN1063" s="5" t="str">
        <f t="shared" si="66"/>
        <v/>
      </c>
      <c r="AO1063" s="18" t="str">
        <f t="shared" si="67"/>
        <v/>
      </c>
      <c r="AP1063" s="19"/>
      <c r="AQ1063" s="20" t="str">
        <f t="shared" si="68"/>
        <v/>
      </c>
      <c r="AR1063" s="21"/>
    </row>
    <row r="1064" spans="2:44" ht="31.5" x14ac:dyDescent="0.5">
      <c r="B1064" s="1"/>
      <c r="C1064" s="15"/>
      <c r="D1064" s="16"/>
      <c r="E1064" s="15"/>
      <c r="F1064" s="17"/>
      <c r="G1064" s="8"/>
      <c r="H1064" s="8"/>
      <c r="I1064" s="8"/>
      <c r="J1064" s="8"/>
      <c r="K1064" s="8"/>
      <c r="L1064" s="8"/>
      <c r="M1064" s="8"/>
      <c r="N1064" s="8"/>
      <c r="O1064" s="8"/>
      <c r="P1064" s="8"/>
      <c r="Q1064" s="8"/>
      <c r="R1064" s="8"/>
      <c r="S1064" s="8"/>
      <c r="T1064" s="8"/>
      <c r="U1064" s="8"/>
      <c r="V1064" s="8"/>
      <c r="W1064" s="8"/>
      <c r="X1064" s="8"/>
      <c r="Y1064" s="8"/>
      <c r="Z1064" s="8"/>
      <c r="AA1064" s="8"/>
      <c r="AB1064" s="8"/>
      <c r="AC1064" s="8"/>
      <c r="AD1064" s="8"/>
      <c r="AE1064" s="8"/>
      <c r="AF1064" s="8"/>
      <c r="AG1064" s="8"/>
      <c r="AH1064" s="8"/>
      <c r="AI1064" s="8"/>
      <c r="AJ1064" s="8"/>
      <c r="AK1064" s="8"/>
      <c r="AL1064" s="4" t="s">
        <v>49</v>
      </c>
      <c r="AM1064" s="5" t="str">
        <f t="shared" si="65"/>
        <v/>
      </c>
      <c r="AN1064" s="5" t="str">
        <f t="shared" si="66"/>
        <v/>
      </c>
      <c r="AO1064" s="18" t="str">
        <f t="shared" si="67"/>
        <v/>
      </c>
      <c r="AP1064" s="19"/>
      <c r="AQ1064" s="20" t="str">
        <f t="shared" si="68"/>
        <v/>
      </c>
      <c r="AR1064" s="21"/>
    </row>
    <row r="1065" spans="2:44" ht="31.5" x14ac:dyDescent="0.5">
      <c r="B1065" s="1"/>
      <c r="C1065" s="15"/>
      <c r="D1065" s="16"/>
      <c r="E1065" s="15"/>
      <c r="F1065" s="17"/>
      <c r="G1065" s="8"/>
      <c r="H1065" s="8"/>
      <c r="I1065" s="8"/>
      <c r="J1065" s="8"/>
      <c r="K1065" s="8"/>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4" t="s">
        <v>49</v>
      </c>
      <c r="AM1065" s="5" t="str">
        <f t="shared" si="65"/>
        <v/>
      </c>
      <c r="AN1065" s="5" t="str">
        <f t="shared" si="66"/>
        <v/>
      </c>
      <c r="AO1065" s="18" t="str">
        <f t="shared" si="67"/>
        <v/>
      </c>
      <c r="AP1065" s="19"/>
      <c r="AQ1065" s="20" t="str">
        <f t="shared" si="68"/>
        <v/>
      </c>
      <c r="AR1065" s="21"/>
    </row>
    <row r="1066" spans="2:44" ht="31.5" x14ac:dyDescent="0.5">
      <c r="B1066" s="1"/>
      <c r="C1066" s="15"/>
      <c r="D1066" s="16"/>
      <c r="E1066" s="15"/>
      <c r="F1066" s="17"/>
      <c r="G1066" s="8"/>
      <c r="H1066" s="8"/>
      <c r="I1066" s="8"/>
      <c r="J1066" s="8"/>
      <c r="K1066" s="8"/>
      <c r="L1066" s="8"/>
      <c r="M1066" s="8"/>
      <c r="N1066" s="8"/>
      <c r="O1066" s="8"/>
      <c r="P1066" s="8"/>
      <c r="Q1066" s="8"/>
      <c r="R1066" s="8"/>
      <c r="S1066" s="8"/>
      <c r="T1066" s="8"/>
      <c r="U1066" s="8"/>
      <c r="V1066" s="8"/>
      <c r="W1066" s="8"/>
      <c r="X1066" s="8"/>
      <c r="Y1066" s="8"/>
      <c r="Z1066" s="8"/>
      <c r="AA1066" s="8"/>
      <c r="AB1066" s="8"/>
      <c r="AC1066" s="8"/>
      <c r="AD1066" s="8"/>
      <c r="AE1066" s="8"/>
      <c r="AF1066" s="8"/>
      <c r="AG1066" s="8"/>
      <c r="AH1066" s="8"/>
      <c r="AI1066" s="8"/>
      <c r="AJ1066" s="8"/>
      <c r="AK1066" s="8"/>
      <c r="AL1066" s="4" t="s">
        <v>49</v>
      </c>
      <c r="AM1066" s="5" t="str">
        <f t="shared" si="65"/>
        <v/>
      </c>
      <c r="AN1066" s="5" t="str">
        <f t="shared" si="66"/>
        <v/>
      </c>
      <c r="AO1066" s="18" t="str">
        <f t="shared" si="67"/>
        <v/>
      </c>
      <c r="AP1066" s="19"/>
      <c r="AQ1066" s="20" t="str">
        <f t="shared" si="68"/>
        <v/>
      </c>
      <c r="AR1066" s="21"/>
    </row>
    <row r="1067" spans="2:44" ht="31.5" x14ac:dyDescent="0.5">
      <c r="B1067" s="1"/>
      <c r="C1067" s="15"/>
      <c r="D1067" s="16"/>
      <c r="E1067" s="15"/>
      <c r="F1067" s="17"/>
      <c r="G1067" s="8"/>
      <c r="H1067" s="8"/>
      <c r="I1067" s="8"/>
      <c r="J1067" s="8"/>
      <c r="K1067" s="8"/>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4" t="s">
        <v>49</v>
      </c>
      <c r="AM1067" s="5" t="str">
        <f t="shared" si="65"/>
        <v/>
      </c>
      <c r="AN1067" s="5" t="str">
        <f t="shared" si="66"/>
        <v/>
      </c>
      <c r="AO1067" s="18" t="str">
        <f t="shared" si="67"/>
        <v/>
      </c>
      <c r="AP1067" s="19"/>
      <c r="AQ1067" s="20" t="str">
        <f t="shared" si="68"/>
        <v/>
      </c>
      <c r="AR1067" s="21"/>
    </row>
    <row r="1068" spans="2:44" ht="31.5" x14ac:dyDescent="0.5">
      <c r="B1068" s="1"/>
      <c r="C1068" s="15"/>
      <c r="D1068" s="16"/>
      <c r="E1068" s="15"/>
      <c r="F1068" s="17"/>
      <c r="G1068" s="8"/>
      <c r="H1068" s="8"/>
      <c r="I1068" s="8"/>
      <c r="J1068" s="8"/>
      <c r="K1068" s="8"/>
      <c r="L1068" s="8"/>
      <c r="M1068" s="8"/>
      <c r="N1068" s="8"/>
      <c r="O1068" s="8"/>
      <c r="P1068" s="8"/>
      <c r="Q1068" s="8"/>
      <c r="R1068" s="8"/>
      <c r="S1068" s="8"/>
      <c r="T1068" s="8"/>
      <c r="U1068" s="8"/>
      <c r="V1068" s="8"/>
      <c r="W1068" s="8"/>
      <c r="X1068" s="8"/>
      <c r="Y1068" s="8"/>
      <c r="Z1068" s="8"/>
      <c r="AA1068" s="8"/>
      <c r="AB1068" s="8"/>
      <c r="AC1068" s="8"/>
      <c r="AD1068" s="8"/>
      <c r="AE1068" s="8"/>
      <c r="AF1068" s="8"/>
      <c r="AG1068" s="8"/>
      <c r="AH1068" s="8"/>
      <c r="AI1068" s="8"/>
      <c r="AJ1068" s="8"/>
      <c r="AK1068" s="8"/>
      <c r="AL1068" s="4" t="s">
        <v>49</v>
      </c>
      <c r="AM1068" s="5" t="str">
        <f t="shared" si="65"/>
        <v/>
      </c>
      <c r="AN1068" s="5" t="str">
        <f t="shared" si="66"/>
        <v/>
      </c>
      <c r="AO1068" s="18" t="str">
        <f t="shared" si="67"/>
        <v/>
      </c>
      <c r="AP1068" s="19"/>
      <c r="AQ1068" s="20" t="str">
        <f t="shared" si="68"/>
        <v/>
      </c>
      <c r="AR1068" s="21"/>
    </row>
    <row r="1069" spans="2:44" ht="31.5" x14ac:dyDescent="0.5">
      <c r="B1069" s="1"/>
      <c r="C1069" s="15"/>
      <c r="D1069" s="16"/>
      <c r="E1069" s="15"/>
      <c r="F1069" s="17"/>
      <c r="G1069" s="8"/>
      <c r="H1069" s="8"/>
      <c r="I1069" s="8"/>
      <c r="J1069" s="8"/>
      <c r="K1069" s="8"/>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4" t="s">
        <v>49</v>
      </c>
      <c r="AM1069" s="5" t="str">
        <f t="shared" si="65"/>
        <v/>
      </c>
      <c r="AN1069" s="5" t="str">
        <f t="shared" si="66"/>
        <v/>
      </c>
      <c r="AO1069" s="18" t="str">
        <f t="shared" si="67"/>
        <v/>
      </c>
      <c r="AP1069" s="19"/>
      <c r="AQ1069" s="20" t="str">
        <f t="shared" si="68"/>
        <v/>
      </c>
      <c r="AR1069" s="21"/>
    </row>
    <row r="1070" spans="2:44" ht="31.5" x14ac:dyDescent="0.5">
      <c r="B1070" s="1"/>
      <c r="C1070" s="15"/>
      <c r="D1070" s="16"/>
      <c r="E1070" s="15"/>
      <c r="F1070" s="17"/>
      <c r="G1070" s="8"/>
      <c r="H1070" s="8"/>
      <c r="I1070" s="8"/>
      <c r="J1070" s="8"/>
      <c r="K1070" s="8"/>
      <c r="L1070" s="8"/>
      <c r="M1070" s="8"/>
      <c r="N1070" s="8"/>
      <c r="O1070" s="8"/>
      <c r="P1070" s="8"/>
      <c r="Q1070" s="8"/>
      <c r="R1070" s="8"/>
      <c r="S1070" s="8"/>
      <c r="T1070" s="8"/>
      <c r="U1070" s="8"/>
      <c r="V1070" s="8"/>
      <c r="W1070" s="8"/>
      <c r="X1070" s="8"/>
      <c r="Y1070" s="8"/>
      <c r="Z1070" s="8"/>
      <c r="AA1070" s="8"/>
      <c r="AB1070" s="8"/>
      <c r="AC1070" s="8"/>
      <c r="AD1070" s="8"/>
      <c r="AE1070" s="8"/>
      <c r="AF1070" s="8"/>
      <c r="AG1070" s="8"/>
      <c r="AH1070" s="8"/>
      <c r="AI1070" s="8"/>
      <c r="AJ1070" s="8"/>
      <c r="AK1070" s="8"/>
      <c r="AL1070" s="4" t="s">
        <v>49</v>
      </c>
      <c r="AM1070" s="5" t="str">
        <f t="shared" si="65"/>
        <v/>
      </c>
      <c r="AN1070" s="5" t="str">
        <f t="shared" si="66"/>
        <v/>
      </c>
      <c r="AO1070" s="18" t="str">
        <f t="shared" si="67"/>
        <v/>
      </c>
      <c r="AP1070" s="19"/>
      <c r="AQ1070" s="20" t="str">
        <f t="shared" si="68"/>
        <v/>
      </c>
      <c r="AR1070" s="21"/>
    </row>
    <row r="1071" spans="2:44" ht="31.5" x14ac:dyDescent="0.5">
      <c r="B1071" s="1"/>
      <c r="C1071" s="15"/>
      <c r="D1071" s="16"/>
      <c r="E1071" s="15"/>
      <c r="F1071" s="17"/>
      <c r="G1071" s="8"/>
      <c r="H1071" s="8"/>
      <c r="I1071" s="8"/>
      <c r="J1071" s="8"/>
      <c r="K1071" s="8"/>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4" t="s">
        <v>49</v>
      </c>
      <c r="AM1071" s="5" t="str">
        <f t="shared" si="65"/>
        <v/>
      </c>
      <c r="AN1071" s="5" t="str">
        <f t="shared" si="66"/>
        <v/>
      </c>
      <c r="AO1071" s="18" t="str">
        <f t="shared" si="67"/>
        <v/>
      </c>
      <c r="AP1071" s="19"/>
      <c r="AQ1071" s="20" t="str">
        <f t="shared" si="68"/>
        <v/>
      </c>
      <c r="AR1071" s="21"/>
    </row>
    <row r="1072" spans="2:44" ht="31.5" x14ac:dyDescent="0.5">
      <c r="B1072" s="1"/>
      <c r="C1072" s="15"/>
      <c r="D1072" s="16"/>
      <c r="E1072" s="15"/>
      <c r="F1072" s="17"/>
      <c r="G1072" s="8"/>
      <c r="H1072" s="8"/>
      <c r="I1072" s="8"/>
      <c r="J1072" s="8"/>
      <c r="K1072" s="8"/>
      <c r="L1072" s="8"/>
      <c r="M1072" s="8"/>
      <c r="N1072" s="8"/>
      <c r="O1072" s="8"/>
      <c r="P1072" s="8"/>
      <c r="Q1072" s="8"/>
      <c r="R1072" s="8"/>
      <c r="S1072" s="8"/>
      <c r="T1072" s="8"/>
      <c r="U1072" s="8"/>
      <c r="V1072" s="8"/>
      <c r="W1072" s="8"/>
      <c r="X1072" s="8"/>
      <c r="Y1072" s="8"/>
      <c r="Z1072" s="8"/>
      <c r="AA1072" s="8"/>
      <c r="AB1072" s="8"/>
      <c r="AC1072" s="8"/>
      <c r="AD1072" s="8"/>
      <c r="AE1072" s="8"/>
      <c r="AF1072" s="8"/>
      <c r="AG1072" s="8"/>
      <c r="AH1072" s="8"/>
      <c r="AI1072" s="8"/>
      <c r="AJ1072" s="8"/>
      <c r="AK1072" s="8"/>
      <c r="AL1072" s="4" t="s">
        <v>49</v>
      </c>
      <c r="AM1072" s="5" t="str">
        <f t="shared" si="65"/>
        <v/>
      </c>
      <c r="AN1072" s="5" t="str">
        <f t="shared" si="66"/>
        <v/>
      </c>
      <c r="AO1072" s="18" t="str">
        <f t="shared" si="67"/>
        <v/>
      </c>
      <c r="AP1072" s="19"/>
      <c r="AQ1072" s="20" t="str">
        <f t="shared" si="68"/>
        <v/>
      </c>
      <c r="AR1072" s="21"/>
    </row>
    <row r="1073" spans="2:44" ht="31.5" x14ac:dyDescent="0.5">
      <c r="B1073" s="1"/>
      <c r="C1073" s="15"/>
      <c r="D1073" s="16"/>
      <c r="E1073" s="15"/>
      <c r="F1073" s="17"/>
      <c r="G1073" s="8"/>
      <c r="H1073" s="8"/>
      <c r="I1073" s="8"/>
      <c r="J1073" s="8"/>
      <c r="K1073" s="8"/>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4" t="s">
        <v>49</v>
      </c>
      <c r="AM1073" s="5" t="str">
        <f t="shared" si="65"/>
        <v/>
      </c>
      <c r="AN1073" s="5" t="str">
        <f t="shared" si="66"/>
        <v/>
      </c>
      <c r="AO1073" s="18" t="str">
        <f t="shared" si="67"/>
        <v/>
      </c>
      <c r="AP1073" s="19"/>
      <c r="AQ1073" s="20" t="str">
        <f t="shared" si="68"/>
        <v/>
      </c>
      <c r="AR1073" s="21"/>
    </row>
    <row r="1074" spans="2:44" ht="31.5" x14ac:dyDescent="0.5">
      <c r="B1074" s="1"/>
      <c r="C1074" s="15"/>
      <c r="D1074" s="16"/>
      <c r="E1074" s="15"/>
      <c r="F1074" s="17"/>
      <c r="G1074" s="8"/>
      <c r="H1074" s="8"/>
      <c r="I1074" s="8"/>
      <c r="J1074" s="8"/>
      <c r="K1074" s="8"/>
      <c r="L1074" s="8"/>
      <c r="M1074" s="8"/>
      <c r="N1074" s="8"/>
      <c r="O1074" s="8"/>
      <c r="P1074" s="8"/>
      <c r="Q1074" s="8"/>
      <c r="R1074" s="8"/>
      <c r="S1074" s="8"/>
      <c r="T1074" s="8"/>
      <c r="U1074" s="8"/>
      <c r="V1074" s="8"/>
      <c r="W1074" s="8"/>
      <c r="X1074" s="8"/>
      <c r="Y1074" s="8"/>
      <c r="Z1074" s="8"/>
      <c r="AA1074" s="8"/>
      <c r="AB1074" s="8"/>
      <c r="AC1074" s="8"/>
      <c r="AD1074" s="8"/>
      <c r="AE1074" s="8"/>
      <c r="AF1074" s="8"/>
      <c r="AG1074" s="8"/>
      <c r="AH1074" s="8"/>
      <c r="AI1074" s="8"/>
      <c r="AJ1074" s="8"/>
      <c r="AK1074" s="8"/>
      <c r="AL1074" s="4" t="s">
        <v>49</v>
      </c>
      <c r="AM1074" s="5" t="str">
        <f t="shared" si="65"/>
        <v/>
      </c>
      <c r="AN1074" s="5" t="str">
        <f t="shared" si="66"/>
        <v/>
      </c>
      <c r="AO1074" s="18" t="str">
        <f t="shared" si="67"/>
        <v/>
      </c>
      <c r="AP1074" s="19"/>
      <c r="AQ1074" s="20" t="str">
        <f t="shared" si="68"/>
        <v/>
      </c>
      <c r="AR1074" s="21"/>
    </row>
    <row r="1075" spans="2:44" ht="31.5" x14ac:dyDescent="0.5">
      <c r="B1075" s="1"/>
      <c r="C1075" s="15"/>
      <c r="D1075" s="16"/>
      <c r="E1075" s="15"/>
      <c r="F1075" s="17"/>
      <c r="G1075" s="8"/>
      <c r="H1075" s="8"/>
      <c r="I1075" s="8"/>
      <c r="J1075" s="8"/>
      <c r="K1075" s="8"/>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4" t="s">
        <v>49</v>
      </c>
      <c r="AM1075" s="5" t="str">
        <f t="shared" ref="AM1075:AM1138" si="69">IF($B1075="","",COUNTIF($G1075:$AK1075,"P"))</f>
        <v/>
      </c>
      <c r="AN1075" s="5" t="str">
        <f t="shared" ref="AN1075:AN1138" si="70">IF($B1075="","",COUNTIF($G1075:$AK1075,"AB"))</f>
        <v/>
      </c>
      <c r="AO1075" s="18" t="str">
        <f t="shared" ref="AO1075:AO1138" si="71">IF($B1075="","",SUMPRODUCT(--($G$11:$AK$11&lt;&gt;""),--($G$12:$AK$12&lt;&gt;"Sun")))</f>
        <v/>
      </c>
      <c r="AP1075" s="19"/>
      <c r="AQ1075" s="20" t="str">
        <f t="shared" ref="AQ1075:AQ1138" si="72">IF($B1075="","",IF(AO1075=0,"",AM1075/AO1075))</f>
        <v/>
      </c>
      <c r="AR1075" s="21"/>
    </row>
    <row r="1076" spans="2:44" ht="31.5" x14ac:dyDescent="0.5">
      <c r="B1076" s="1"/>
      <c r="C1076" s="15"/>
      <c r="D1076" s="16"/>
      <c r="E1076" s="15"/>
      <c r="F1076" s="17"/>
      <c r="G1076" s="8"/>
      <c r="H1076" s="8"/>
      <c r="I1076" s="8"/>
      <c r="J1076" s="8"/>
      <c r="K1076" s="8"/>
      <c r="L1076" s="8"/>
      <c r="M1076" s="8"/>
      <c r="N1076" s="8"/>
      <c r="O1076" s="8"/>
      <c r="P1076" s="8"/>
      <c r="Q1076" s="8"/>
      <c r="R1076" s="8"/>
      <c r="S1076" s="8"/>
      <c r="T1076" s="8"/>
      <c r="U1076" s="8"/>
      <c r="V1076" s="8"/>
      <c r="W1076" s="8"/>
      <c r="X1076" s="8"/>
      <c r="Y1076" s="8"/>
      <c r="Z1076" s="8"/>
      <c r="AA1076" s="8"/>
      <c r="AB1076" s="8"/>
      <c r="AC1076" s="8"/>
      <c r="AD1076" s="8"/>
      <c r="AE1076" s="8"/>
      <c r="AF1076" s="8"/>
      <c r="AG1076" s="8"/>
      <c r="AH1076" s="8"/>
      <c r="AI1076" s="8"/>
      <c r="AJ1076" s="8"/>
      <c r="AK1076" s="8"/>
      <c r="AL1076" s="4" t="s">
        <v>49</v>
      </c>
      <c r="AM1076" s="5" t="str">
        <f t="shared" si="69"/>
        <v/>
      </c>
      <c r="AN1076" s="5" t="str">
        <f t="shared" si="70"/>
        <v/>
      </c>
      <c r="AO1076" s="18" t="str">
        <f t="shared" si="71"/>
        <v/>
      </c>
      <c r="AP1076" s="19"/>
      <c r="AQ1076" s="20" t="str">
        <f t="shared" si="72"/>
        <v/>
      </c>
      <c r="AR1076" s="21"/>
    </row>
    <row r="1077" spans="2:44" ht="31.5" x14ac:dyDescent="0.5">
      <c r="B1077" s="1"/>
      <c r="C1077" s="15"/>
      <c r="D1077" s="16"/>
      <c r="E1077" s="15"/>
      <c r="F1077" s="17"/>
      <c r="G1077" s="8"/>
      <c r="H1077" s="8"/>
      <c r="I1077" s="8"/>
      <c r="J1077" s="8"/>
      <c r="K1077" s="8"/>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4" t="s">
        <v>49</v>
      </c>
      <c r="AM1077" s="5" t="str">
        <f t="shared" si="69"/>
        <v/>
      </c>
      <c r="AN1077" s="5" t="str">
        <f t="shared" si="70"/>
        <v/>
      </c>
      <c r="AO1077" s="18" t="str">
        <f t="shared" si="71"/>
        <v/>
      </c>
      <c r="AP1077" s="19"/>
      <c r="AQ1077" s="20" t="str">
        <f t="shared" si="72"/>
        <v/>
      </c>
      <c r="AR1077" s="21"/>
    </row>
    <row r="1078" spans="2:44" ht="31.5" x14ac:dyDescent="0.5">
      <c r="B1078" s="1"/>
      <c r="C1078" s="15"/>
      <c r="D1078" s="16"/>
      <c r="E1078" s="15"/>
      <c r="F1078" s="17"/>
      <c r="G1078" s="8"/>
      <c r="H1078" s="8"/>
      <c r="I1078" s="8"/>
      <c r="J1078" s="8"/>
      <c r="K1078" s="8"/>
      <c r="L1078" s="8"/>
      <c r="M1078" s="8"/>
      <c r="N1078" s="8"/>
      <c r="O1078" s="8"/>
      <c r="P1078" s="8"/>
      <c r="Q1078" s="8"/>
      <c r="R1078" s="8"/>
      <c r="S1078" s="8"/>
      <c r="T1078" s="8"/>
      <c r="U1078" s="8"/>
      <c r="V1078" s="8"/>
      <c r="W1078" s="8"/>
      <c r="X1078" s="8"/>
      <c r="Y1078" s="8"/>
      <c r="Z1078" s="8"/>
      <c r="AA1078" s="8"/>
      <c r="AB1078" s="8"/>
      <c r="AC1078" s="8"/>
      <c r="AD1078" s="8"/>
      <c r="AE1078" s="8"/>
      <c r="AF1078" s="8"/>
      <c r="AG1078" s="8"/>
      <c r="AH1078" s="8"/>
      <c r="AI1078" s="8"/>
      <c r="AJ1078" s="8"/>
      <c r="AK1078" s="8"/>
      <c r="AL1078" s="4" t="s">
        <v>49</v>
      </c>
      <c r="AM1078" s="5" t="str">
        <f t="shared" si="69"/>
        <v/>
      </c>
      <c r="AN1078" s="5" t="str">
        <f t="shared" si="70"/>
        <v/>
      </c>
      <c r="AO1078" s="18" t="str">
        <f t="shared" si="71"/>
        <v/>
      </c>
      <c r="AP1078" s="19"/>
      <c r="AQ1078" s="20" t="str">
        <f t="shared" si="72"/>
        <v/>
      </c>
      <c r="AR1078" s="21"/>
    </row>
    <row r="1079" spans="2:44" ht="31.5" x14ac:dyDescent="0.5">
      <c r="B1079" s="1"/>
      <c r="C1079" s="15"/>
      <c r="D1079" s="16"/>
      <c r="E1079" s="15"/>
      <c r="F1079" s="17"/>
      <c r="G1079" s="8"/>
      <c r="H1079" s="8"/>
      <c r="I1079" s="8"/>
      <c r="J1079" s="8"/>
      <c r="K1079" s="8"/>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4" t="s">
        <v>49</v>
      </c>
      <c r="AM1079" s="5" t="str">
        <f t="shared" si="69"/>
        <v/>
      </c>
      <c r="AN1079" s="5" t="str">
        <f t="shared" si="70"/>
        <v/>
      </c>
      <c r="AO1079" s="18" t="str">
        <f t="shared" si="71"/>
        <v/>
      </c>
      <c r="AP1079" s="19"/>
      <c r="AQ1079" s="20" t="str">
        <f t="shared" si="72"/>
        <v/>
      </c>
      <c r="AR1079" s="21"/>
    </row>
    <row r="1080" spans="2:44" ht="31.5" x14ac:dyDescent="0.5">
      <c r="B1080" s="1"/>
      <c r="C1080" s="15"/>
      <c r="D1080" s="16"/>
      <c r="E1080" s="15"/>
      <c r="F1080" s="17"/>
      <c r="G1080" s="8"/>
      <c r="H1080" s="8"/>
      <c r="I1080" s="8"/>
      <c r="J1080" s="8"/>
      <c r="K1080" s="8"/>
      <c r="L1080" s="8"/>
      <c r="M1080" s="8"/>
      <c r="N1080" s="8"/>
      <c r="O1080" s="8"/>
      <c r="P1080" s="8"/>
      <c r="Q1080" s="8"/>
      <c r="R1080" s="8"/>
      <c r="S1080" s="8"/>
      <c r="T1080" s="8"/>
      <c r="U1080" s="8"/>
      <c r="V1080" s="8"/>
      <c r="W1080" s="8"/>
      <c r="X1080" s="8"/>
      <c r="Y1080" s="8"/>
      <c r="Z1080" s="8"/>
      <c r="AA1080" s="8"/>
      <c r="AB1080" s="8"/>
      <c r="AC1080" s="8"/>
      <c r="AD1080" s="8"/>
      <c r="AE1080" s="8"/>
      <c r="AF1080" s="8"/>
      <c r="AG1080" s="8"/>
      <c r="AH1080" s="8"/>
      <c r="AI1080" s="8"/>
      <c r="AJ1080" s="8"/>
      <c r="AK1080" s="8"/>
      <c r="AL1080" s="4" t="s">
        <v>49</v>
      </c>
      <c r="AM1080" s="5" t="str">
        <f t="shared" si="69"/>
        <v/>
      </c>
      <c r="AN1080" s="5" t="str">
        <f t="shared" si="70"/>
        <v/>
      </c>
      <c r="AO1080" s="18" t="str">
        <f t="shared" si="71"/>
        <v/>
      </c>
      <c r="AP1080" s="19"/>
      <c r="AQ1080" s="20" t="str">
        <f t="shared" si="72"/>
        <v/>
      </c>
      <c r="AR1080" s="21"/>
    </row>
    <row r="1081" spans="2:44" ht="31.5" x14ac:dyDescent="0.5">
      <c r="B1081" s="1"/>
      <c r="C1081" s="15"/>
      <c r="D1081" s="16"/>
      <c r="E1081" s="15"/>
      <c r="F1081" s="17"/>
      <c r="G1081" s="8"/>
      <c r="H1081" s="8"/>
      <c r="I1081" s="8"/>
      <c r="J1081" s="8"/>
      <c r="K1081" s="8"/>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4" t="s">
        <v>49</v>
      </c>
      <c r="AM1081" s="5" t="str">
        <f t="shared" si="69"/>
        <v/>
      </c>
      <c r="AN1081" s="5" t="str">
        <f t="shared" si="70"/>
        <v/>
      </c>
      <c r="AO1081" s="18" t="str">
        <f t="shared" si="71"/>
        <v/>
      </c>
      <c r="AP1081" s="19"/>
      <c r="AQ1081" s="20" t="str">
        <f t="shared" si="72"/>
        <v/>
      </c>
      <c r="AR1081" s="21"/>
    </row>
    <row r="1082" spans="2:44" ht="31.5" x14ac:dyDescent="0.5">
      <c r="B1082" s="1"/>
      <c r="C1082" s="15"/>
      <c r="D1082" s="16"/>
      <c r="E1082" s="15"/>
      <c r="F1082" s="17"/>
      <c r="G1082" s="8"/>
      <c r="H1082" s="8"/>
      <c r="I1082" s="8"/>
      <c r="J1082" s="8"/>
      <c r="K1082" s="8"/>
      <c r="L1082" s="8"/>
      <c r="M1082" s="8"/>
      <c r="N1082" s="8"/>
      <c r="O1082" s="8"/>
      <c r="P1082" s="8"/>
      <c r="Q1082" s="8"/>
      <c r="R1082" s="8"/>
      <c r="S1082" s="8"/>
      <c r="T1082" s="8"/>
      <c r="U1082" s="8"/>
      <c r="V1082" s="8"/>
      <c r="W1082" s="8"/>
      <c r="X1082" s="8"/>
      <c r="Y1082" s="8"/>
      <c r="Z1082" s="8"/>
      <c r="AA1082" s="8"/>
      <c r="AB1082" s="8"/>
      <c r="AC1082" s="8"/>
      <c r="AD1082" s="8"/>
      <c r="AE1082" s="8"/>
      <c r="AF1082" s="8"/>
      <c r="AG1082" s="8"/>
      <c r="AH1082" s="8"/>
      <c r="AI1082" s="8"/>
      <c r="AJ1082" s="8"/>
      <c r="AK1082" s="8"/>
      <c r="AL1082" s="4" t="s">
        <v>49</v>
      </c>
      <c r="AM1082" s="5" t="str">
        <f t="shared" si="69"/>
        <v/>
      </c>
      <c r="AN1082" s="5" t="str">
        <f t="shared" si="70"/>
        <v/>
      </c>
      <c r="AO1082" s="18" t="str">
        <f t="shared" si="71"/>
        <v/>
      </c>
      <c r="AP1082" s="19"/>
      <c r="AQ1082" s="20" t="str">
        <f t="shared" si="72"/>
        <v/>
      </c>
      <c r="AR1082" s="21"/>
    </row>
    <row r="1083" spans="2:44" ht="31.5" x14ac:dyDescent="0.5">
      <c r="B1083" s="1"/>
      <c r="C1083" s="15"/>
      <c r="D1083" s="16"/>
      <c r="E1083" s="15"/>
      <c r="F1083" s="17"/>
      <c r="G1083" s="8"/>
      <c r="H1083" s="8"/>
      <c r="I1083" s="8"/>
      <c r="J1083" s="8"/>
      <c r="K1083" s="8"/>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4" t="s">
        <v>49</v>
      </c>
      <c r="AM1083" s="5" t="str">
        <f t="shared" si="69"/>
        <v/>
      </c>
      <c r="AN1083" s="5" t="str">
        <f t="shared" si="70"/>
        <v/>
      </c>
      <c r="AO1083" s="18" t="str">
        <f t="shared" si="71"/>
        <v/>
      </c>
      <c r="AP1083" s="19"/>
      <c r="AQ1083" s="20" t="str">
        <f t="shared" si="72"/>
        <v/>
      </c>
      <c r="AR1083" s="21"/>
    </row>
    <row r="1084" spans="2:44" ht="31.5" x14ac:dyDescent="0.5">
      <c r="B1084" s="1"/>
      <c r="C1084" s="15"/>
      <c r="D1084" s="16"/>
      <c r="E1084" s="15"/>
      <c r="F1084" s="17"/>
      <c r="G1084" s="8"/>
      <c r="H1084" s="8"/>
      <c r="I1084" s="8"/>
      <c r="J1084" s="8"/>
      <c r="K1084" s="8"/>
      <c r="L1084" s="8"/>
      <c r="M1084" s="8"/>
      <c r="N1084" s="8"/>
      <c r="O1084" s="8"/>
      <c r="P1084" s="8"/>
      <c r="Q1084" s="8"/>
      <c r="R1084" s="8"/>
      <c r="S1084" s="8"/>
      <c r="T1084" s="8"/>
      <c r="U1084" s="8"/>
      <c r="V1084" s="8"/>
      <c r="W1084" s="8"/>
      <c r="X1084" s="8"/>
      <c r="Y1084" s="8"/>
      <c r="Z1084" s="8"/>
      <c r="AA1084" s="8"/>
      <c r="AB1084" s="8"/>
      <c r="AC1084" s="8"/>
      <c r="AD1084" s="8"/>
      <c r="AE1084" s="8"/>
      <c r="AF1084" s="8"/>
      <c r="AG1084" s="8"/>
      <c r="AH1084" s="8"/>
      <c r="AI1084" s="8"/>
      <c r="AJ1084" s="8"/>
      <c r="AK1084" s="8"/>
      <c r="AL1084" s="4" t="s">
        <v>49</v>
      </c>
      <c r="AM1084" s="5" t="str">
        <f t="shared" si="69"/>
        <v/>
      </c>
      <c r="AN1084" s="5" t="str">
        <f t="shared" si="70"/>
        <v/>
      </c>
      <c r="AO1084" s="18" t="str">
        <f t="shared" si="71"/>
        <v/>
      </c>
      <c r="AP1084" s="19"/>
      <c r="AQ1084" s="20" t="str">
        <f t="shared" si="72"/>
        <v/>
      </c>
      <c r="AR1084" s="21"/>
    </row>
    <row r="1085" spans="2:44" ht="31.5" x14ac:dyDescent="0.5">
      <c r="B1085" s="1"/>
      <c r="C1085" s="15"/>
      <c r="D1085" s="16"/>
      <c r="E1085" s="15"/>
      <c r="F1085" s="17"/>
      <c r="G1085" s="8"/>
      <c r="H1085" s="8"/>
      <c r="I1085" s="8"/>
      <c r="J1085" s="8"/>
      <c r="K1085" s="8"/>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4" t="s">
        <v>49</v>
      </c>
      <c r="AM1085" s="5" t="str">
        <f t="shared" si="69"/>
        <v/>
      </c>
      <c r="AN1085" s="5" t="str">
        <f t="shared" si="70"/>
        <v/>
      </c>
      <c r="AO1085" s="18" t="str">
        <f t="shared" si="71"/>
        <v/>
      </c>
      <c r="AP1085" s="19"/>
      <c r="AQ1085" s="20" t="str">
        <f t="shared" si="72"/>
        <v/>
      </c>
      <c r="AR1085" s="21"/>
    </row>
    <row r="1086" spans="2:44" ht="31.5" x14ac:dyDescent="0.5">
      <c r="B1086" s="1"/>
      <c r="C1086" s="15"/>
      <c r="D1086" s="16"/>
      <c r="E1086" s="15"/>
      <c r="F1086" s="17"/>
      <c r="G1086" s="8"/>
      <c r="H1086" s="8"/>
      <c r="I1086" s="8"/>
      <c r="J1086" s="8"/>
      <c r="K1086" s="8"/>
      <c r="L1086" s="8"/>
      <c r="M1086" s="8"/>
      <c r="N1086" s="8"/>
      <c r="O1086" s="8"/>
      <c r="P1086" s="8"/>
      <c r="Q1086" s="8"/>
      <c r="R1086" s="8"/>
      <c r="S1086" s="8"/>
      <c r="T1086" s="8"/>
      <c r="U1086" s="8"/>
      <c r="V1086" s="8"/>
      <c r="W1086" s="8"/>
      <c r="X1086" s="8"/>
      <c r="Y1086" s="8"/>
      <c r="Z1086" s="8"/>
      <c r="AA1086" s="8"/>
      <c r="AB1086" s="8"/>
      <c r="AC1086" s="8"/>
      <c r="AD1086" s="8"/>
      <c r="AE1086" s="8"/>
      <c r="AF1086" s="8"/>
      <c r="AG1086" s="8"/>
      <c r="AH1086" s="8"/>
      <c r="AI1086" s="8"/>
      <c r="AJ1086" s="8"/>
      <c r="AK1086" s="8"/>
      <c r="AL1086" s="4" t="s">
        <v>49</v>
      </c>
      <c r="AM1086" s="5" t="str">
        <f t="shared" si="69"/>
        <v/>
      </c>
      <c r="AN1086" s="5" t="str">
        <f t="shared" si="70"/>
        <v/>
      </c>
      <c r="AO1086" s="18" t="str">
        <f t="shared" si="71"/>
        <v/>
      </c>
      <c r="AP1086" s="19"/>
      <c r="AQ1086" s="20" t="str">
        <f t="shared" si="72"/>
        <v/>
      </c>
      <c r="AR1086" s="21"/>
    </row>
    <row r="1087" spans="2:44" ht="31.5" x14ac:dyDescent="0.5">
      <c r="B1087" s="1"/>
      <c r="C1087" s="15"/>
      <c r="D1087" s="16"/>
      <c r="E1087" s="15"/>
      <c r="F1087" s="17"/>
      <c r="G1087" s="8"/>
      <c r="H1087" s="8"/>
      <c r="I1087" s="8"/>
      <c r="J1087" s="8"/>
      <c r="K1087" s="8"/>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4" t="s">
        <v>49</v>
      </c>
      <c r="AM1087" s="5" t="str">
        <f t="shared" si="69"/>
        <v/>
      </c>
      <c r="AN1087" s="5" t="str">
        <f t="shared" si="70"/>
        <v/>
      </c>
      <c r="AO1087" s="18" t="str">
        <f t="shared" si="71"/>
        <v/>
      </c>
      <c r="AP1087" s="19"/>
      <c r="AQ1087" s="20" t="str">
        <f t="shared" si="72"/>
        <v/>
      </c>
      <c r="AR1087" s="21"/>
    </row>
    <row r="1088" spans="2:44" ht="31.5" x14ac:dyDescent="0.5">
      <c r="B1088" s="1"/>
      <c r="C1088" s="15"/>
      <c r="D1088" s="16"/>
      <c r="E1088" s="15"/>
      <c r="F1088" s="17"/>
      <c r="G1088" s="8"/>
      <c r="H1088" s="8"/>
      <c r="I1088" s="8"/>
      <c r="J1088" s="8"/>
      <c r="K1088" s="8"/>
      <c r="L1088" s="8"/>
      <c r="M1088" s="8"/>
      <c r="N1088" s="8"/>
      <c r="O1088" s="8"/>
      <c r="P1088" s="8"/>
      <c r="Q1088" s="8"/>
      <c r="R1088" s="8"/>
      <c r="S1088" s="8"/>
      <c r="T1088" s="8"/>
      <c r="U1088" s="8"/>
      <c r="V1088" s="8"/>
      <c r="W1088" s="8"/>
      <c r="X1088" s="8"/>
      <c r="Y1088" s="8"/>
      <c r="Z1088" s="8"/>
      <c r="AA1088" s="8"/>
      <c r="AB1088" s="8"/>
      <c r="AC1088" s="8"/>
      <c r="AD1088" s="8"/>
      <c r="AE1088" s="8"/>
      <c r="AF1088" s="8"/>
      <c r="AG1088" s="8"/>
      <c r="AH1088" s="8"/>
      <c r="AI1088" s="8"/>
      <c r="AJ1088" s="8"/>
      <c r="AK1088" s="8"/>
      <c r="AL1088" s="4" t="s">
        <v>49</v>
      </c>
      <c r="AM1088" s="5" t="str">
        <f t="shared" si="69"/>
        <v/>
      </c>
      <c r="AN1088" s="5" t="str">
        <f t="shared" si="70"/>
        <v/>
      </c>
      <c r="AO1088" s="18" t="str">
        <f t="shared" si="71"/>
        <v/>
      </c>
      <c r="AP1088" s="19"/>
      <c r="AQ1088" s="20" t="str">
        <f t="shared" si="72"/>
        <v/>
      </c>
      <c r="AR1088" s="21"/>
    </row>
    <row r="1089" spans="2:44" ht="31.5" x14ac:dyDescent="0.5">
      <c r="B1089" s="1"/>
      <c r="C1089" s="15"/>
      <c r="D1089" s="16"/>
      <c r="E1089" s="15"/>
      <c r="F1089" s="17"/>
      <c r="G1089" s="8"/>
      <c r="H1089" s="8"/>
      <c r="I1089" s="8"/>
      <c r="J1089" s="8"/>
      <c r="K1089" s="8"/>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4" t="s">
        <v>49</v>
      </c>
      <c r="AM1089" s="5" t="str">
        <f t="shared" si="69"/>
        <v/>
      </c>
      <c r="AN1089" s="5" t="str">
        <f t="shared" si="70"/>
        <v/>
      </c>
      <c r="AO1089" s="18" t="str">
        <f t="shared" si="71"/>
        <v/>
      </c>
      <c r="AP1089" s="19"/>
      <c r="AQ1089" s="20" t="str">
        <f t="shared" si="72"/>
        <v/>
      </c>
      <c r="AR1089" s="21"/>
    </row>
    <row r="1090" spans="2:44" ht="31.5" x14ac:dyDescent="0.5">
      <c r="B1090" s="1"/>
      <c r="C1090" s="15"/>
      <c r="D1090" s="16"/>
      <c r="E1090" s="15"/>
      <c r="F1090" s="17"/>
      <c r="G1090" s="8"/>
      <c r="H1090" s="8"/>
      <c r="I1090" s="8"/>
      <c r="J1090" s="8"/>
      <c r="K1090" s="8"/>
      <c r="L1090" s="8"/>
      <c r="M1090" s="8"/>
      <c r="N1090" s="8"/>
      <c r="O1090" s="8"/>
      <c r="P1090" s="8"/>
      <c r="Q1090" s="8"/>
      <c r="R1090" s="8"/>
      <c r="S1090" s="8"/>
      <c r="T1090" s="8"/>
      <c r="U1090" s="8"/>
      <c r="V1090" s="8"/>
      <c r="W1090" s="8"/>
      <c r="X1090" s="8"/>
      <c r="Y1090" s="8"/>
      <c r="Z1090" s="8"/>
      <c r="AA1090" s="8"/>
      <c r="AB1090" s="8"/>
      <c r="AC1090" s="8"/>
      <c r="AD1090" s="8"/>
      <c r="AE1090" s="8"/>
      <c r="AF1090" s="8"/>
      <c r="AG1090" s="8"/>
      <c r="AH1090" s="8"/>
      <c r="AI1090" s="8"/>
      <c r="AJ1090" s="8"/>
      <c r="AK1090" s="8"/>
      <c r="AL1090" s="4" t="s">
        <v>49</v>
      </c>
      <c r="AM1090" s="5" t="str">
        <f t="shared" si="69"/>
        <v/>
      </c>
      <c r="AN1090" s="5" t="str">
        <f t="shared" si="70"/>
        <v/>
      </c>
      <c r="AO1090" s="18" t="str">
        <f t="shared" si="71"/>
        <v/>
      </c>
      <c r="AP1090" s="19"/>
      <c r="AQ1090" s="20" t="str">
        <f t="shared" si="72"/>
        <v/>
      </c>
      <c r="AR1090" s="21"/>
    </row>
    <row r="1091" spans="2:44" ht="31.5" x14ac:dyDescent="0.5">
      <c r="B1091" s="1"/>
      <c r="C1091" s="15"/>
      <c r="D1091" s="16"/>
      <c r="E1091" s="15"/>
      <c r="F1091" s="17"/>
      <c r="G1091" s="8"/>
      <c r="H1091" s="8"/>
      <c r="I1091" s="8"/>
      <c r="J1091" s="8"/>
      <c r="K1091" s="8"/>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4" t="s">
        <v>49</v>
      </c>
      <c r="AM1091" s="5" t="str">
        <f t="shared" si="69"/>
        <v/>
      </c>
      <c r="AN1091" s="5" t="str">
        <f t="shared" si="70"/>
        <v/>
      </c>
      <c r="AO1091" s="18" t="str">
        <f t="shared" si="71"/>
        <v/>
      </c>
      <c r="AP1091" s="19"/>
      <c r="AQ1091" s="20" t="str">
        <f t="shared" si="72"/>
        <v/>
      </c>
      <c r="AR1091" s="21"/>
    </row>
    <row r="1092" spans="2:44" ht="31.5" x14ac:dyDescent="0.5">
      <c r="B1092" s="1"/>
      <c r="C1092" s="15"/>
      <c r="D1092" s="16"/>
      <c r="E1092" s="15"/>
      <c r="F1092" s="17"/>
      <c r="G1092" s="8"/>
      <c r="H1092" s="8"/>
      <c r="I1092" s="8"/>
      <c r="J1092" s="8"/>
      <c r="K1092" s="8"/>
      <c r="L1092" s="8"/>
      <c r="M1092" s="8"/>
      <c r="N1092" s="8"/>
      <c r="O1092" s="8"/>
      <c r="P1092" s="8"/>
      <c r="Q1092" s="8"/>
      <c r="R1092" s="8"/>
      <c r="S1092" s="8"/>
      <c r="T1092" s="8"/>
      <c r="U1092" s="8"/>
      <c r="V1092" s="8"/>
      <c r="W1092" s="8"/>
      <c r="X1092" s="8"/>
      <c r="Y1092" s="8"/>
      <c r="Z1092" s="8"/>
      <c r="AA1092" s="8"/>
      <c r="AB1092" s="8"/>
      <c r="AC1092" s="8"/>
      <c r="AD1092" s="8"/>
      <c r="AE1092" s="8"/>
      <c r="AF1092" s="8"/>
      <c r="AG1092" s="8"/>
      <c r="AH1092" s="8"/>
      <c r="AI1092" s="8"/>
      <c r="AJ1092" s="8"/>
      <c r="AK1092" s="8"/>
      <c r="AL1092" s="4" t="s">
        <v>49</v>
      </c>
      <c r="AM1092" s="5" t="str">
        <f t="shared" si="69"/>
        <v/>
      </c>
      <c r="AN1092" s="5" t="str">
        <f t="shared" si="70"/>
        <v/>
      </c>
      <c r="AO1092" s="18" t="str">
        <f t="shared" si="71"/>
        <v/>
      </c>
      <c r="AP1092" s="19"/>
      <c r="AQ1092" s="20" t="str">
        <f t="shared" si="72"/>
        <v/>
      </c>
      <c r="AR1092" s="21"/>
    </row>
    <row r="1093" spans="2:44" ht="31.5" x14ac:dyDescent="0.5">
      <c r="B1093" s="1"/>
      <c r="C1093" s="15"/>
      <c r="D1093" s="16"/>
      <c r="E1093" s="15"/>
      <c r="F1093" s="17"/>
      <c r="G1093" s="8"/>
      <c r="H1093" s="8"/>
      <c r="I1093" s="8"/>
      <c r="J1093" s="8"/>
      <c r="K1093" s="8"/>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4" t="s">
        <v>49</v>
      </c>
      <c r="AM1093" s="5" t="str">
        <f t="shared" si="69"/>
        <v/>
      </c>
      <c r="AN1093" s="5" t="str">
        <f t="shared" si="70"/>
        <v/>
      </c>
      <c r="AO1093" s="18" t="str">
        <f t="shared" si="71"/>
        <v/>
      </c>
      <c r="AP1093" s="19"/>
      <c r="AQ1093" s="20" t="str">
        <f t="shared" si="72"/>
        <v/>
      </c>
      <c r="AR1093" s="21"/>
    </row>
    <row r="1094" spans="2:44" ht="31.5" x14ac:dyDescent="0.5">
      <c r="B1094" s="1"/>
      <c r="C1094" s="15"/>
      <c r="D1094" s="16"/>
      <c r="E1094" s="15"/>
      <c r="F1094" s="17"/>
      <c r="G1094" s="8"/>
      <c r="H1094" s="8"/>
      <c r="I1094" s="8"/>
      <c r="J1094" s="8"/>
      <c r="K1094" s="8"/>
      <c r="L1094" s="8"/>
      <c r="M1094" s="8"/>
      <c r="N1094" s="8"/>
      <c r="O1094" s="8"/>
      <c r="P1094" s="8"/>
      <c r="Q1094" s="8"/>
      <c r="R1094" s="8"/>
      <c r="S1094" s="8"/>
      <c r="T1094" s="8"/>
      <c r="U1094" s="8"/>
      <c r="V1094" s="8"/>
      <c r="W1094" s="8"/>
      <c r="X1094" s="8"/>
      <c r="Y1094" s="8"/>
      <c r="Z1094" s="8"/>
      <c r="AA1094" s="8"/>
      <c r="AB1094" s="8"/>
      <c r="AC1094" s="8"/>
      <c r="AD1094" s="8"/>
      <c r="AE1094" s="8"/>
      <c r="AF1094" s="8"/>
      <c r="AG1094" s="8"/>
      <c r="AH1094" s="8"/>
      <c r="AI1094" s="8"/>
      <c r="AJ1094" s="8"/>
      <c r="AK1094" s="8"/>
      <c r="AL1094" s="4" t="s">
        <v>49</v>
      </c>
      <c r="AM1094" s="5" t="str">
        <f t="shared" si="69"/>
        <v/>
      </c>
      <c r="AN1094" s="5" t="str">
        <f t="shared" si="70"/>
        <v/>
      </c>
      <c r="AO1094" s="18" t="str">
        <f t="shared" si="71"/>
        <v/>
      </c>
      <c r="AP1094" s="19"/>
      <c r="AQ1094" s="20" t="str">
        <f t="shared" si="72"/>
        <v/>
      </c>
      <c r="AR1094" s="21"/>
    </row>
    <row r="1095" spans="2:44" ht="31.5" x14ac:dyDescent="0.5">
      <c r="B1095" s="1"/>
      <c r="C1095" s="15"/>
      <c r="D1095" s="16"/>
      <c r="E1095" s="15"/>
      <c r="F1095" s="17"/>
      <c r="G1095" s="8"/>
      <c r="H1095" s="8"/>
      <c r="I1095" s="8"/>
      <c r="J1095" s="8"/>
      <c r="K1095" s="8"/>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4" t="s">
        <v>49</v>
      </c>
      <c r="AM1095" s="5" t="str">
        <f t="shared" si="69"/>
        <v/>
      </c>
      <c r="AN1095" s="5" t="str">
        <f t="shared" si="70"/>
        <v/>
      </c>
      <c r="AO1095" s="18" t="str">
        <f t="shared" si="71"/>
        <v/>
      </c>
      <c r="AP1095" s="19"/>
      <c r="AQ1095" s="20" t="str">
        <f t="shared" si="72"/>
        <v/>
      </c>
      <c r="AR1095" s="21"/>
    </row>
    <row r="1096" spans="2:44" ht="31.5" x14ac:dyDescent="0.5">
      <c r="B1096" s="1"/>
      <c r="C1096" s="15"/>
      <c r="D1096" s="16"/>
      <c r="E1096" s="15"/>
      <c r="F1096" s="17"/>
      <c r="G1096" s="8"/>
      <c r="H1096" s="8"/>
      <c r="I1096" s="8"/>
      <c r="J1096" s="8"/>
      <c r="K1096" s="8"/>
      <c r="L1096" s="8"/>
      <c r="M1096" s="8"/>
      <c r="N1096" s="8"/>
      <c r="O1096" s="8"/>
      <c r="P1096" s="8"/>
      <c r="Q1096" s="8"/>
      <c r="R1096" s="8"/>
      <c r="S1096" s="8"/>
      <c r="T1096" s="8"/>
      <c r="U1096" s="8"/>
      <c r="V1096" s="8"/>
      <c r="W1096" s="8"/>
      <c r="X1096" s="8"/>
      <c r="Y1096" s="8"/>
      <c r="Z1096" s="8"/>
      <c r="AA1096" s="8"/>
      <c r="AB1096" s="8"/>
      <c r="AC1096" s="8"/>
      <c r="AD1096" s="8"/>
      <c r="AE1096" s="8"/>
      <c r="AF1096" s="8"/>
      <c r="AG1096" s="8"/>
      <c r="AH1096" s="8"/>
      <c r="AI1096" s="8"/>
      <c r="AJ1096" s="8"/>
      <c r="AK1096" s="8"/>
      <c r="AL1096" s="4" t="s">
        <v>49</v>
      </c>
      <c r="AM1096" s="5" t="str">
        <f t="shared" si="69"/>
        <v/>
      </c>
      <c r="AN1096" s="5" t="str">
        <f t="shared" si="70"/>
        <v/>
      </c>
      <c r="AO1096" s="18" t="str">
        <f t="shared" si="71"/>
        <v/>
      </c>
      <c r="AP1096" s="19"/>
      <c r="AQ1096" s="20" t="str">
        <f t="shared" si="72"/>
        <v/>
      </c>
      <c r="AR1096" s="21"/>
    </row>
    <row r="1097" spans="2:44" ht="31.5" x14ac:dyDescent="0.5">
      <c r="B1097" s="1"/>
      <c r="C1097" s="15"/>
      <c r="D1097" s="16"/>
      <c r="E1097" s="15"/>
      <c r="F1097" s="17"/>
      <c r="G1097" s="8"/>
      <c r="H1097" s="8"/>
      <c r="I1097" s="8"/>
      <c r="J1097" s="8"/>
      <c r="K1097" s="8"/>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4" t="s">
        <v>49</v>
      </c>
      <c r="AM1097" s="5" t="str">
        <f t="shared" si="69"/>
        <v/>
      </c>
      <c r="AN1097" s="5" t="str">
        <f t="shared" si="70"/>
        <v/>
      </c>
      <c r="AO1097" s="18" t="str">
        <f t="shared" si="71"/>
        <v/>
      </c>
      <c r="AP1097" s="19"/>
      <c r="AQ1097" s="20" t="str">
        <f t="shared" si="72"/>
        <v/>
      </c>
      <c r="AR1097" s="21"/>
    </row>
    <row r="1098" spans="2:44" ht="31.5" x14ac:dyDescent="0.5">
      <c r="B1098" s="1"/>
      <c r="C1098" s="15"/>
      <c r="D1098" s="16"/>
      <c r="E1098" s="15"/>
      <c r="F1098" s="17"/>
      <c r="G1098" s="8"/>
      <c r="H1098" s="8"/>
      <c r="I1098" s="8"/>
      <c r="J1098" s="8"/>
      <c r="K1098" s="8"/>
      <c r="L1098" s="8"/>
      <c r="M1098" s="8"/>
      <c r="N1098" s="8"/>
      <c r="O1098" s="8"/>
      <c r="P1098" s="8"/>
      <c r="Q1098" s="8"/>
      <c r="R1098" s="8"/>
      <c r="S1098" s="8"/>
      <c r="T1098" s="8"/>
      <c r="U1098" s="8"/>
      <c r="V1098" s="8"/>
      <c r="W1098" s="8"/>
      <c r="X1098" s="8"/>
      <c r="Y1098" s="8"/>
      <c r="Z1098" s="8"/>
      <c r="AA1098" s="8"/>
      <c r="AB1098" s="8"/>
      <c r="AC1098" s="8"/>
      <c r="AD1098" s="8"/>
      <c r="AE1098" s="8"/>
      <c r="AF1098" s="8"/>
      <c r="AG1098" s="8"/>
      <c r="AH1098" s="8"/>
      <c r="AI1098" s="8"/>
      <c r="AJ1098" s="8"/>
      <c r="AK1098" s="8"/>
      <c r="AL1098" s="4" t="s">
        <v>49</v>
      </c>
      <c r="AM1098" s="5" t="str">
        <f t="shared" si="69"/>
        <v/>
      </c>
      <c r="AN1098" s="5" t="str">
        <f t="shared" si="70"/>
        <v/>
      </c>
      <c r="AO1098" s="18" t="str">
        <f t="shared" si="71"/>
        <v/>
      </c>
      <c r="AP1098" s="19"/>
      <c r="AQ1098" s="20" t="str">
        <f t="shared" si="72"/>
        <v/>
      </c>
      <c r="AR1098" s="21"/>
    </row>
    <row r="1099" spans="2:44" ht="31.5" x14ac:dyDescent="0.5">
      <c r="B1099" s="1"/>
      <c r="C1099" s="15"/>
      <c r="D1099" s="16"/>
      <c r="E1099" s="15"/>
      <c r="F1099" s="17"/>
      <c r="G1099" s="8"/>
      <c r="H1099" s="8"/>
      <c r="I1099" s="8"/>
      <c r="J1099" s="8"/>
      <c r="K1099" s="8"/>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4" t="s">
        <v>49</v>
      </c>
      <c r="AM1099" s="5" t="str">
        <f t="shared" si="69"/>
        <v/>
      </c>
      <c r="AN1099" s="5" t="str">
        <f t="shared" si="70"/>
        <v/>
      </c>
      <c r="AO1099" s="18" t="str">
        <f t="shared" si="71"/>
        <v/>
      </c>
      <c r="AP1099" s="19"/>
      <c r="AQ1099" s="20" t="str">
        <f t="shared" si="72"/>
        <v/>
      </c>
      <c r="AR1099" s="21"/>
    </row>
    <row r="1100" spans="2:44" ht="31.5" x14ac:dyDescent="0.5">
      <c r="B1100" s="1"/>
      <c r="C1100" s="15"/>
      <c r="D1100" s="16"/>
      <c r="E1100" s="15"/>
      <c r="F1100" s="17"/>
      <c r="G1100" s="8"/>
      <c r="H1100" s="8"/>
      <c r="I1100" s="8"/>
      <c r="J1100" s="8"/>
      <c r="K1100" s="8"/>
      <c r="L1100" s="8"/>
      <c r="M1100" s="8"/>
      <c r="N1100" s="8"/>
      <c r="O1100" s="8"/>
      <c r="P1100" s="8"/>
      <c r="Q1100" s="8"/>
      <c r="R1100" s="8"/>
      <c r="S1100" s="8"/>
      <c r="T1100" s="8"/>
      <c r="U1100" s="8"/>
      <c r="V1100" s="8"/>
      <c r="W1100" s="8"/>
      <c r="X1100" s="8"/>
      <c r="Y1100" s="8"/>
      <c r="Z1100" s="8"/>
      <c r="AA1100" s="8"/>
      <c r="AB1100" s="8"/>
      <c r="AC1100" s="8"/>
      <c r="AD1100" s="8"/>
      <c r="AE1100" s="8"/>
      <c r="AF1100" s="8"/>
      <c r="AG1100" s="8"/>
      <c r="AH1100" s="8"/>
      <c r="AI1100" s="8"/>
      <c r="AJ1100" s="8"/>
      <c r="AK1100" s="8"/>
      <c r="AL1100" s="4" t="s">
        <v>49</v>
      </c>
      <c r="AM1100" s="5" t="str">
        <f t="shared" si="69"/>
        <v/>
      </c>
      <c r="AN1100" s="5" t="str">
        <f t="shared" si="70"/>
        <v/>
      </c>
      <c r="AO1100" s="18" t="str">
        <f t="shared" si="71"/>
        <v/>
      </c>
      <c r="AP1100" s="19"/>
      <c r="AQ1100" s="20" t="str">
        <f t="shared" si="72"/>
        <v/>
      </c>
      <c r="AR1100" s="21"/>
    </row>
    <row r="1101" spans="2:44" ht="31.5" x14ac:dyDescent="0.5">
      <c r="B1101" s="1"/>
      <c r="C1101" s="15"/>
      <c r="D1101" s="16"/>
      <c r="E1101" s="15"/>
      <c r="F1101" s="17"/>
      <c r="G1101" s="8"/>
      <c r="H1101" s="8"/>
      <c r="I1101" s="8"/>
      <c r="J1101" s="8"/>
      <c r="K1101" s="8"/>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4" t="s">
        <v>49</v>
      </c>
      <c r="AM1101" s="5" t="str">
        <f t="shared" si="69"/>
        <v/>
      </c>
      <c r="AN1101" s="5" t="str">
        <f t="shared" si="70"/>
        <v/>
      </c>
      <c r="AO1101" s="18" t="str">
        <f t="shared" si="71"/>
        <v/>
      </c>
      <c r="AP1101" s="19"/>
      <c r="AQ1101" s="20" t="str">
        <f t="shared" si="72"/>
        <v/>
      </c>
      <c r="AR1101" s="21"/>
    </row>
    <row r="1102" spans="2:44" ht="31.5" x14ac:dyDescent="0.5">
      <c r="B1102" s="1"/>
      <c r="C1102" s="15"/>
      <c r="D1102" s="16"/>
      <c r="E1102" s="15"/>
      <c r="F1102" s="17"/>
      <c r="G1102" s="8"/>
      <c r="H1102" s="8"/>
      <c r="I1102" s="8"/>
      <c r="J1102" s="8"/>
      <c r="K1102" s="8"/>
      <c r="L1102" s="8"/>
      <c r="M1102" s="8"/>
      <c r="N1102" s="8"/>
      <c r="O1102" s="8"/>
      <c r="P1102" s="8"/>
      <c r="Q1102" s="8"/>
      <c r="R1102" s="8"/>
      <c r="S1102" s="8"/>
      <c r="T1102" s="8"/>
      <c r="U1102" s="8"/>
      <c r="V1102" s="8"/>
      <c r="W1102" s="8"/>
      <c r="X1102" s="8"/>
      <c r="Y1102" s="8"/>
      <c r="Z1102" s="8"/>
      <c r="AA1102" s="8"/>
      <c r="AB1102" s="8"/>
      <c r="AC1102" s="8"/>
      <c r="AD1102" s="8"/>
      <c r="AE1102" s="8"/>
      <c r="AF1102" s="8"/>
      <c r="AG1102" s="8"/>
      <c r="AH1102" s="8"/>
      <c r="AI1102" s="8"/>
      <c r="AJ1102" s="8"/>
      <c r="AK1102" s="8"/>
      <c r="AL1102" s="4" t="s">
        <v>49</v>
      </c>
      <c r="AM1102" s="5" t="str">
        <f t="shared" si="69"/>
        <v/>
      </c>
      <c r="AN1102" s="5" t="str">
        <f t="shared" si="70"/>
        <v/>
      </c>
      <c r="AO1102" s="18" t="str">
        <f t="shared" si="71"/>
        <v/>
      </c>
      <c r="AP1102" s="19"/>
      <c r="AQ1102" s="20" t="str">
        <f t="shared" si="72"/>
        <v/>
      </c>
      <c r="AR1102" s="21"/>
    </row>
    <row r="1103" spans="2:44" ht="31.5" x14ac:dyDescent="0.5">
      <c r="B1103" s="1"/>
      <c r="C1103" s="15"/>
      <c r="D1103" s="16"/>
      <c r="E1103" s="15"/>
      <c r="F1103" s="17"/>
      <c r="G1103" s="8"/>
      <c r="H1103" s="8"/>
      <c r="I1103" s="8"/>
      <c r="J1103" s="8"/>
      <c r="K1103" s="8"/>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4" t="s">
        <v>49</v>
      </c>
      <c r="AM1103" s="5" t="str">
        <f t="shared" si="69"/>
        <v/>
      </c>
      <c r="AN1103" s="5" t="str">
        <f t="shared" si="70"/>
        <v/>
      </c>
      <c r="AO1103" s="18" t="str">
        <f t="shared" si="71"/>
        <v/>
      </c>
      <c r="AP1103" s="19"/>
      <c r="AQ1103" s="20" t="str">
        <f t="shared" si="72"/>
        <v/>
      </c>
      <c r="AR1103" s="21"/>
    </row>
    <row r="1104" spans="2:44" ht="31.5" x14ac:dyDescent="0.5">
      <c r="B1104" s="1"/>
      <c r="C1104" s="15"/>
      <c r="D1104" s="16"/>
      <c r="E1104" s="15"/>
      <c r="F1104" s="17"/>
      <c r="G1104" s="8"/>
      <c r="H1104" s="8"/>
      <c r="I1104" s="8"/>
      <c r="J1104" s="8"/>
      <c r="K1104" s="8"/>
      <c r="L1104" s="8"/>
      <c r="M1104" s="8"/>
      <c r="N1104" s="8"/>
      <c r="O1104" s="8"/>
      <c r="P1104" s="8"/>
      <c r="Q1104" s="8"/>
      <c r="R1104" s="8"/>
      <c r="S1104" s="8"/>
      <c r="T1104" s="8"/>
      <c r="U1104" s="8"/>
      <c r="V1104" s="8"/>
      <c r="W1104" s="8"/>
      <c r="X1104" s="8"/>
      <c r="Y1104" s="8"/>
      <c r="Z1104" s="8"/>
      <c r="AA1104" s="8"/>
      <c r="AB1104" s="8"/>
      <c r="AC1104" s="8"/>
      <c r="AD1104" s="8"/>
      <c r="AE1104" s="8"/>
      <c r="AF1104" s="8"/>
      <c r="AG1104" s="8"/>
      <c r="AH1104" s="8"/>
      <c r="AI1104" s="8"/>
      <c r="AJ1104" s="8"/>
      <c r="AK1104" s="8"/>
      <c r="AL1104" s="4" t="s">
        <v>49</v>
      </c>
      <c r="AM1104" s="5" t="str">
        <f t="shared" si="69"/>
        <v/>
      </c>
      <c r="AN1104" s="5" t="str">
        <f t="shared" si="70"/>
        <v/>
      </c>
      <c r="AO1104" s="18" t="str">
        <f t="shared" si="71"/>
        <v/>
      </c>
      <c r="AP1104" s="19"/>
      <c r="AQ1104" s="20" t="str">
        <f t="shared" si="72"/>
        <v/>
      </c>
      <c r="AR1104" s="21"/>
    </row>
    <row r="1105" spans="2:44" ht="31.5" x14ac:dyDescent="0.5">
      <c r="B1105" s="1"/>
      <c r="C1105" s="15"/>
      <c r="D1105" s="16"/>
      <c r="E1105" s="15"/>
      <c r="F1105" s="17"/>
      <c r="G1105" s="8"/>
      <c r="H1105" s="8"/>
      <c r="I1105" s="8"/>
      <c r="J1105" s="8"/>
      <c r="K1105" s="8"/>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4" t="s">
        <v>49</v>
      </c>
      <c r="AM1105" s="5" t="str">
        <f t="shared" si="69"/>
        <v/>
      </c>
      <c r="AN1105" s="5" t="str">
        <f t="shared" si="70"/>
        <v/>
      </c>
      <c r="AO1105" s="18" t="str">
        <f t="shared" si="71"/>
        <v/>
      </c>
      <c r="AP1105" s="19"/>
      <c r="AQ1105" s="20" t="str">
        <f t="shared" si="72"/>
        <v/>
      </c>
      <c r="AR1105" s="21"/>
    </row>
    <row r="1106" spans="2:44" ht="31.5" x14ac:dyDescent="0.5">
      <c r="B1106" s="1"/>
      <c r="C1106" s="15"/>
      <c r="D1106" s="16"/>
      <c r="E1106" s="15"/>
      <c r="F1106" s="17"/>
      <c r="G1106" s="8"/>
      <c r="H1106" s="8"/>
      <c r="I1106" s="8"/>
      <c r="J1106" s="8"/>
      <c r="K1106" s="8"/>
      <c r="L1106" s="8"/>
      <c r="M1106" s="8"/>
      <c r="N1106" s="8"/>
      <c r="O1106" s="8"/>
      <c r="P1106" s="8"/>
      <c r="Q1106" s="8"/>
      <c r="R1106" s="8"/>
      <c r="S1106" s="8"/>
      <c r="T1106" s="8"/>
      <c r="U1106" s="8"/>
      <c r="V1106" s="8"/>
      <c r="W1106" s="8"/>
      <c r="X1106" s="8"/>
      <c r="Y1106" s="8"/>
      <c r="Z1106" s="8"/>
      <c r="AA1106" s="8"/>
      <c r="AB1106" s="8"/>
      <c r="AC1106" s="8"/>
      <c r="AD1106" s="8"/>
      <c r="AE1106" s="8"/>
      <c r="AF1106" s="8"/>
      <c r="AG1106" s="8"/>
      <c r="AH1106" s="8"/>
      <c r="AI1106" s="8"/>
      <c r="AJ1106" s="8"/>
      <c r="AK1106" s="8"/>
      <c r="AL1106" s="4" t="s">
        <v>49</v>
      </c>
      <c r="AM1106" s="5" t="str">
        <f t="shared" si="69"/>
        <v/>
      </c>
      <c r="AN1106" s="5" t="str">
        <f t="shared" si="70"/>
        <v/>
      </c>
      <c r="AO1106" s="18" t="str">
        <f t="shared" si="71"/>
        <v/>
      </c>
      <c r="AP1106" s="19"/>
      <c r="AQ1106" s="20" t="str">
        <f t="shared" si="72"/>
        <v/>
      </c>
      <c r="AR1106" s="21"/>
    </row>
    <row r="1107" spans="2:44" ht="31.5" x14ac:dyDescent="0.5">
      <c r="B1107" s="1"/>
      <c r="C1107" s="15"/>
      <c r="D1107" s="16"/>
      <c r="E1107" s="15"/>
      <c r="F1107" s="17"/>
      <c r="G1107" s="8"/>
      <c r="H1107" s="8"/>
      <c r="I1107" s="8"/>
      <c r="J1107" s="8"/>
      <c r="K1107" s="8"/>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4" t="s">
        <v>49</v>
      </c>
      <c r="AM1107" s="5" t="str">
        <f t="shared" si="69"/>
        <v/>
      </c>
      <c r="AN1107" s="5" t="str">
        <f t="shared" si="70"/>
        <v/>
      </c>
      <c r="AO1107" s="18" t="str">
        <f t="shared" si="71"/>
        <v/>
      </c>
      <c r="AP1107" s="19"/>
      <c r="AQ1107" s="20" t="str">
        <f t="shared" si="72"/>
        <v/>
      </c>
      <c r="AR1107" s="21"/>
    </row>
    <row r="1108" spans="2:44" ht="31.5" x14ac:dyDescent="0.5">
      <c r="B1108" s="1"/>
      <c r="C1108" s="15"/>
      <c r="D1108" s="16"/>
      <c r="E1108" s="15"/>
      <c r="F1108" s="17"/>
      <c r="G1108" s="8"/>
      <c r="H1108" s="8"/>
      <c r="I1108" s="8"/>
      <c r="J1108" s="8"/>
      <c r="K1108" s="8"/>
      <c r="L1108" s="8"/>
      <c r="M1108" s="8"/>
      <c r="N1108" s="8"/>
      <c r="O1108" s="8"/>
      <c r="P1108" s="8"/>
      <c r="Q1108" s="8"/>
      <c r="R1108" s="8"/>
      <c r="S1108" s="8"/>
      <c r="T1108" s="8"/>
      <c r="U1108" s="8"/>
      <c r="V1108" s="8"/>
      <c r="W1108" s="8"/>
      <c r="X1108" s="8"/>
      <c r="Y1108" s="8"/>
      <c r="Z1108" s="8"/>
      <c r="AA1108" s="8"/>
      <c r="AB1108" s="8"/>
      <c r="AC1108" s="8"/>
      <c r="AD1108" s="8"/>
      <c r="AE1108" s="8"/>
      <c r="AF1108" s="8"/>
      <c r="AG1108" s="8"/>
      <c r="AH1108" s="8"/>
      <c r="AI1108" s="8"/>
      <c r="AJ1108" s="8"/>
      <c r="AK1108" s="8"/>
      <c r="AL1108" s="4" t="s">
        <v>49</v>
      </c>
      <c r="AM1108" s="5" t="str">
        <f t="shared" si="69"/>
        <v/>
      </c>
      <c r="AN1108" s="5" t="str">
        <f t="shared" si="70"/>
        <v/>
      </c>
      <c r="AO1108" s="18" t="str">
        <f t="shared" si="71"/>
        <v/>
      </c>
      <c r="AP1108" s="19"/>
      <c r="AQ1108" s="20" t="str">
        <f t="shared" si="72"/>
        <v/>
      </c>
      <c r="AR1108" s="21"/>
    </row>
    <row r="1109" spans="2:44" ht="31.5" x14ac:dyDescent="0.5">
      <c r="B1109" s="1"/>
      <c r="C1109" s="15"/>
      <c r="D1109" s="16"/>
      <c r="E1109" s="15"/>
      <c r="F1109" s="17"/>
      <c r="G1109" s="8"/>
      <c r="H1109" s="8"/>
      <c r="I1109" s="8"/>
      <c r="J1109" s="8"/>
      <c r="K1109" s="8"/>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4" t="s">
        <v>49</v>
      </c>
      <c r="AM1109" s="5" t="str">
        <f t="shared" si="69"/>
        <v/>
      </c>
      <c r="AN1109" s="5" t="str">
        <f t="shared" si="70"/>
        <v/>
      </c>
      <c r="AO1109" s="18" t="str">
        <f t="shared" si="71"/>
        <v/>
      </c>
      <c r="AP1109" s="19"/>
      <c r="AQ1109" s="20" t="str">
        <f t="shared" si="72"/>
        <v/>
      </c>
      <c r="AR1109" s="21"/>
    </row>
    <row r="1110" spans="2:44" ht="31.5" x14ac:dyDescent="0.5">
      <c r="B1110" s="1"/>
      <c r="C1110" s="15"/>
      <c r="D1110" s="16"/>
      <c r="E1110" s="15"/>
      <c r="F1110" s="17"/>
      <c r="G1110" s="8"/>
      <c r="H1110" s="8"/>
      <c r="I1110" s="8"/>
      <c r="J1110" s="8"/>
      <c r="K1110" s="8"/>
      <c r="L1110" s="8"/>
      <c r="M1110" s="8"/>
      <c r="N1110" s="8"/>
      <c r="O1110" s="8"/>
      <c r="P1110" s="8"/>
      <c r="Q1110" s="8"/>
      <c r="R1110" s="8"/>
      <c r="S1110" s="8"/>
      <c r="T1110" s="8"/>
      <c r="U1110" s="8"/>
      <c r="V1110" s="8"/>
      <c r="W1110" s="8"/>
      <c r="X1110" s="8"/>
      <c r="Y1110" s="8"/>
      <c r="Z1110" s="8"/>
      <c r="AA1110" s="8"/>
      <c r="AB1110" s="8"/>
      <c r="AC1110" s="8"/>
      <c r="AD1110" s="8"/>
      <c r="AE1110" s="8"/>
      <c r="AF1110" s="8"/>
      <c r="AG1110" s="8"/>
      <c r="AH1110" s="8"/>
      <c r="AI1110" s="8"/>
      <c r="AJ1110" s="8"/>
      <c r="AK1110" s="8"/>
      <c r="AL1110" s="4" t="s">
        <v>49</v>
      </c>
      <c r="AM1110" s="5" t="str">
        <f t="shared" si="69"/>
        <v/>
      </c>
      <c r="AN1110" s="5" t="str">
        <f t="shared" si="70"/>
        <v/>
      </c>
      <c r="AO1110" s="18" t="str">
        <f t="shared" si="71"/>
        <v/>
      </c>
      <c r="AP1110" s="19"/>
      <c r="AQ1110" s="20" t="str">
        <f t="shared" si="72"/>
        <v/>
      </c>
      <c r="AR1110" s="21"/>
    </row>
    <row r="1111" spans="2:44" ht="31.5" x14ac:dyDescent="0.5">
      <c r="B1111" s="1"/>
      <c r="C1111" s="15"/>
      <c r="D1111" s="16"/>
      <c r="E1111" s="15"/>
      <c r="F1111" s="17"/>
      <c r="G1111" s="8"/>
      <c r="H1111" s="8"/>
      <c r="I1111" s="8"/>
      <c r="J1111" s="8"/>
      <c r="K1111" s="8"/>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4" t="s">
        <v>49</v>
      </c>
      <c r="AM1111" s="5" t="str">
        <f t="shared" si="69"/>
        <v/>
      </c>
      <c r="AN1111" s="5" t="str">
        <f t="shared" si="70"/>
        <v/>
      </c>
      <c r="AO1111" s="18" t="str">
        <f t="shared" si="71"/>
        <v/>
      </c>
      <c r="AP1111" s="19"/>
      <c r="AQ1111" s="20" t="str">
        <f t="shared" si="72"/>
        <v/>
      </c>
      <c r="AR1111" s="21"/>
    </row>
    <row r="1112" spans="2:44" ht="31.5" x14ac:dyDescent="0.5">
      <c r="B1112" s="1"/>
      <c r="C1112" s="15"/>
      <c r="D1112" s="16"/>
      <c r="E1112" s="15"/>
      <c r="F1112" s="17"/>
      <c r="G1112" s="8"/>
      <c r="H1112" s="8"/>
      <c r="I1112" s="8"/>
      <c r="J1112" s="8"/>
      <c r="K1112" s="8"/>
      <c r="L1112" s="8"/>
      <c r="M1112" s="8"/>
      <c r="N1112" s="8"/>
      <c r="O1112" s="8"/>
      <c r="P1112" s="8"/>
      <c r="Q1112" s="8"/>
      <c r="R1112" s="8"/>
      <c r="S1112" s="8"/>
      <c r="T1112" s="8"/>
      <c r="U1112" s="8"/>
      <c r="V1112" s="8"/>
      <c r="W1112" s="8"/>
      <c r="X1112" s="8"/>
      <c r="Y1112" s="8"/>
      <c r="Z1112" s="8"/>
      <c r="AA1112" s="8"/>
      <c r="AB1112" s="8"/>
      <c r="AC1112" s="8"/>
      <c r="AD1112" s="8"/>
      <c r="AE1112" s="8"/>
      <c r="AF1112" s="8"/>
      <c r="AG1112" s="8"/>
      <c r="AH1112" s="8"/>
      <c r="AI1112" s="8"/>
      <c r="AJ1112" s="8"/>
      <c r="AK1112" s="8"/>
      <c r="AL1112" s="4" t="s">
        <v>49</v>
      </c>
      <c r="AM1112" s="5" t="str">
        <f t="shared" si="69"/>
        <v/>
      </c>
      <c r="AN1112" s="5" t="str">
        <f t="shared" si="70"/>
        <v/>
      </c>
      <c r="AO1112" s="18" t="str">
        <f t="shared" si="71"/>
        <v/>
      </c>
      <c r="AP1112" s="19"/>
      <c r="AQ1112" s="20" t="str">
        <f t="shared" si="72"/>
        <v/>
      </c>
      <c r="AR1112" s="21"/>
    </row>
    <row r="1113" spans="2:44" ht="31.5" x14ac:dyDescent="0.5">
      <c r="B1113" s="1"/>
      <c r="C1113" s="15"/>
      <c r="D1113" s="16"/>
      <c r="E1113" s="15"/>
      <c r="F1113" s="17"/>
      <c r="G1113" s="8"/>
      <c r="H1113" s="8"/>
      <c r="I1113" s="8"/>
      <c r="J1113" s="8"/>
      <c r="K1113" s="8"/>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4" t="s">
        <v>49</v>
      </c>
      <c r="AM1113" s="5" t="str">
        <f t="shared" si="69"/>
        <v/>
      </c>
      <c r="AN1113" s="5" t="str">
        <f t="shared" si="70"/>
        <v/>
      </c>
      <c r="AO1113" s="18" t="str">
        <f t="shared" si="71"/>
        <v/>
      </c>
      <c r="AP1113" s="19"/>
      <c r="AQ1113" s="20" t="str">
        <f t="shared" si="72"/>
        <v/>
      </c>
      <c r="AR1113" s="21"/>
    </row>
    <row r="1114" spans="2:44" ht="31.5" x14ac:dyDescent="0.5">
      <c r="B1114" s="1"/>
      <c r="C1114" s="15"/>
      <c r="D1114" s="16"/>
      <c r="E1114" s="15"/>
      <c r="F1114" s="17"/>
      <c r="G1114" s="8"/>
      <c r="H1114" s="8"/>
      <c r="I1114" s="8"/>
      <c r="J1114" s="8"/>
      <c r="K1114" s="8"/>
      <c r="L1114" s="8"/>
      <c r="M1114" s="8"/>
      <c r="N1114" s="8"/>
      <c r="O1114" s="8"/>
      <c r="P1114" s="8"/>
      <c r="Q1114" s="8"/>
      <c r="R1114" s="8"/>
      <c r="S1114" s="8"/>
      <c r="T1114" s="8"/>
      <c r="U1114" s="8"/>
      <c r="V1114" s="8"/>
      <c r="W1114" s="8"/>
      <c r="X1114" s="8"/>
      <c r="Y1114" s="8"/>
      <c r="Z1114" s="8"/>
      <c r="AA1114" s="8"/>
      <c r="AB1114" s="8"/>
      <c r="AC1114" s="8"/>
      <c r="AD1114" s="8"/>
      <c r="AE1114" s="8"/>
      <c r="AF1114" s="8"/>
      <c r="AG1114" s="8"/>
      <c r="AH1114" s="8"/>
      <c r="AI1114" s="8"/>
      <c r="AJ1114" s="8"/>
      <c r="AK1114" s="8"/>
      <c r="AL1114" s="4" t="s">
        <v>49</v>
      </c>
      <c r="AM1114" s="5" t="str">
        <f t="shared" si="69"/>
        <v/>
      </c>
      <c r="AN1114" s="5" t="str">
        <f t="shared" si="70"/>
        <v/>
      </c>
      <c r="AO1114" s="18" t="str">
        <f t="shared" si="71"/>
        <v/>
      </c>
      <c r="AP1114" s="19"/>
      <c r="AQ1114" s="20" t="str">
        <f t="shared" si="72"/>
        <v/>
      </c>
      <c r="AR1114" s="21"/>
    </row>
    <row r="1115" spans="2:44" ht="31.5" x14ac:dyDescent="0.5">
      <c r="B1115" s="1"/>
      <c r="C1115" s="15"/>
      <c r="D1115" s="16"/>
      <c r="E1115" s="15"/>
      <c r="F1115" s="17"/>
      <c r="G1115" s="8"/>
      <c r="H1115" s="8"/>
      <c r="I1115" s="8"/>
      <c r="J1115" s="8"/>
      <c r="K1115" s="8"/>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4" t="s">
        <v>49</v>
      </c>
      <c r="AM1115" s="5" t="str">
        <f t="shared" si="69"/>
        <v/>
      </c>
      <c r="AN1115" s="5" t="str">
        <f t="shared" si="70"/>
        <v/>
      </c>
      <c r="AO1115" s="18" t="str">
        <f t="shared" si="71"/>
        <v/>
      </c>
      <c r="AP1115" s="19"/>
      <c r="AQ1115" s="20" t="str">
        <f t="shared" si="72"/>
        <v/>
      </c>
      <c r="AR1115" s="21"/>
    </row>
    <row r="1116" spans="2:44" ht="31.5" x14ac:dyDescent="0.5">
      <c r="B1116" s="1"/>
      <c r="C1116" s="15"/>
      <c r="D1116" s="16"/>
      <c r="E1116" s="15"/>
      <c r="F1116" s="17"/>
      <c r="G1116" s="8"/>
      <c r="H1116" s="8"/>
      <c r="I1116" s="8"/>
      <c r="J1116" s="8"/>
      <c r="K1116" s="8"/>
      <c r="L1116" s="8"/>
      <c r="M1116" s="8"/>
      <c r="N1116" s="8"/>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4" t="s">
        <v>49</v>
      </c>
      <c r="AM1116" s="5" t="str">
        <f t="shared" si="69"/>
        <v/>
      </c>
      <c r="AN1116" s="5" t="str">
        <f t="shared" si="70"/>
        <v/>
      </c>
      <c r="AO1116" s="18" t="str">
        <f t="shared" si="71"/>
        <v/>
      </c>
      <c r="AP1116" s="19"/>
      <c r="AQ1116" s="20" t="str">
        <f t="shared" si="72"/>
        <v/>
      </c>
      <c r="AR1116" s="21"/>
    </row>
    <row r="1117" spans="2:44" ht="31.5" x14ac:dyDescent="0.5">
      <c r="B1117" s="1"/>
      <c r="C1117" s="15"/>
      <c r="D1117" s="16"/>
      <c r="E1117" s="15"/>
      <c r="F1117" s="17"/>
      <c r="G1117" s="8"/>
      <c r="H1117" s="8"/>
      <c r="I1117" s="8"/>
      <c r="J1117" s="8"/>
      <c r="K1117" s="8"/>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4" t="s">
        <v>49</v>
      </c>
      <c r="AM1117" s="5" t="str">
        <f t="shared" si="69"/>
        <v/>
      </c>
      <c r="AN1117" s="5" t="str">
        <f t="shared" si="70"/>
        <v/>
      </c>
      <c r="AO1117" s="18" t="str">
        <f t="shared" si="71"/>
        <v/>
      </c>
      <c r="AP1117" s="19"/>
      <c r="AQ1117" s="20" t="str">
        <f t="shared" si="72"/>
        <v/>
      </c>
      <c r="AR1117" s="21"/>
    </row>
    <row r="1118" spans="2:44" ht="31.5" x14ac:dyDescent="0.5">
      <c r="B1118" s="1"/>
      <c r="C1118" s="15"/>
      <c r="D1118" s="16"/>
      <c r="E1118" s="15"/>
      <c r="F1118" s="17"/>
      <c r="G1118" s="8"/>
      <c r="H1118" s="8"/>
      <c r="I1118" s="8"/>
      <c r="J1118" s="8"/>
      <c r="K1118" s="8"/>
      <c r="L1118" s="8"/>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4" t="s">
        <v>49</v>
      </c>
      <c r="AM1118" s="5" t="str">
        <f t="shared" si="69"/>
        <v/>
      </c>
      <c r="AN1118" s="5" t="str">
        <f t="shared" si="70"/>
        <v/>
      </c>
      <c r="AO1118" s="18" t="str">
        <f t="shared" si="71"/>
        <v/>
      </c>
      <c r="AP1118" s="19"/>
      <c r="AQ1118" s="20" t="str">
        <f t="shared" si="72"/>
        <v/>
      </c>
      <c r="AR1118" s="21"/>
    </row>
    <row r="1119" spans="2:44" ht="31.5" x14ac:dyDescent="0.5">
      <c r="B1119" s="1"/>
      <c r="C1119" s="15"/>
      <c r="D1119" s="16"/>
      <c r="E1119" s="15"/>
      <c r="F1119" s="17"/>
      <c r="G1119" s="8"/>
      <c r="H1119" s="8"/>
      <c r="I1119" s="8"/>
      <c r="J1119" s="8"/>
      <c r="K1119" s="8"/>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4" t="s">
        <v>49</v>
      </c>
      <c r="AM1119" s="5" t="str">
        <f t="shared" si="69"/>
        <v/>
      </c>
      <c r="AN1119" s="5" t="str">
        <f t="shared" si="70"/>
        <v/>
      </c>
      <c r="AO1119" s="18" t="str">
        <f t="shared" si="71"/>
        <v/>
      </c>
      <c r="AP1119" s="19"/>
      <c r="AQ1119" s="20" t="str">
        <f t="shared" si="72"/>
        <v/>
      </c>
      <c r="AR1119" s="21"/>
    </row>
    <row r="1120" spans="2:44" ht="31.5" x14ac:dyDescent="0.5">
      <c r="B1120" s="1"/>
      <c r="C1120" s="15"/>
      <c r="D1120" s="16"/>
      <c r="E1120" s="15"/>
      <c r="F1120" s="17"/>
      <c r="G1120" s="8"/>
      <c r="H1120" s="8"/>
      <c r="I1120" s="8"/>
      <c r="J1120" s="8"/>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4" t="s">
        <v>49</v>
      </c>
      <c r="AM1120" s="5" t="str">
        <f t="shared" si="69"/>
        <v/>
      </c>
      <c r="AN1120" s="5" t="str">
        <f t="shared" si="70"/>
        <v/>
      </c>
      <c r="AO1120" s="18" t="str">
        <f t="shared" si="71"/>
        <v/>
      </c>
      <c r="AP1120" s="19"/>
      <c r="AQ1120" s="20" t="str">
        <f t="shared" si="72"/>
        <v/>
      </c>
      <c r="AR1120" s="21"/>
    </row>
    <row r="1121" spans="2:44" ht="31.5" x14ac:dyDescent="0.5">
      <c r="B1121" s="1"/>
      <c r="C1121" s="15"/>
      <c r="D1121" s="16"/>
      <c r="E1121" s="15"/>
      <c r="F1121" s="17"/>
      <c r="G1121" s="8"/>
      <c r="H1121" s="8"/>
      <c r="I1121" s="8"/>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4" t="s">
        <v>49</v>
      </c>
      <c r="AM1121" s="5" t="str">
        <f t="shared" si="69"/>
        <v/>
      </c>
      <c r="AN1121" s="5" t="str">
        <f t="shared" si="70"/>
        <v/>
      </c>
      <c r="AO1121" s="18" t="str">
        <f t="shared" si="71"/>
        <v/>
      </c>
      <c r="AP1121" s="19"/>
      <c r="AQ1121" s="20" t="str">
        <f t="shared" si="72"/>
        <v/>
      </c>
      <c r="AR1121" s="21"/>
    </row>
    <row r="1122" spans="2:44" ht="31.5" x14ac:dyDescent="0.5">
      <c r="B1122" s="1"/>
      <c r="C1122" s="15"/>
      <c r="D1122" s="16"/>
      <c r="E1122" s="15"/>
      <c r="F1122" s="17"/>
      <c r="G1122" s="8"/>
      <c r="H1122" s="8"/>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4" t="s">
        <v>49</v>
      </c>
      <c r="AM1122" s="5" t="str">
        <f t="shared" si="69"/>
        <v/>
      </c>
      <c r="AN1122" s="5" t="str">
        <f t="shared" si="70"/>
        <v/>
      </c>
      <c r="AO1122" s="18" t="str">
        <f t="shared" si="71"/>
        <v/>
      </c>
      <c r="AP1122" s="19"/>
      <c r="AQ1122" s="20" t="str">
        <f t="shared" si="72"/>
        <v/>
      </c>
      <c r="AR1122" s="21"/>
    </row>
    <row r="1123" spans="2:44" ht="31.5" x14ac:dyDescent="0.5">
      <c r="B1123" s="1"/>
      <c r="C1123" s="15"/>
      <c r="D1123" s="16"/>
      <c r="E1123" s="15"/>
      <c r="F1123" s="17"/>
      <c r="G1123" s="8"/>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4" t="s">
        <v>49</v>
      </c>
      <c r="AM1123" s="5" t="str">
        <f t="shared" si="69"/>
        <v/>
      </c>
      <c r="AN1123" s="5" t="str">
        <f t="shared" si="70"/>
        <v/>
      </c>
      <c r="AO1123" s="18" t="str">
        <f t="shared" si="71"/>
        <v/>
      </c>
      <c r="AP1123" s="19"/>
      <c r="AQ1123" s="20" t="str">
        <f t="shared" si="72"/>
        <v/>
      </c>
      <c r="AR1123" s="21"/>
    </row>
    <row r="1124" spans="2:44" ht="31.5" x14ac:dyDescent="0.5">
      <c r="B1124" s="1"/>
      <c r="C1124" s="15"/>
      <c r="D1124" s="16"/>
      <c r="E1124" s="15"/>
      <c r="F1124" s="17"/>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4" t="s">
        <v>49</v>
      </c>
      <c r="AM1124" s="5" t="str">
        <f t="shared" si="69"/>
        <v/>
      </c>
      <c r="AN1124" s="5" t="str">
        <f t="shared" si="70"/>
        <v/>
      </c>
      <c r="AO1124" s="18" t="str">
        <f t="shared" si="71"/>
        <v/>
      </c>
      <c r="AP1124" s="19"/>
      <c r="AQ1124" s="20" t="str">
        <f t="shared" si="72"/>
        <v/>
      </c>
      <c r="AR1124" s="21"/>
    </row>
    <row r="1125" spans="2:44" ht="31.5" x14ac:dyDescent="0.5">
      <c r="B1125" s="1"/>
      <c r="C1125" s="15"/>
      <c r="D1125" s="16"/>
      <c r="E1125" s="15"/>
      <c r="F1125" s="17"/>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4" t="s">
        <v>49</v>
      </c>
      <c r="AM1125" s="5" t="str">
        <f t="shared" si="69"/>
        <v/>
      </c>
      <c r="AN1125" s="5" t="str">
        <f t="shared" si="70"/>
        <v/>
      </c>
      <c r="AO1125" s="18" t="str">
        <f t="shared" si="71"/>
        <v/>
      </c>
      <c r="AP1125" s="19"/>
      <c r="AQ1125" s="20" t="str">
        <f t="shared" si="72"/>
        <v/>
      </c>
      <c r="AR1125" s="21"/>
    </row>
    <row r="1126" spans="2:44" ht="31.5" x14ac:dyDescent="0.5">
      <c r="B1126" s="1"/>
      <c r="C1126" s="15"/>
      <c r="D1126" s="16"/>
      <c r="E1126" s="15"/>
      <c r="F1126" s="17"/>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4" t="s">
        <v>49</v>
      </c>
      <c r="AM1126" s="5" t="str">
        <f t="shared" si="69"/>
        <v/>
      </c>
      <c r="AN1126" s="5" t="str">
        <f t="shared" si="70"/>
        <v/>
      </c>
      <c r="AO1126" s="18" t="str">
        <f t="shared" si="71"/>
        <v/>
      </c>
      <c r="AP1126" s="19"/>
      <c r="AQ1126" s="20" t="str">
        <f t="shared" si="72"/>
        <v/>
      </c>
      <c r="AR1126" s="21"/>
    </row>
    <row r="1127" spans="2:44" ht="31.5" x14ac:dyDescent="0.5">
      <c r="B1127" s="1"/>
      <c r="C1127" s="15"/>
      <c r="D1127" s="16"/>
      <c r="E1127" s="15"/>
      <c r="F1127" s="17"/>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4" t="s">
        <v>49</v>
      </c>
      <c r="AM1127" s="5" t="str">
        <f t="shared" si="69"/>
        <v/>
      </c>
      <c r="AN1127" s="5" t="str">
        <f t="shared" si="70"/>
        <v/>
      </c>
      <c r="AO1127" s="18" t="str">
        <f t="shared" si="71"/>
        <v/>
      </c>
      <c r="AP1127" s="19"/>
      <c r="AQ1127" s="20" t="str">
        <f t="shared" si="72"/>
        <v/>
      </c>
      <c r="AR1127" s="21"/>
    </row>
    <row r="1128" spans="2:44" ht="31.5" x14ac:dyDescent="0.5">
      <c r="B1128" s="1"/>
      <c r="C1128" s="15"/>
      <c r="D1128" s="16"/>
      <c r="E1128" s="15"/>
      <c r="F1128" s="17"/>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4" t="s">
        <v>49</v>
      </c>
      <c r="AM1128" s="5" t="str">
        <f t="shared" si="69"/>
        <v/>
      </c>
      <c r="AN1128" s="5" t="str">
        <f t="shared" si="70"/>
        <v/>
      </c>
      <c r="AO1128" s="18" t="str">
        <f t="shared" si="71"/>
        <v/>
      </c>
      <c r="AP1128" s="19"/>
      <c r="AQ1128" s="20" t="str">
        <f t="shared" si="72"/>
        <v/>
      </c>
      <c r="AR1128" s="21"/>
    </row>
    <row r="1129" spans="2:44" ht="31.5" x14ac:dyDescent="0.5">
      <c r="B1129" s="1"/>
      <c r="C1129" s="15"/>
      <c r="D1129" s="16"/>
      <c r="E1129" s="15"/>
      <c r="F1129" s="17"/>
      <c r="G1129" s="8"/>
      <c r="H1129" s="8"/>
      <c r="I1129" s="8"/>
      <c r="J1129" s="8"/>
      <c r="K1129" s="8"/>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4" t="s">
        <v>49</v>
      </c>
      <c r="AM1129" s="5" t="str">
        <f t="shared" si="69"/>
        <v/>
      </c>
      <c r="AN1129" s="5" t="str">
        <f t="shared" si="70"/>
        <v/>
      </c>
      <c r="AO1129" s="18" t="str">
        <f t="shared" si="71"/>
        <v/>
      </c>
      <c r="AP1129" s="19"/>
      <c r="AQ1129" s="20" t="str">
        <f t="shared" si="72"/>
        <v/>
      </c>
      <c r="AR1129" s="21"/>
    </row>
    <row r="1130" spans="2:44" ht="31.5" x14ac:dyDescent="0.5">
      <c r="B1130" s="1"/>
      <c r="C1130" s="15"/>
      <c r="D1130" s="16"/>
      <c r="E1130" s="15"/>
      <c r="F1130" s="17"/>
      <c r="G1130" s="8"/>
      <c r="H1130" s="8"/>
      <c r="I1130" s="8"/>
      <c r="J1130" s="8"/>
      <c r="K1130" s="8"/>
      <c r="L1130" s="8"/>
      <c r="M1130" s="8"/>
      <c r="N1130" s="8"/>
      <c r="O1130" s="8"/>
      <c r="P1130" s="8"/>
      <c r="Q1130" s="8"/>
      <c r="R1130" s="8"/>
      <c r="S1130" s="8"/>
      <c r="T1130" s="8"/>
      <c r="U1130" s="8"/>
      <c r="V1130" s="8"/>
      <c r="W1130" s="8"/>
      <c r="X1130" s="8"/>
      <c r="Y1130" s="8"/>
      <c r="Z1130" s="8"/>
      <c r="AA1130" s="8"/>
      <c r="AB1130" s="8"/>
      <c r="AC1130" s="8"/>
      <c r="AD1130" s="8"/>
      <c r="AE1130" s="8"/>
      <c r="AF1130" s="8"/>
      <c r="AG1130" s="8"/>
      <c r="AH1130" s="8"/>
      <c r="AI1130" s="8"/>
      <c r="AJ1130" s="8"/>
      <c r="AK1130" s="8"/>
      <c r="AL1130" s="4" t="s">
        <v>49</v>
      </c>
      <c r="AM1130" s="5" t="str">
        <f t="shared" si="69"/>
        <v/>
      </c>
      <c r="AN1130" s="5" t="str">
        <f t="shared" si="70"/>
        <v/>
      </c>
      <c r="AO1130" s="18" t="str">
        <f t="shared" si="71"/>
        <v/>
      </c>
      <c r="AP1130" s="19"/>
      <c r="AQ1130" s="20" t="str">
        <f t="shared" si="72"/>
        <v/>
      </c>
      <c r="AR1130" s="21"/>
    </row>
    <row r="1131" spans="2:44" ht="31.5" x14ac:dyDescent="0.5">
      <c r="B1131" s="1"/>
      <c r="C1131" s="15"/>
      <c r="D1131" s="16"/>
      <c r="E1131" s="15"/>
      <c r="F1131" s="17"/>
      <c r="G1131" s="8"/>
      <c r="H1131" s="8"/>
      <c r="I1131" s="8"/>
      <c r="J1131" s="8"/>
      <c r="K1131" s="8"/>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4" t="s">
        <v>49</v>
      </c>
      <c r="AM1131" s="5" t="str">
        <f t="shared" si="69"/>
        <v/>
      </c>
      <c r="AN1131" s="5" t="str">
        <f t="shared" si="70"/>
        <v/>
      </c>
      <c r="AO1131" s="18" t="str">
        <f t="shared" si="71"/>
        <v/>
      </c>
      <c r="AP1131" s="19"/>
      <c r="AQ1131" s="20" t="str">
        <f t="shared" si="72"/>
        <v/>
      </c>
      <c r="AR1131" s="21"/>
    </row>
    <row r="1132" spans="2:44" ht="31.5" x14ac:dyDescent="0.5">
      <c r="B1132" s="1"/>
      <c r="C1132" s="15"/>
      <c r="D1132" s="16"/>
      <c r="E1132" s="15"/>
      <c r="F1132" s="17"/>
      <c r="G1132" s="8"/>
      <c r="H1132" s="8"/>
      <c r="I1132" s="8"/>
      <c r="J1132" s="8"/>
      <c r="K1132" s="8"/>
      <c r="L1132" s="8"/>
      <c r="M1132" s="8"/>
      <c r="N1132" s="8"/>
      <c r="O1132" s="8"/>
      <c r="P1132" s="8"/>
      <c r="Q1132" s="8"/>
      <c r="R1132" s="8"/>
      <c r="S1132" s="8"/>
      <c r="T1132" s="8"/>
      <c r="U1132" s="8"/>
      <c r="V1132" s="8"/>
      <c r="W1132" s="8"/>
      <c r="X1132" s="8"/>
      <c r="Y1132" s="8"/>
      <c r="Z1132" s="8"/>
      <c r="AA1132" s="8"/>
      <c r="AB1132" s="8"/>
      <c r="AC1132" s="8"/>
      <c r="AD1132" s="8"/>
      <c r="AE1132" s="8"/>
      <c r="AF1132" s="8"/>
      <c r="AG1132" s="8"/>
      <c r="AH1132" s="8"/>
      <c r="AI1132" s="8"/>
      <c r="AJ1132" s="8"/>
      <c r="AK1132" s="8"/>
      <c r="AL1132" s="4" t="s">
        <v>49</v>
      </c>
      <c r="AM1132" s="5" t="str">
        <f t="shared" si="69"/>
        <v/>
      </c>
      <c r="AN1132" s="5" t="str">
        <f t="shared" si="70"/>
        <v/>
      </c>
      <c r="AO1132" s="18" t="str">
        <f t="shared" si="71"/>
        <v/>
      </c>
      <c r="AP1132" s="19"/>
      <c r="AQ1132" s="20" t="str">
        <f t="shared" si="72"/>
        <v/>
      </c>
      <c r="AR1132" s="21"/>
    </row>
    <row r="1133" spans="2:44" ht="31.5" x14ac:dyDescent="0.5">
      <c r="B1133" s="1"/>
      <c r="C1133" s="15"/>
      <c r="D1133" s="16"/>
      <c r="E1133" s="15"/>
      <c r="F1133" s="17"/>
      <c r="G1133" s="8"/>
      <c r="H1133" s="8"/>
      <c r="I1133" s="8"/>
      <c r="J1133" s="8"/>
      <c r="K1133" s="8"/>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4" t="s">
        <v>49</v>
      </c>
      <c r="AM1133" s="5" t="str">
        <f t="shared" si="69"/>
        <v/>
      </c>
      <c r="AN1133" s="5" t="str">
        <f t="shared" si="70"/>
        <v/>
      </c>
      <c r="AO1133" s="18" t="str">
        <f t="shared" si="71"/>
        <v/>
      </c>
      <c r="AP1133" s="19"/>
      <c r="AQ1133" s="20" t="str">
        <f t="shared" si="72"/>
        <v/>
      </c>
      <c r="AR1133" s="21"/>
    </row>
    <row r="1134" spans="2:44" ht="31.5" x14ac:dyDescent="0.5">
      <c r="B1134" s="1"/>
      <c r="C1134" s="15"/>
      <c r="D1134" s="16"/>
      <c r="E1134" s="15"/>
      <c r="F1134" s="17"/>
      <c r="G1134" s="8"/>
      <c r="H1134" s="8"/>
      <c r="I1134" s="8"/>
      <c r="J1134" s="8"/>
      <c r="K1134" s="8"/>
      <c r="L1134" s="8"/>
      <c r="M1134" s="8"/>
      <c r="N1134" s="8"/>
      <c r="O1134" s="8"/>
      <c r="P1134" s="8"/>
      <c r="Q1134" s="8"/>
      <c r="R1134" s="8"/>
      <c r="S1134" s="8"/>
      <c r="T1134" s="8"/>
      <c r="U1134" s="8"/>
      <c r="V1134" s="8"/>
      <c r="W1134" s="8"/>
      <c r="X1134" s="8"/>
      <c r="Y1134" s="8"/>
      <c r="Z1134" s="8"/>
      <c r="AA1134" s="8"/>
      <c r="AB1134" s="8"/>
      <c r="AC1134" s="8"/>
      <c r="AD1134" s="8"/>
      <c r="AE1134" s="8"/>
      <c r="AF1134" s="8"/>
      <c r="AG1134" s="8"/>
      <c r="AH1134" s="8"/>
      <c r="AI1134" s="8"/>
      <c r="AJ1134" s="8"/>
      <c r="AK1134" s="8"/>
      <c r="AL1134" s="4" t="s">
        <v>49</v>
      </c>
      <c r="AM1134" s="5" t="str">
        <f t="shared" si="69"/>
        <v/>
      </c>
      <c r="AN1134" s="5" t="str">
        <f t="shared" si="70"/>
        <v/>
      </c>
      <c r="AO1134" s="18" t="str">
        <f t="shared" si="71"/>
        <v/>
      </c>
      <c r="AP1134" s="19"/>
      <c r="AQ1134" s="20" t="str">
        <f t="shared" si="72"/>
        <v/>
      </c>
      <c r="AR1134" s="21"/>
    </row>
    <row r="1135" spans="2:44" ht="31.5" x14ac:dyDescent="0.5">
      <c r="B1135" s="1"/>
      <c r="C1135" s="15"/>
      <c r="D1135" s="16"/>
      <c r="E1135" s="15"/>
      <c r="F1135" s="17"/>
      <c r="G1135" s="8"/>
      <c r="H1135" s="8"/>
      <c r="I1135" s="8"/>
      <c r="J1135" s="8"/>
      <c r="K1135" s="8"/>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4" t="s">
        <v>49</v>
      </c>
      <c r="AM1135" s="5" t="str">
        <f t="shared" si="69"/>
        <v/>
      </c>
      <c r="AN1135" s="5" t="str">
        <f t="shared" si="70"/>
        <v/>
      </c>
      <c r="AO1135" s="18" t="str">
        <f t="shared" si="71"/>
        <v/>
      </c>
      <c r="AP1135" s="19"/>
      <c r="AQ1135" s="20" t="str">
        <f t="shared" si="72"/>
        <v/>
      </c>
      <c r="AR1135" s="21"/>
    </row>
    <row r="1136" spans="2:44" ht="31.5" x14ac:dyDescent="0.5">
      <c r="B1136" s="1"/>
      <c r="C1136" s="15"/>
      <c r="D1136" s="16"/>
      <c r="E1136" s="15"/>
      <c r="F1136" s="17"/>
      <c r="G1136" s="8"/>
      <c r="H1136" s="8"/>
      <c r="I1136" s="8"/>
      <c r="J1136" s="8"/>
      <c r="K1136" s="8"/>
      <c r="L1136" s="8"/>
      <c r="M1136" s="8"/>
      <c r="N1136" s="8"/>
      <c r="O1136" s="8"/>
      <c r="P1136" s="8"/>
      <c r="Q1136" s="8"/>
      <c r="R1136" s="8"/>
      <c r="S1136" s="8"/>
      <c r="T1136" s="8"/>
      <c r="U1136" s="8"/>
      <c r="V1136" s="8"/>
      <c r="W1136" s="8"/>
      <c r="X1136" s="8"/>
      <c r="Y1136" s="8"/>
      <c r="Z1136" s="8"/>
      <c r="AA1136" s="8"/>
      <c r="AB1136" s="8"/>
      <c r="AC1136" s="8"/>
      <c r="AD1136" s="8"/>
      <c r="AE1136" s="8"/>
      <c r="AF1136" s="8"/>
      <c r="AG1136" s="8"/>
      <c r="AH1136" s="8"/>
      <c r="AI1136" s="8"/>
      <c r="AJ1136" s="8"/>
      <c r="AK1136" s="8"/>
      <c r="AL1136" s="4" t="s">
        <v>49</v>
      </c>
      <c r="AM1136" s="5" t="str">
        <f t="shared" si="69"/>
        <v/>
      </c>
      <c r="AN1136" s="5" t="str">
        <f t="shared" si="70"/>
        <v/>
      </c>
      <c r="AO1136" s="18" t="str">
        <f t="shared" si="71"/>
        <v/>
      </c>
      <c r="AP1136" s="19"/>
      <c r="AQ1136" s="20" t="str">
        <f t="shared" si="72"/>
        <v/>
      </c>
      <c r="AR1136" s="21"/>
    </row>
    <row r="1137" spans="2:44" ht="31.5" x14ac:dyDescent="0.5">
      <c r="B1137" s="1"/>
      <c r="C1137" s="15"/>
      <c r="D1137" s="16"/>
      <c r="E1137" s="15"/>
      <c r="F1137" s="17"/>
      <c r="G1137" s="8"/>
      <c r="H1137" s="8"/>
      <c r="I1137" s="8"/>
      <c r="J1137" s="8"/>
      <c r="K1137" s="8"/>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4" t="s">
        <v>49</v>
      </c>
      <c r="AM1137" s="5" t="str">
        <f t="shared" si="69"/>
        <v/>
      </c>
      <c r="AN1137" s="5" t="str">
        <f t="shared" si="70"/>
        <v/>
      </c>
      <c r="AO1137" s="18" t="str">
        <f t="shared" si="71"/>
        <v/>
      </c>
      <c r="AP1137" s="19"/>
      <c r="AQ1137" s="20" t="str">
        <f t="shared" si="72"/>
        <v/>
      </c>
      <c r="AR1137" s="21"/>
    </row>
    <row r="1138" spans="2:44" ht="31.5" x14ac:dyDescent="0.5">
      <c r="B1138" s="1"/>
      <c r="C1138" s="15"/>
      <c r="D1138" s="16"/>
      <c r="E1138" s="15"/>
      <c r="F1138" s="17"/>
      <c r="G1138" s="8"/>
      <c r="H1138" s="8"/>
      <c r="I1138" s="8"/>
      <c r="J1138" s="8"/>
      <c r="K1138" s="8"/>
      <c r="L1138" s="8"/>
      <c r="M1138" s="8"/>
      <c r="N1138" s="8"/>
      <c r="O1138" s="8"/>
      <c r="P1138" s="8"/>
      <c r="Q1138" s="8"/>
      <c r="R1138" s="8"/>
      <c r="S1138" s="8"/>
      <c r="T1138" s="8"/>
      <c r="U1138" s="8"/>
      <c r="V1138" s="8"/>
      <c r="W1138" s="8"/>
      <c r="X1138" s="8"/>
      <c r="Y1138" s="8"/>
      <c r="Z1138" s="8"/>
      <c r="AA1138" s="8"/>
      <c r="AB1138" s="8"/>
      <c r="AC1138" s="8"/>
      <c r="AD1138" s="8"/>
      <c r="AE1138" s="8"/>
      <c r="AF1138" s="8"/>
      <c r="AG1138" s="8"/>
      <c r="AH1138" s="8"/>
      <c r="AI1138" s="8"/>
      <c r="AJ1138" s="8"/>
      <c r="AK1138" s="8"/>
      <c r="AL1138" s="4" t="s">
        <v>49</v>
      </c>
      <c r="AM1138" s="5" t="str">
        <f t="shared" si="69"/>
        <v/>
      </c>
      <c r="AN1138" s="5" t="str">
        <f t="shared" si="70"/>
        <v/>
      </c>
      <c r="AO1138" s="18" t="str">
        <f t="shared" si="71"/>
        <v/>
      </c>
      <c r="AP1138" s="19"/>
      <c r="AQ1138" s="20" t="str">
        <f t="shared" si="72"/>
        <v/>
      </c>
      <c r="AR1138" s="21"/>
    </row>
    <row r="1139" spans="2:44" ht="31.5" x14ac:dyDescent="0.5">
      <c r="B1139" s="1"/>
      <c r="C1139" s="15"/>
      <c r="D1139" s="16"/>
      <c r="E1139" s="15"/>
      <c r="F1139" s="17"/>
      <c r="G1139" s="8"/>
      <c r="H1139" s="8"/>
      <c r="I1139" s="8"/>
      <c r="J1139" s="8"/>
      <c r="K1139" s="8"/>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4" t="s">
        <v>49</v>
      </c>
      <c r="AM1139" s="5" t="str">
        <f t="shared" ref="AM1139:AM1202" si="73">IF($B1139="","",COUNTIF($G1139:$AK1139,"P"))</f>
        <v/>
      </c>
      <c r="AN1139" s="5" t="str">
        <f t="shared" ref="AN1139:AN1202" si="74">IF($B1139="","",COUNTIF($G1139:$AK1139,"AB"))</f>
        <v/>
      </c>
      <c r="AO1139" s="18" t="str">
        <f t="shared" ref="AO1139:AO1202" si="75">IF($B1139="","",SUMPRODUCT(--($G$11:$AK$11&lt;&gt;""),--($G$12:$AK$12&lt;&gt;"Sun")))</f>
        <v/>
      </c>
      <c r="AP1139" s="19"/>
      <c r="AQ1139" s="20" t="str">
        <f t="shared" ref="AQ1139:AQ1202" si="76">IF($B1139="","",IF(AO1139=0,"",AM1139/AO1139))</f>
        <v/>
      </c>
      <c r="AR1139" s="21"/>
    </row>
    <row r="1140" spans="2:44" ht="31.5" x14ac:dyDescent="0.5">
      <c r="B1140" s="1"/>
      <c r="C1140" s="15"/>
      <c r="D1140" s="16"/>
      <c r="E1140" s="15"/>
      <c r="F1140" s="17"/>
      <c r="G1140" s="8"/>
      <c r="H1140" s="8"/>
      <c r="I1140" s="8"/>
      <c r="J1140" s="8"/>
      <c r="K1140" s="8"/>
      <c r="L1140" s="8"/>
      <c r="M1140" s="8"/>
      <c r="N1140" s="8"/>
      <c r="O1140" s="8"/>
      <c r="P1140" s="8"/>
      <c r="Q1140" s="8"/>
      <c r="R1140" s="8"/>
      <c r="S1140" s="8"/>
      <c r="T1140" s="8"/>
      <c r="U1140" s="8"/>
      <c r="V1140" s="8"/>
      <c r="W1140" s="8"/>
      <c r="X1140" s="8"/>
      <c r="Y1140" s="8"/>
      <c r="Z1140" s="8"/>
      <c r="AA1140" s="8"/>
      <c r="AB1140" s="8"/>
      <c r="AC1140" s="8"/>
      <c r="AD1140" s="8"/>
      <c r="AE1140" s="8"/>
      <c r="AF1140" s="8"/>
      <c r="AG1140" s="8"/>
      <c r="AH1140" s="8"/>
      <c r="AI1140" s="8"/>
      <c r="AJ1140" s="8"/>
      <c r="AK1140" s="8"/>
      <c r="AL1140" s="4" t="s">
        <v>49</v>
      </c>
      <c r="AM1140" s="5" t="str">
        <f t="shared" si="73"/>
        <v/>
      </c>
      <c r="AN1140" s="5" t="str">
        <f t="shared" si="74"/>
        <v/>
      </c>
      <c r="AO1140" s="18" t="str">
        <f t="shared" si="75"/>
        <v/>
      </c>
      <c r="AP1140" s="19"/>
      <c r="AQ1140" s="20" t="str">
        <f t="shared" si="76"/>
        <v/>
      </c>
      <c r="AR1140" s="21"/>
    </row>
    <row r="1141" spans="2:44" ht="31.5" x14ac:dyDescent="0.5">
      <c r="B1141" s="1"/>
      <c r="C1141" s="15"/>
      <c r="D1141" s="16"/>
      <c r="E1141" s="15"/>
      <c r="F1141" s="17"/>
      <c r="G1141" s="8"/>
      <c r="H1141" s="8"/>
      <c r="I1141" s="8"/>
      <c r="J1141" s="8"/>
      <c r="K1141" s="8"/>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4" t="s">
        <v>49</v>
      </c>
      <c r="AM1141" s="5" t="str">
        <f t="shared" si="73"/>
        <v/>
      </c>
      <c r="AN1141" s="5" t="str">
        <f t="shared" si="74"/>
        <v/>
      </c>
      <c r="AO1141" s="18" t="str">
        <f t="shared" si="75"/>
        <v/>
      </c>
      <c r="AP1141" s="19"/>
      <c r="AQ1141" s="20" t="str">
        <f t="shared" si="76"/>
        <v/>
      </c>
      <c r="AR1141" s="21"/>
    </row>
    <row r="1142" spans="2:44" ht="31.5" x14ac:dyDescent="0.5">
      <c r="B1142" s="1"/>
      <c r="C1142" s="15"/>
      <c r="D1142" s="16"/>
      <c r="E1142" s="15"/>
      <c r="F1142" s="17"/>
      <c r="G1142" s="8"/>
      <c r="H1142" s="8"/>
      <c r="I1142" s="8"/>
      <c r="J1142" s="8"/>
      <c r="K1142" s="8"/>
      <c r="L1142" s="8"/>
      <c r="M1142" s="8"/>
      <c r="N1142" s="8"/>
      <c r="O1142" s="8"/>
      <c r="P1142" s="8"/>
      <c r="Q1142" s="8"/>
      <c r="R1142" s="8"/>
      <c r="S1142" s="8"/>
      <c r="T1142" s="8"/>
      <c r="U1142" s="8"/>
      <c r="V1142" s="8"/>
      <c r="W1142" s="8"/>
      <c r="X1142" s="8"/>
      <c r="Y1142" s="8"/>
      <c r="Z1142" s="8"/>
      <c r="AA1142" s="8"/>
      <c r="AB1142" s="8"/>
      <c r="AC1142" s="8"/>
      <c r="AD1142" s="8"/>
      <c r="AE1142" s="8"/>
      <c r="AF1142" s="8"/>
      <c r="AG1142" s="8"/>
      <c r="AH1142" s="8"/>
      <c r="AI1142" s="8"/>
      <c r="AJ1142" s="8"/>
      <c r="AK1142" s="8"/>
      <c r="AL1142" s="4" t="s">
        <v>49</v>
      </c>
      <c r="AM1142" s="5" t="str">
        <f t="shared" si="73"/>
        <v/>
      </c>
      <c r="AN1142" s="5" t="str">
        <f t="shared" si="74"/>
        <v/>
      </c>
      <c r="AO1142" s="18" t="str">
        <f t="shared" si="75"/>
        <v/>
      </c>
      <c r="AP1142" s="19"/>
      <c r="AQ1142" s="20" t="str">
        <f t="shared" si="76"/>
        <v/>
      </c>
      <c r="AR1142" s="21"/>
    </row>
    <row r="1143" spans="2:44" ht="31.5" x14ac:dyDescent="0.5">
      <c r="B1143" s="1"/>
      <c r="C1143" s="15"/>
      <c r="D1143" s="16"/>
      <c r="E1143" s="15"/>
      <c r="F1143" s="17"/>
      <c r="G1143" s="8"/>
      <c r="H1143" s="8"/>
      <c r="I1143" s="8"/>
      <c r="J1143" s="8"/>
      <c r="K1143" s="8"/>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4" t="s">
        <v>49</v>
      </c>
      <c r="AM1143" s="5" t="str">
        <f t="shared" si="73"/>
        <v/>
      </c>
      <c r="AN1143" s="5" t="str">
        <f t="shared" si="74"/>
        <v/>
      </c>
      <c r="AO1143" s="18" t="str">
        <f t="shared" si="75"/>
        <v/>
      </c>
      <c r="AP1143" s="19"/>
      <c r="AQ1143" s="20" t="str">
        <f t="shared" si="76"/>
        <v/>
      </c>
      <c r="AR1143" s="21"/>
    </row>
    <row r="1144" spans="2:44" ht="31.5" x14ac:dyDescent="0.5">
      <c r="B1144" s="1"/>
      <c r="C1144" s="15"/>
      <c r="D1144" s="16"/>
      <c r="E1144" s="15"/>
      <c r="F1144" s="17"/>
      <c r="G1144" s="8"/>
      <c r="H1144" s="8"/>
      <c r="I1144" s="8"/>
      <c r="J1144" s="8"/>
      <c r="K1144" s="8"/>
      <c r="L1144" s="8"/>
      <c r="M1144" s="8"/>
      <c r="N1144" s="8"/>
      <c r="O1144" s="8"/>
      <c r="P1144" s="8"/>
      <c r="Q1144" s="8"/>
      <c r="R1144" s="8"/>
      <c r="S1144" s="8"/>
      <c r="T1144" s="8"/>
      <c r="U1144" s="8"/>
      <c r="V1144" s="8"/>
      <c r="W1144" s="8"/>
      <c r="X1144" s="8"/>
      <c r="Y1144" s="8"/>
      <c r="Z1144" s="8"/>
      <c r="AA1144" s="8"/>
      <c r="AB1144" s="8"/>
      <c r="AC1144" s="8"/>
      <c r="AD1144" s="8"/>
      <c r="AE1144" s="8"/>
      <c r="AF1144" s="8"/>
      <c r="AG1144" s="8"/>
      <c r="AH1144" s="8"/>
      <c r="AI1144" s="8"/>
      <c r="AJ1144" s="8"/>
      <c r="AK1144" s="8"/>
      <c r="AL1144" s="4" t="s">
        <v>49</v>
      </c>
      <c r="AM1144" s="5" t="str">
        <f t="shared" si="73"/>
        <v/>
      </c>
      <c r="AN1144" s="5" t="str">
        <f t="shared" si="74"/>
        <v/>
      </c>
      <c r="AO1144" s="18" t="str">
        <f t="shared" si="75"/>
        <v/>
      </c>
      <c r="AP1144" s="19"/>
      <c r="AQ1144" s="20" t="str">
        <f t="shared" si="76"/>
        <v/>
      </c>
      <c r="AR1144" s="21"/>
    </row>
    <row r="1145" spans="2:44" ht="31.5" x14ac:dyDescent="0.5">
      <c r="B1145" s="1"/>
      <c r="C1145" s="15"/>
      <c r="D1145" s="16"/>
      <c r="E1145" s="15"/>
      <c r="F1145" s="17"/>
      <c r="G1145" s="8"/>
      <c r="H1145" s="8"/>
      <c r="I1145" s="8"/>
      <c r="J1145" s="8"/>
      <c r="K1145" s="8"/>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4" t="s">
        <v>49</v>
      </c>
      <c r="AM1145" s="5" t="str">
        <f t="shared" si="73"/>
        <v/>
      </c>
      <c r="AN1145" s="5" t="str">
        <f t="shared" si="74"/>
        <v/>
      </c>
      <c r="AO1145" s="18" t="str">
        <f t="shared" si="75"/>
        <v/>
      </c>
      <c r="AP1145" s="19"/>
      <c r="AQ1145" s="20" t="str">
        <f t="shared" si="76"/>
        <v/>
      </c>
      <c r="AR1145" s="21"/>
    </row>
    <row r="1146" spans="2:44" ht="31.5" x14ac:dyDescent="0.5">
      <c r="B1146" s="1"/>
      <c r="C1146" s="15"/>
      <c r="D1146" s="16"/>
      <c r="E1146" s="15"/>
      <c r="F1146" s="17"/>
      <c r="G1146" s="8"/>
      <c r="H1146" s="8"/>
      <c r="I1146" s="8"/>
      <c r="J1146" s="8"/>
      <c r="K1146" s="8"/>
      <c r="L1146" s="8"/>
      <c r="M1146" s="8"/>
      <c r="N1146" s="8"/>
      <c r="O1146" s="8"/>
      <c r="P1146" s="8"/>
      <c r="Q1146" s="8"/>
      <c r="R1146" s="8"/>
      <c r="S1146" s="8"/>
      <c r="T1146" s="8"/>
      <c r="U1146" s="8"/>
      <c r="V1146" s="8"/>
      <c r="W1146" s="8"/>
      <c r="X1146" s="8"/>
      <c r="Y1146" s="8"/>
      <c r="Z1146" s="8"/>
      <c r="AA1146" s="8"/>
      <c r="AB1146" s="8"/>
      <c r="AC1146" s="8"/>
      <c r="AD1146" s="8"/>
      <c r="AE1146" s="8"/>
      <c r="AF1146" s="8"/>
      <c r="AG1146" s="8"/>
      <c r="AH1146" s="8"/>
      <c r="AI1146" s="8"/>
      <c r="AJ1146" s="8"/>
      <c r="AK1146" s="8"/>
      <c r="AL1146" s="4" t="s">
        <v>49</v>
      </c>
      <c r="AM1146" s="5" t="str">
        <f t="shared" si="73"/>
        <v/>
      </c>
      <c r="AN1146" s="5" t="str">
        <f t="shared" si="74"/>
        <v/>
      </c>
      <c r="AO1146" s="18" t="str">
        <f t="shared" si="75"/>
        <v/>
      </c>
      <c r="AP1146" s="19"/>
      <c r="AQ1146" s="20" t="str">
        <f t="shared" si="76"/>
        <v/>
      </c>
      <c r="AR1146" s="21"/>
    </row>
    <row r="1147" spans="2:44" ht="31.5" x14ac:dyDescent="0.5">
      <c r="B1147" s="1"/>
      <c r="C1147" s="15"/>
      <c r="D1147" s="16"/>
      <c r="E1147" s="15"/>
      <c r="F1147" s="17"/>
      <c r="G1147" s="8"/>
      <c r="H1147" s="8"/>
      <c r="I1147" s="8"/>
      <c r="J1147" s="8"/>
      <c r="K1147" s="8"/>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4" t="s">
        <v>49</v>
      </c>
      <c r="AM1147" s="5" t="str">
        <f t="shared" si="73"/>
        <v/>
      </c>
      <c r="AN1147" s="5" t="str">
        <f t="shared" si="74"/>
        <v/>
      </c>
      <c r="AO1147" s="18" t="str">
        <f t="shared" si="75"/>
        <v/>
      </c>
      <c r="AP1147" s="19"/>
      <c r="AQ1147" s="20" t="str">
        <f t="shared" si="76"/>
        <v/>
      </c>
      <c r="AR1147" s="21"/>
    </row>
    <row r="1148" spans="2:44" ht="31.5" x14ac:dyDescent="0.5">
      <c r="B1148" s="1"/>
      <c r="C1148" s="15"/>
      <c r="D1148" s="16"/>
      <c r="E1148" s="15"/>
      <c r="F1148" s="17"/>
      <c r="G1148" s="8"/>
      <c r="H1148" s="8"/>
      <c r="I1148" s="8"/>
      <c r="J1148" s="8"/>
      <c r="K1148" s="8"/>
      <c r="L1148" s="8"/>
      <c r="M1148" s="8"/>
      <c r="N1148" s="8"/>
      <c r="O1148" s="8"/>
      <c r="P1148" s="8"/>
      <c r="Q1148" s="8"/>
      <c r="R1148" s="8"/>
      <c r="S1148" s="8"/>
      <c r="T1148" s="8"/>
      <c r="U1148" s="8"/>
      <c r="V1148" s="8"/>
      <c r="W1148" s="8"/>
      <c r="X1148" s="8"/>
      <c r="Y1148" s="8"/>
      <c r="Z1148" s="8"/>
      <c r="AA1148" s="8"/>
      <c r="AB1148" s="8"/>
      <c r="AC1148" s="8"/>
      <c r="AD1148" s="8"/>
      <c r="AE1148" s="8"/>
      <c r="AF1148" s="8"/>
      <c r="AG1148" s="8"/>
      <c r="AH1148" s="8"/>
      <c r="AI1148" s="8"/>
      <c r="AJ1148" s="8"/>
      <c r="AK1148" s="8"/>
      <c r="AL1148" s="4" t="s">
        <v>49</v>
      </c>
      <c r="AM1148" s="5" t="str">
        <f t="shared" si="73"/>
        <v/>
      </c>
      <c r="AN1148" s="5" t="str">
        <f t="shared" si="74"/>
        <v/>
      </c>
      <c r="AO1148" s="18" t="str">
        <f t="shared" si="75"/>
        <v/>
      </c>
      <c r="AP1148" s="19"/>
      <c r="AQ1148" s="20" t="str">
        <f t="shared" si="76"/>
        <v/>
      </c>
      <c r="AR1148" s="21"/>
    </row>
    <row r="1149" spans="2:44" ht="31.5" x14ac:dyDescent="0.5">
      <c r="B1149" s="1"/>
      <c r="C1149" s="15"/>
      <c r="D1149" s="16"/>
      <c r="E1149" s="15"/>
      <c r="F1149" s="17"/>
      <c r="G1149" s="8"/>
      <c r="H1149" s="8"/>
      <c r="I1149" s="8"/>
      <c r="J1149" s="8"/>
      <c r="K1149" s="8"/>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4" t="s">
        <v>49</v>
      </c>
      <c r="AM1149" s="5" t="str">
        <f t="shared" si="73"/>
        <v/>
      </c>
      <c r="AN1149" s="5" t="str">
        <f t="shared" si="74"/>
        <v/>
      </c>
      <c r="AO1149" s="18" t="str">
        <f t="shared" si="75"/>
        <v/>
      </c>
      <c r="AP1149" s="19"/>
      <c r="AQ1149" s="20" t="str">
        <f t="shared" si="76"/>
        <v/>
      </c>
      <c r="AR1149" s="21"/>
    </row>
    <row r="1150" spans="2:44" ht="31.5" x14ac:dyDescent="0.5">
      <c r="B1150" s="1"/>
      <c r="C1150" s="15"/>
      <c r="D1150" s="16"/>
      <c r="E1150" s="15"/>
      <c r="F1150" s="17"/>
      <c r="G1150" s="8"/>
      <c r="H1150" s="8"/>
      <c r="I1150" s="8"/>
      <c r="J1150" s="8"/>
      <c r="K1150" s="8"/>
      <c r="L1150" s="8"/>
      <c r="M1150" s="8"/>
      <c r="N1150" s="8"/>
      <c r="O1150" s="8"/>
      <c r="P1150" s="8"/>
      <c r="Q1150" s="8"/>
      <c r="R1150" s="8"/>
      <c r="S1150" s="8"/>
      <c r="T1150" s="8"/>
      <c r="U1150" s="8"/>
      <c r="V1150" s="8"/>
      <c r="W1150" s="8"/>
      <c r="X1150" s="8"/>
      <c r="Y1150" s="8"/>
      <c r="Z1150" s="8"/>
      <c r="AA1150" s="8"/>
      <c r="AB1150" s="8"/>
      <c r="AC1150" s="8"/>
      <c r="AD1150" s="8"/>
      <c r="AE1150" s="8"/>
      <c r="AF1150" s="8"/>
      <c r="AG1150" s="8"/>
      <c r="AH1150" s="8"/>
      <c r="AI1150" s="8"/>
      <c r="AJ1150" s="8"/>
      <c r="AK1150" s="8"/>
      <c r="AL1150" s="4" t="s">
        <v>49</v>
      </c>
      <c r="AM1150" s="5" t="str">
        <f t="shared" si="73"/>
        <v/>
      </c>
      <c r="AN1150" s="5" t="str">
        <f t="shared" si="74"/>
        <v/>
      </c>
      <c r="AO1150" s="18" t="str">
        <f t="shared" si="75"/>
        <v/>
      </c>
      <c r="AP1150" s="19"/>
      <c r="AQ1150" s="20" t="str">
        <f t="shared" si="76"/>
        <v/>
      </c>
      <c r="AR1150" s="21"/>
    </row>
    <row r="1151" spans="2:44" ht="31.5" x14ac:dyDescent="0.5">
      <c r="B1151" s="1"/>
      <c r="C1151" s="15"/>
      <c r="D1151" s="16"/>
      <c r="E1151" s="15"/>
      <c r="F1151" s="17"/>
      <c r="G1151" s="8"/>
      <c r="H1151" s="8"/>
      <c r="I1151" s="8"/>
      <c r="J1151" s="8"/>
      <c r="K1151" s="8"/>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4" t="s">
        <v>49</v>
      </c>
      <c r="AM1151" s="5" t="str">
        <f t="shared" si="73"/>
        <v/>
      </c>
      <c r="AN1151" s="5" t="str">
        <f t="shared" si="74"/>
        <v/>
      </c>
      <c r="AO1151" s="18" t="str">
        <f t="shared" si="75"/>
        <v/>
      </c>
      <c r="AP1151" s="19"/>
      <c r="AQ1151" s="20" t="str">
        <f t="shared" si="76"/>
        <v/>
      </c>
      <c r="AR1151" s="21"/>
    </row>
    <row r="1152" spans="2:44" ht="31.5" x14ac:dyDescent="0.5">
      <c r="B1152" s="1"/>
      <c r="C1152" s="15"/>
      <c r="D1152" s="16"/>
      <c r="E1152" s="15"/>
      <c r="F1152" s="17"/>
      <c r="G1152" s="8"/>
      <c r="H1152" s="8"/>
      <c r="I1152" s="8"/>
      <c r="J1152" s="8"/>
      <c r="K1152" s="8"/>
      <c r="L1152" s="8"/>
      <c r="M1152" s="8"/>
      <c r="N1152" s="8"/>
      <c r="O1152" s="8"/>
      <c r="P1152" s="8"/>
      <c r="Q1152" s="8"/>
      <c r="R1152" s="8"/>
      <c r="S1152" s="8"/>
      <c r="T1152" s="8"/>
      <c r="U1152" s="8"/>
      <c r="V1152" s="8"/>
      <c r="W1152" s="8"/>
      <c r="X1152" s="8"/>
      <c r="Y1152" s="8"/>
      <c r="Z1152" s="8"/>
      <c r="AA1152" s="8"/>
      <c r="AB1152" s="8"/>
      <c r="AC1152" s="8"/>
      <c r="AD1152" s="8"/>
      <c r="AE1152" s="8"/>
      <c r="AF1152" s="8"/>
      <c r="AG1152" s="8"/>
      <c r="AH1152" s="8"/>
      <c r="AI1152" s="8"/>
      <c r="AJ1152" s="8"/>
      <c r="AK1152" s="8"/>
      <c r="AL1152" s="4" t="s">
        <v>49</v>
      </c>
      <c r="AM1152" s="5" t="str">
        <f t="shared" si="73"/>
        <v/>
      </c>
      <c r="AN1152" s="5" t="str">
        <f t="shared" si="74"/>
        <v/>
      </c>
      <c r="AO1152" s="18" t="str">
        <f t="shared" si="75"/>
        <v/>
      </c>
      <c r="AP1152" s="19"/>
      <c r="AQ1152" s="20" t="str">
        <f t="shared" si="76"/>
        <v/>
      </c>
      <c r="AR1152" s="21"/>
    </row>
    <row r="1153" spans="2:44" ht="31.5" x14ac:dyDescent="0.5">
      <c r="B1153" s="1"/>
      <c r="C1153" s="15"/>
      <c r="D1153" s="16"/>
      <c r="E1153" s="15"/>
      <c r="F1153" s="17"/>
      <c r="G1153" s="8"/>
      <c r="H1153" s="8"/>
      <c r="I1153" s="8"/>
      <c r="J1153" s="8"/>
      <c r="K1153" s="8"/>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4" t="s">
        <v>49</v>
      </c>
      <c r="AM1153" s="5" t="str">
        <f t="shared" si="73"/>
        <v/>
      </c>
      <c r="AN1153" s="5" t="str">
        <f t="shared" si="74"/>
        <v/>
      </c>
      <c r="AO1153" s="18" t="str">
        <f t="shared" si="75"/>
        <v/>
      </c>
      <c r="AP1153" s="19"/>
      <c r="AQ1153" s="20" t="str">
        <f t="shared" si="76"/>
        <v/>
      </c>
      <c r="AR1153" s="21"/>
    </row>
    <row r="1154" spans="2:44" ht="31.5" x14ac:dyDescent="0.5">
      <c r="B1154" s="1"/>
      <c r="C1154" s="15"/>
      <c r="D1154" s="16"/>
      <c r="E1154" s="15"/>
      <c r="F1154" s="17"/>
      <c r="G1154" s="8"/>
      <c r="H1154" s="8"/>
      <c r="I1154" s="8"/>
      <c r="J1154" s="8"/>
      <c r="K1154" s="8"/>
      <c r="L1154" s="8"/>
      <c r="M1154" s="8"/>
      <c r="N1154" s="8"/>
      <c r="O1154" s="8"/>
      <c r="P1154" s="8"/>
      <c r="Q1154" s="8"/>
      <c r="R1154" s="8"/>
      <c r="S1154" s="8"/>
      <c r="T1154" s="8"/>
      <c r="U1154" s="8"/>
      <c r="V1154" s="8"/>
      <c r="W1154" s="8"/>
      <c r="X1154" s="8"/>
      <c r="Y1154" s="8"/>
      <c r="Z1154" s="8"/>
      <c r="AA1154" s="8"/>
      <c r="AB1154" s="8"/>
      <c r="AC1154" s="8"/>
      <c r="AD1154" s="8"/>
      <c r="AE1154" s="8"/>
      <c r="AF1154" s="8"/>
      <c r="AG1154" s="8"/>
      <c r="AH1154" s="8"/>
      <c r="AI1154" s="8"/>
      <c r="AJ1154" s="8"/>
      <c r="AK1154" s="8"/>
      <c r="AL1154" s="4" t="s">
        <v>49</v>
      </c>
      <c r="AM1154" s="5" t="str">
        <f t="shared" si="73"/>
        <v/>
      </c>
      <c r="AN1154" s="5" t="str">
        <f t="shared" si="74"/>
        <v/>
      </c>
      <c r="AO1154" s="18" t="str">
        <f t="shared" si="75"/>
        <v/>
      </c>
      <c r="AP1154" s="19"/>
      <c r="AQ1154" s="20" t="str">
        <f t="shared" si="76"/>
        <v/>
      </c>
      <c r="AR1154" s="21"/>
    </row>
    <row r="1155" spans="2:44" ht="31.5" x14ac:dyDescent="0.5">
      <c r="B1155" s="1"/>
      <c r="C1155" s="15"/>
      <c r="D1155" s="16"/>
      <c r="E1155" s="15"/>
      <c r="F1155" s="17"/>
      <c r="G1155" s="8"/>
      <c r="H1155" s="8"/>
      <c r="I1155" s="8"/>
      <c r="J1155" s="8"/>
      <c r="K1155" s="8"/>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4" t="s">
        <v>49</v>
      </c>
      <c r="AM1155" s="5" t="str">
        <f t="shared" si="73"/>
        <v/>
      </c>
      <c r="AN1155" s="5" t="str">
        <f t="shared" si="74"/>
        <v/>
      </c>
      <c r="AO1155" s="18" t="str">
        <f t="shared" si="75"/>
        <v/>
      </c>
      <c r="AP1155" s="19"/>
      <c r="AQ1155" s="20" t="str">
        <f t="shared" si="76"/>
        <v/>
      </c>
      <c r="AR1155" s="21"/>
    </row>
    <row r="1156" spans="2:44" ht="31.5" x14ac:dyDescent="0.5">
      <c r="B1156" s="1"/>
      <c r="C1156" s="15"/>
      <c r="D1156" s="16"/>
      <c r="E1156" s="15"/>
      <c r="F1156" s="17"/>
      <c r="G1156" s="8"/>
      <c r="H1156" s="8"/>
      <c r="I1156" s="8"/>
      <c r="J1156" s="8"/>
      <c r="K1156" s="8"/>
      <c r="L1156" s="8"/>
      <c r="M1156" s="8"/>
      <c r="N1156" s="8"/>
      <c r="O1156" s="8"/>
      <c r="P1156" s="8"/>
      <c r="Q1156" s="8"/>
      <c r="R1156" s="8"/>
      <c r="S1156" s="8"/>
      <c r="T1156" s="8"/>
      <c r="U1156" s="8"/>
      <c r="V1156" s="8"/>
      <c r="W1156" s="8"/>
      <c r="X1156" s="8"/>
      <c r="Y1156" s="8"/>
      <c r="Z1156" s="8"/>
      <c r="AA1156" s="8"/>
      <c r="AB1156" s="8"/>
      <c r="AC1156" s="8"/>
      <c r="AD1156" s="8"/>
      <c r="AE1156" s="8"/>
      <c r="AF1156" s="8"/>
      <c r="AG1156" s="8"/>
      <c r="AH1156" s="8"/>
      <c r="AI1156" s="8"/>
      <c r="AJ1156" s="8"/>
      <c r="AK1156" s="8"/>
      <c r="AL1156" s="4" t="s">
        <v>49</v>
      </c>
      <c r="AM1156" s="5" t="str">
        <f t="shared" si="73"/>
        <v/>
      </c>
      <c r="AN1156" s="5" t="str">
        <f t="shared" si="74"/>
        <v/>
      </c>
      <c r="AO1156" s="18" t="str">
        <f t="shared" si="75"/>
        <v/>
      </c>
      <c r="AP1156" s="19"/>
      <c r="AQ1156" s="20" t="str">
        <f t="shared" si="76"/>
        <v/>
      </c>
      <c r="AR1156" s="21"/>
    </row>
    <row r="1157" spans="2:44" ht="31.5" x14ac:dyDescent="0.5">
      <c r="B1157" s="1"/>
      <c r="C1157" s="15"/>
      <c r="D1157" s="16"/>
      <c r="E1157" s="15"/>
      <c r="F1157" s="17"/>
      <c r="G1157" s="8"/>
      <c r="H1157" s="8"/>
      <c r="I1157" s="8"/>
      <c r="J1157" s="8"/>
      <c r="K1157" s="8"/>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4" t="s">
        <v>49</v>
      </c>
      <c r="AM1157" s="5" t="str">
        <f t="shared" si="73"/>
        <v/>
      </c>
      <c r="AN1157" s="5" t="str">
        <f t="shared" si="74"/>
        <v/>
      </c>
      <c r="AO1157" s="18" t="str">
        <f t="shared" si="75"/>
        <v/>
      </c>
      <c r="AP1157" s="19"/>
      <c r="AQ1157" s="20" t="str">
        <f t="shared" si="76"/>
        <v/>
      </c>
      <c r="AR1157" s="21"/>
    </row>
    <row r="1158" spans="2:44" ht="31.5" x14ac:dyDescent="0.5">
      <c r="B1158" s="1"/>
      <c r="C1158" s="15"/>
      <c r="D1158" s="16"/>
      <c r="E1158" s="15"/>
      <c r="F1158" s="17"/>
      <c r="G1158" s="8"/>
      <c r="H1158" s="8"/>
      <c r="I1158" s="8"/>
      <c r="J1158" s="8"/>
      <c r="K1158" s="8"/>
      <c r="L1158" s="8"/>
      <c r="M1158" s="8"/>
      <c r="N1158" s="8"/>
      <c r="O1158" s="8"/>
      <c r="P1158" s="8"/>
      <c r="Q1158" s="8"/>
      <c r="R1158" s="8"/>
      <c r="S1158" s="8"/>
      <c r="T1158" s="8"/>
      <c r="U1158" s="8"/>
      <c r="V1158" s="8"/>
      <c r="W1158" s="8"/>
      <c r="X1158" s="8"/>
      <c r="Y1158" s="8"/>
      <c r="Z1158" s="8"/>
      <c r="AA1158" s="8"/>
      <c r="AB1158" s="8"/>
      <c r="AC1158" s="8"/>
      <c r="AD1158" s="8"/>
      <c r="AE1158" s="8"/>
      <c r="AF1158" s="8"/>
      <c r="AG1158" s="8"/>
      <c r="AH1158" s="8"/>
      <c r="AI1158" s="8"/>
      <c r="AJ1158" s="8"/>
      <c r="AK1158" s="8"/>
      <c r="AL1158" s="4" t="s">
        <v>49</v>
      </c>
      <c r="AM1158" s="5" t="str">
        <f t="shared" si="73"/>
        <v/>
      </c>
      <c r="AN1158" s="5" t="str">
        <f t="shared" si="74"/>
        <v/>
      </c>
      <c r="AO1158" s="18" t="str">
        <f t="shared" si="75"/>
        <v/>
      </c>
      <c r="AP1158" s="19"/>
      <c r="AQ1158" s="20" t="str">
        <f t="shared" si="76"/>
        <v/>
      </c>
      <c r="AR1158" s="21"/>
    </row>
    <row r="1159" spans="2:44" ht="31.5" x14ac:dyDescent="0.5">
      <c r="B1159" s="1"/>
      <c r="C1159" s="15"/>
      <c r="D1159" s="16"/>
      <c r="E1159" s="15"/>
      <c r="F1159" s="17"/>
      <c r="G1159" s="8"/>
      <c r="H1159" s="8"/>
      <c r="I1159" s="8"/>
      <c r="J1159" s="8"/>
      <c r="K1159" s="8"/>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4" t="s">
        <v>49</v>
      </c>
      <c r="AM1159" s="5" t="str">
        <f t="shared" si="73"/>
        <v/>
      </c>
      <c r="AN1159" s="5" t="str">
        <f t="shared" si="74"/>
        <v/>
      </c>
      <c r="AO1159" s="18" t="str">
        <f t="shared" si="75"/>
        <v/>
      </c>
      <c r="AP1159" s="19"/>
      <c r="AQ1159" s="20" t="str">
        <f t="shared" si="76"/>
        <v/>
      </c>
      <c r="AR1159" s="21"/>
    </row>
    <row r="1160" spans="2:44" ht="31.5" x14ac:dyDescent="0.5">
      <c r="B1160" s="1"/>
      <c r="C1160" s="15"/>
      <c r="D1160" s="16"/>
      <c r="E1160" s="15"/>
      <c r="F1160" s="17"/>
      <c r="G1160" s="8"/>
      <c r="H1160" s="8"/>
      <c r="I1160" s="8"/>
      <c r="J1160" s="8"/>
      <c r="K1160" s="8"/>
      <c r="L1160" s="8"/>
      <c r="M1160" s="8"/>
      <c r="N1160" s="8"/>
      <c r="O1160" s="8"/>
      <c r="P1160" s="8"/>
      <c r="Q1160" s="8"/>
      <c r="R1160" s="8"/>
      <c r="S1160" s="8"/>
      <c r="T1160" s="8"/>
      <c r="U1160" s="8"/>
      <c r="V1160" s="8"/>
      <c r="W1160" s="8"/>
      <c r="X1160" s="8"/>
      <c r="Y1160" s="8"/>
      <c r="Z1160" s="8"/>
      <c r="AA1160" s="8"/>
      <c r="AB1160" s="8"/>
      <c r="AC1160" s="8"/>
      <c r="AD1160" s="8"/>
      <c r="AE1160" s="8"/>
      <c r="AF1160" s="8"/>
      <c r="AG1160" s="8"/>
      <c r="AH1160" s="8"/>
      <c r="AI1160" s="8"/>
      <c r="AJ1160" s="8"/>
      <c r="AK1160" s="8"/>
      <c r="AL1160" s="4" t="s">
        <v>49</v>
      </c>
      <c r="AM1160" s="5" t="str">
        <f t="shared" si="73"/>
        <v/>
      </c>
      <c r="AN1160" s="5" t="str">
        <f t="shared" si="74"/>
        <v/>
      </c>
      <c r="AO1160" s="18" t="str">
        <f t="shared" si="75"/>
        <v/>
      </c>
      <c r="AP1160" s="19"/>
      <c r="AQ1160" s="20" t="str">
        <f t="shared" si="76"/>
        <v/>
      </c>
      <c r="AR1160" s="21"/>
    </row>
    <row r="1161" spans="2:44" ht="31.5" x14ac:dyDescent="0.5">
      <c r="B1161" s="1"/>
      <c r="C1161" s="15"/>
      <c r="D1161" s="16"/>
      <c r="E1161" s="15"/>
      <c r="F1161" s="17"/>
      <c r="G1161" s="8"/>
      <c r="H1161" s="8"/>
      <c r="I1161" s="8"/>
      <c r="J1161" s="8"/>
      <c r="K1161" s="8"/>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4" t="s">
        <v>49</v>
      </c>
      <c r="AM1161" s="5" t="str">
        <f t="shared" si="73"/>
        <v/>
      </c>
      <c r="AN1161" s="5" t="str">
        <f t="shared" si="74"/>
        <v/>
      </c>
      <c r="AO1161" s="18" t="str">
        <f t="shared" si="75"/>
        <v/>
      </c>
      <c r="AP1161" s="19"/>
      <c r="AQ1161" s="20" t="str">
        <f t="shared" si="76"/>
        <v/>
      </c>
      <c r="AR1161" s="21"/>
    </row>
    <row r="1162" spans="2:44" ht="31.5" x14ac:dyDescent="0.5">
      <c r="B1162" s="1"/>
      <c r="C1162" s="15"/>
      <c r="D1162" s="16"/>
      <c r="E1162" s="15"/>
      <c r="F1162" s="17"/>
      <c r="G1162" s="8"/>
      <c r="H1162" s="8"/>
      <c r="I1162" s="8"/>
      <c r="J1162" s="8"/>
      <c r="K1162" s="8"/>
      <c r="L1162" s="8"/>
      <c r="M1162" s="8"/>
      <c r="N1162" s="8"/>
      <c r="O1162" s="8"/>
      <c r="P1162" s="8"/>
      <c r="Q1162" s="8"/>
      <c r="R1162" s="8"/>
      <c r="S1162" s="8"/>
      <c r="T1162" s="8"/>
      <c r="U1162" s="8"/>
      <c r="V1162" s="8"/>
      <c r="W1162" s="8"/>
      <c r="X1162" s="8"/>
      <c r="Y1162" s="8"/>
      <c r="Z1162" s="8"/>
      <c r="AA1162" s="8"/>
      <c r="AB1162" s="8"/>
      <c r="AC1162" s="8"/>
      <c r="AD1162" s="8"/>
      <c r="AE1162" s="8"/>
      <c r="AF1162" s="8"/>
      <c r="AG1162" s="8"/>
      <c r="AH1162" s="8"/>
      <c r="AI1162" s="8"/>
      <c r="AJ1162" s="8"/>
      <c r="AK1162" s="8"/>
      <c r="AL1162" s="4" t="s">
        <v>49</v>
      </c>
      <c r="AM1162" s="5" t="str">
        <f t="shared" si="73"/>
        <v/>
      </c>
      <c r="AN1162" s="5" t="str">
        <f t="shared" si="74"/>
        <v/>
      </c>
      <c r="AO1162" s="18" t="str">
        <f t="shared" si="75"/>
        <v/>
      </c>
      <c r="AP1162" s="19"/>
      <c r="AQ1162" s="20" t="str">
        <f t="shared" si="76"/>
        <v/>
      </c>
      <c r="AR1162" s="21"/>
    </row>
    <row r="1163" spans="2:44" ht="31.5" x14ac:dyDescent="0.5">
      <c r="B1163" s="1"/>
      <c r="C1163" s="15"/>
      <c r="D1163" s="16"/>
      <c r="E1163" s="15"/>
      <c r="F1163" s="17"/>
      <c r="G1163" s="8"/>
      <c r="H1163" s="8"/>
      <c r="I1163" s="8"/>
      <c r="J1163" s="8"/>
      <c r="K1163" s="8"/>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4" t="s">
        <v>49</v>
      </c>
      <c r="AM1163" s="5" t="str">
        <f t="shared" si="73"/>
        <v/>
      </c>
      <c r="AN1163" s="5" t="str">
        <f t="shared" si="74"/>
        <v/>
      </c>
      <c r="AO1163" s="18" t="str">
        <f t="shared" si="75"/>
        <v/>
      </c>
      <c r="AP1163" s="19"/>
      <c r="AQ1163" s="20" t="str">
        <f t="shared" si="76"/>
        <v/>
      </c>
      <c r="AR1163" s="21"/>
    </row>
    <row r="1164" spans="2:44" ht="31.5" x14ac:dyDescent="0.5">
      <c r="B1164" s="1"/>
      <c r="C1164" s="15"/>
      <c r="D1164" s="16"/>
      <c r="E1164" s="15"/>
      <c r="F1164" s="17"/>
      <c r="G1164" s="8"/>
      <c r="H1164" s="8"/>
      <c r="I1164" s="8"/>
      <c r="J1164" s="8"/>
      <c r="K1164" s="8"/>
      <c r="L1164" s="8"/>
      <c r="M1164" s="8"/>
      <c r="N1164" s="8"/>
      <c r="O1164" s="8"/>
      <c r="P1164" s="8"/>
      <c r="Q1164" s="8"/>
      <c r="R1164" s="8"/>
      <c r="S1164" s="8"/>
      <c r="T1164" s="8"/>
      <c r="U1164" s="8"/>
      <c r="V1164" s="8"/>
      <c r="W1164" s="8"/>
      <c r="X1164" s="8"/>
      <c r="Y1164" s="8"/>
      <c r="Z1164" s="8"/>
      <c r="AA1164" s="8"/>
      <c r="AB1164" s="8"/>
      <c r="AC1164" s="8"/>
      <c r="AD1164" s="8"/>
      <c r="AE1164" s="8"/>
      <c r="AF1164" s="8"/>
      <c r="AG1164" s="8"/>
      <c r="AH1164" s="8"/>
      <c r="AI1164" s="8"/>
      <c r="AJ1164" s="8"/>
      <c r="AK1164" s="8"/>
      <c r="AL1164" s="4" t="s">
        <v>49</v>
      </c>
      <c r="AM1164" s="5" t="str">
        <f t="shared" si="73"/>
        <v/>
      </c>
      <c r="AN1164" s="5" t="str">
        <f t="shared" si="74"/>
        <v/>
      </c>
      <c r="AO1164" s="18" t="str">
        <f t="shared" si="75"/>
        <v/>
      </c>
      <c r="AP1164" s="19"/>
      <c r="AQ1164" s="20" t="str">
        <f t="shared" si="76"/>
        <v/>
      </c>
      <c r="AR1164" s="21"/>
    </row>
    <row r="1165" spans="2:44" ht="31.5" x14ac:dyDescent="0.5">
      <c r="B1165" s="1"/>
      <c r="C1165" s="15"/>
      <c r="D1165" s="16"/>
      <c r="E1165" s="15"/>
      <c r="F1165" s="17"/>
      <c r="G1165" s="8"/>
      <c r="H1165" s="8"/>
      <c r="I1165" s="8"/>
      <c r="J1165" s="8"/>
      <c r="K1165" s="8"/>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4" t="s">
        <v>49</v>
      </c>
      <c r="AM1165" s="5" t="str">
        <f t="shared" si="73"/>
        <v/>
      </c>
      <c r="AN1165" s="5" t="str">
        <f t="shared" si="74"/>
        <v/>
      </c>
      <c r="AO1165" s="18" t="str">
        <f t="shared" si="75"/>
        <v/>
      </c>
      <c r="AP1165" s="19"/>
      <c r="AQ1165" s="20" t="str">
        <f t="shared" si="76"/>
        <v/>
      </c>
      <c r="AR1165" s="21"/>
    </row>
    <row r="1166" spans="2:44" ht="31.5" x14ac:dyDescent="0.5">
      <c r="B1166" s="1"/>
      <c r="C1166" s="15"/>
      <c r="D1166" s="16"/>
      <c r="E1166" s="15"/>
      <c r="F1166" s="17"/>
      <c r="G1166" s="8"/>
      <c r="H1166" s="8"/>
      <c r="I1166" s="8"/>
      <c r="J1166" s="8"/>
      <c r="K1166" s="8"/>
      <c r="L1166" s="8"/>
      <c r="M1166" s="8"/>
      <c r="N1166" s="8"/>
      <c r="O1166" s="8"/>
      <c r="P1166" s="8"/>
      <c r="Q1166" s="8"/>
      <c r="R1166" s="8"/>
      <c r="S1166" s="8"/>
      <c r="T1166" s="8"/>
      <c r="U1166" s="8"/>
      <c r="V1166" s="8"/>
      <c r="W1166" s="8"/>
      <c r="X1166" s="8"/>
      <c r="Y1166" s="8"/>
      <c r="Z1166" s="8"/>
      <c r="AA1166" s="8"/>
      <c r="AB1166" s="8"/>
      <c r="AC1166" s="8"/>
      <c r="AD1166" s="8"/>
      <c r="AE1166" s="8"/>
      <c r="AF1166" s="8"/>
      <c r="AG1166" s="8"/>
      <c r="AH1166" s="8"/>
      <c r="AI1166" s="8"/>
      <c r="AJ1166" s="8"/>
      <c r="AK1166" s="8"/>
      <c r="AL1166" s="4" t="s">
        <v>49</v>
      </c>
      <c r="AM1166" s="5" t="str">
        <f t="shared" si="73"/>
        <v/>
      </c>
      <c r="AN1166" s="5" t="str">
        <f t="shared" si="74"/>
        <v/>
      </c>
      <c r="AO1166" s="18" t="str">
        <f t="shared" si="75"/>
        <v/>
      </c>
      <c r="AP1166" s="19"/>
      <c r="AQ1166" s="20" t="str">
        <f t="shared" si="76"/>
        <v/>
      </c>
      <c r="AR1166" s="21"/>
    </row>
    <row r="1167" spans="2:44" ht="31.5" x14ac:dyDescent="0.5">
      <c r="B1167" s="1"/>
      <c r="C1167" s="15"/>
      <c r="D1167" s="16"/>
      <c r="E1167" s="15"/>
      <c r="F1167" s="17"/>
      <c r="G1167" s="8"/>
      <c r="H1167" s="8"/>
      <c r="I1167" s="8"/>
      <c r="J1167" s="8"/>
      <c r="K1167" s="8"/>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4" t="s">
        <v>49</v>
      </c>
      <c r="AM1167" s="5" t="str">
        <f t="shared" si="73"/>
        <v/>
      </c>
      <c r="AN1167" s="5" t="str">
        <f t="shared" si="74"/>
        <v/>
      </c>
      <c r="AO1167" s="18" t="str">
        <f t="shared" si="75"/>
        <v/>
      </c>
      <c r="AP1167" s="19"/>
      <c r="AQ1167" s="20" t="str">
        <f t="shared" si="76"/>
        <v/>
      </c>
      <c r="AR1167" s="21"/>
    </row>
    <row r="1168" spans="2:44" ht="31.5" x14ac:dyDescent="0.5">
      <c r="B1168" s="1"/>
      <c r="C1168" s="15"/>
      <c r="D1168" s="16"/>
      <c r="E1168" s="15"/>
      <c r="F1168" s="17"/>
      <c r="G1168" s="8"/>
      <c r="H1168" s="8"/>
      <c r="I1168" s="8"/>
      <c r="J1168" s="8"/>
      <c r="K1168" s="8"/>
      <c r="L1168" s="8"/>
      <c r="M1168" s="8"/>
      <c r="N1168" s="8"/>
      <c r="O1168" s="8"/>
      <c r="P1168" s="8"/>
      <c r="Q1168" s="8"/>
      <c r="R1168" s="8"/>
      <c r="S1168" s="8"/>
      <c r="T1168" s="8"/>
      <c r="U1168" s="8"/>
      <c r="V1168" s="8"/>
      <c r="W1168" s="8"/>
      <c r="X1168" s="8"/>
      <c r="Y1168" s="8"/>
      <c r="Z1168" s="8"/>
      <c r="AA1168" s="8"/>
      <c r="AB1168" s="8"/>
      <c r="AC1168" s="8"/>
      <c r="AD1168" s="8"/>
      <c r="AE1168" s="8"/>
      <c r="AF1168" s="8"/>
      <c r="AG1168" s="8"/>
      <c r="AH1168" s="8"/>
      <c r="AI1168" s="8"/>
      <c r="AJ1168" s="8"/>
      <c r="AK1168" s="8"/>
      <c r="AL1168" s="4" t="s">
        <v>49</v>
      </c>
      <c r="AM1168" s="5" t="str">
        <f t="shared" si="73"/>
        <v/>
      </c>
      <c r="AN1168" s="5" t="str">
        <f t="shared" si="74"/>
        <v/>
      </c>
      <c r="AO1168" s="18" t="str">
        <f t="shared" si="75"/>
        <v/>
      </c>
      <c r="AP1168" s="19"/>
      <c r="AQ1168" s="20" t="str">
        <f t="shared" si="76"/>
        <v/>
      </c>
      <c r="AR1168" s="21"/>
    </row>
    <row r="1169" spans="2:44" ht="31.5" x14ac:dyDescent="0.5">
      <c r="B1169" s="1"/>
      <c r="C1169" s="15"/>
      <c r="D1169" s="16"/>
      <c r="E1169" s="15"/>
      <c r="F1169" s="17"/>
      <c r="G1169" s="8"/>
      <c r="H1169" s="8"/>
      <c r="I1169" s="8"/>
      <c r="J1169" s="8"/>
      <c r="K1169" s="8"/>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4" t="s">
        <v>49</v>
      </c>
      <c r="AM1169" s="5" t="str">
        <f t="shared" si="73"/>
        <v/>
      </c>
      <c r="AN1169" s="5" t="str">
        <f t="shared" si="74"/>
        <v/>
      </c>
      <c r="AO1169" s="18" t="str">
        <f t="shared" si="75"/>
        <v/>
      </c>
      <c r="AP1169" s="19"/>
      <c r="AQ1169" s="20" t="str">
        <f t="shared" si="76"/>
        <v/>
      </c>
      <c r="AR1169" s="21"/>
    </row>
    <row r="1170" spans="2:44" ht="31.5" x14ac:dyDescent="0.5">
      <c r="B1170" s="1"/>
      <c r="C1170" s="15"/>
      <c r="D1170" s="16"/>
      <c r="E1170" s="15"/>
      <c r="F1170" s="17"/>
      <c r="G1170" s="8"/>
      <c r="H1170" s="8"/>
      <c r="I1170" s="8"/>
      <c r="J1170" s="8"/>
      <c r="K1170" s="8"/>
      <c r="L1170" s="8"/>
      <c r="M1170" s="8"/>
      <c r="N1170" s="8"/>
      <c r="O1170" s="8"/>
      <c r="P1170" s="8"/>
      <c r="Q1170" s="8"/>
      <c r="R1170" s="8"/>
      <c r="S1170" s="8"/>
      <c r="T1170" s="8"/>
      <c r="U1170" s="8"/>
      <c r="V1170" s="8"/>
      <c r="W1170" s="8"/>
      <c r="X1170" s="8"/>
      <c r="Y1170" s="8"/>
      <c r="Z1170" s="8"/>
      <c r="AA1170" s="8"/>
      <c r="AB1170" s="8"/>
      <c r="AC1170" s="8"/>
      <c r="AD1170" s="8"/>
      <c r="AE1170" s="8"/>
      <c r="AF1170" s="8"/>
      <c r="AG1170" s="8"/>
      <c r="AH1170" s="8"/>
      <c r="AI1170" s="8"/>
      <c r="AJ1170" s="8"/>
      <c r="AK1170" s="8"/>
      <c r="AL1170" s="4" t="s">
        <v>49</v>
      </c>
      <c r="AM1170" s="5" t="str">
        <f t="shared" si="73"/>
        <v/>
      </c>
      <c r="AN1170" s="5" t="str">
        <f t="shared" si="74"/>
        <v/>
      </c>
      <c r="AO1170" s="18" t="str">
        <f t="shared" si="75"/>
        <v/>
      </c>
      <c r="AP1170" s="19"/>
      <c r="AQ1170" s="20" t="str">
        <f t="shared" si="76"/>
        <v/>
      </c>
      <c r="AR1170" s="21"/>
    </row>
    <row r="1171" spans="2:44" ht="31.5" x14ac:dyDescent="0.5">
      <c r="B1171" s="1"/>
      <c r="C1171" s="15"/>
      <c r="D1171" s="16"/>
      <c r="E1171" s="15"/>
      <c r="F1171" s="17"/>
      <c r="G1171" s="8"/>
      <c r="H1171" s="8"/>
      <c r="I1171" s="8"/>
      <c r="J1171" s="8"/>
      <c r="K1171" s="8"/>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4" t="s">
        <v>49</v>
      </c>
      <c r="AM1171" s="5" t="str">
        <f t="shared" si="73"/>
        <v/>
      </c>
      <c r="AN1171" s="5" t="str">
        <f t="shared" si="74"/>
        <v/>
      </c>
      <c r="AO1171" s="18" t="str">
        <f t="shared" si="75"/>
        <v/>
      </c>
      <c r="AP1171" s="19"/>
      <c r="AQ1171" s="20" t="str">
        <f t="shared" si="76"/>
        <v/>
      </c>
      <c r="AR1171" s="21"/>
    </row>
    <row r="1172" spans="2:44" ht="31.5" x14ac:dyDescent="0.5">
      <c r="B1172" s="1"/>
      <c r="C1172" s="15"/>
      <c r="D1172" s="16"/>
      <c r="E1172" s="15"/>
      <c r="F1172" s="17"/>
      <c r="G1172" s="8"/>
      <c r="H1172" s="8"/>
      <c r="I1172" s="8"/>
      <c r="J1172" s="8"/>
      <c r="K1172" s="8"/>
      <c r="L1172" s="8"/>
      <c r="M1172" s="8"/>
      <c r="N1172" s="8"/>
      <c r="O1172" s="8"/>
      <c r="P1172" s="8"/>
      <c r="Q1172" s="8"/>
      <c r="R1172" s="8"/>
      <c r="S1172" s="8"/>
      <c r="T1172" s="8"/>
      <c r="U1172" s="8"/>
      <c r="V1172" s="8"/>
      <c r="W1172" s="8"/>
      <c r="X1172" s="8"/>
      <c r="Y1172" s="8"/>
      <c r="Z1172" s="8"/>
      <c r="AA1172" s="8"/>
      <c r="AB1172" s="8"/>
      <c r="AC1172" s="8"/>
      <c r="AD1172" s="8"/>
      <c r="AE1172" s="8"/>
      <c r="AF1172" s="8"/>
      <c r="AG1172" s="8"/>
      <c r="AH1172" s="8"/>
      <c r="AI1172" s="8"/>
      <c r="AJ1172" s="8"/>
      <c r="AK1172" s="8"/>
      <c r="AL1172" s="4" t="s">
        <v>49</v>
      </c>
      <c r="AM1172" s="5" t="str">
        <f t="shared" si="73"/>
        <v/>
      </c>
      <c r="AN1172" s="5" t="str">
        <f t="shared" si="74"/>
        <v/>
      </c>
      <c r="AO1172" s="18" t="str">
        <f t="shared" si="75"/>
        <v/>
      </c>
      <c r="AP1172" s="19"/>
      <c r="AQ1172" s="20" t="str">
        <f t="shared" si="76"/>
        <v/>
      </c>
      <c r="AR1172" s="21"/>
    </row>
    <row r="1173" spans="2:44" ht="31.5" x14ac:dyDescent="0.5">
      <c r="B1173" s="1"/>
      <c r="C1173" s="15"/>
      <c r="D1173" s="16"/>
      <c r="E1173" s="15"/>
      <c r="F1173" s="17"/>
      <c r="G1173" s="8"/>
      <c r="H1173" s="8"/>
      <c r="I1173" s="8"/>
      <c r="J1173" s="8"/>
      <c r="K1173" s="8"/>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4" t="s">
        <v>49</v>
      </c>
      <c r="AM1173" s="5" t="str">
        <f t="shared" si="73"/>
        <v/>
      </c>
      <c r="AN1173" s="5" t="str">
        <f t="shared" si="74"/>
        <v/>
      </c>
      <c r="AO1173" s="18" t="str">
        <f t="shared" si="75"/>
        <v/>
      </c>
      <c r="AP1173" s="19"/>
      <c r="AQ1173" s="20" t="str">
        <f t="shared" si="76"/>
        <v/>
      </c>
      <c r="AR1173" s="21"/>
    </row>
    <row r="1174" spans="2:44" ht="31.5" x14ac:dyDescent="0.5">
      <c r="B1174" s="1"/>
      <c r="C1174" s="15"/>
      <c r="D1174" s="16"/>
      <c r="E1174" s="15"/>
      <c r="F1174" s="17"/>
      <c r="G1174" s="8"/>
      <c r="H1174" s="8"/>
      <c r="I1174" s="8"/>
      <c r="J1174" s="8"/>
      <c r="K1174" s="8"/>
      <c r="L1174" s="8"/>
      <c r="M1174" s="8"/>
      <c r="N1174" s="8"/>
      <c r="O1174" s="8"/>
      <c r="P1174" s="8"/>
      <c r="Q1174" s="8"/>
      <c r="R1174" s="8"/>
      <c r="S1174" s="8"/>
      <c r="T1174" s="8"/>
      <c r="U1174" s="8"/>
      <c r="V1174" s="8"/>
      <c r="W1174" s="8"/>
      <c r="X1174" s="8"/>
      <c r="Y1174" s="8"/>
      <c r="Z1174" s="8"/>
      <c r="AA1174" s="8"/>
      <c r="AB1174" s="8"/>
      <c r="AC1174" s="8"/>
      <c r="AD1174" s="8"/>
      <c r="AE1174" s="8"/>
      <c r="AF1174" s="8"/>
      <c r="AG1174" s="8"/>
      <c r="AH1174" s="8"/>
      <c r="AI1174" s="8"/>
      <c r="AJ1174" s="8"/>
      <c r="AK1174" s="8"/>
      <c r="AL1174" s="4" t="s">
        <v>49</v>
      </c>
      <c r="AM1174" s="5" t="str">
        <f t="shared" si="73"/>
        <v/>
      </c>
      <c r="AN1174" s="5" t="str">
        <f t="shared" si="74"/>
        <v/>
      </c>
      <c r="AO1174" s="18" t="str">
        <f t="shared" si="75"/>
        <v/>
      </c>
      <c r="AP1174" s="19"/>
      <c r="AQ1174" s="20" t="str">
        <f t="shared" si="76"/>
        <v/>
      </c>
      <c r="AR1174" s="21"/>
    </row>
    <row r="1175" spans="2:44" ht="31.5" x14ac:dyDescent="0.5">
      <c r="B1175" s="1"/>
      <c r="C1175" s="15"/>
      <c r="D1175" s="16"/>
      <c r="E1175" s="15"/>
      <c r="F1175" s="17"/>
      <c r="G1175" s="8"/>
      <c r="H1175" s="8"/>
      <c r="I1175" s="8"/>
      <c r="J1175" s="8"/>
      <c r="K1175" s="8"/>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4" t="s">
        <v>49</v>
      </c>
      <c r="AM1175" s="5" t="str">
        <f t="shared" si="73"/>
        <v/>
      </c>
      <c r="AN1175" s="5" t="str">
        <f t="shared" si="74"/>
        <v/>
      </c>
      <c r="AO1175" s="18" t="str">
        <f t="shared" si="75"/>
        <v/>
      </c>
      <c r="AP1175" s="19"/>
      <c r="AQ1175" s="20" t="str">
        <f t="shared" si="76"/>
        <v/>
      </c>
      <c r="AR1175" s="21"/>
    </row>
    <row r="1176" spans="2:44" ht="31.5" x14ac:dyDescent="0.5">
      <c r="B1176" s="1"/>
      <c r="C1176" s="15"/>
      <c r="D1176" s="16"/>
      <c r="E1176" s="15"/>
      <c r="F1176" s="17"/>
      <c r="G1176" s="8"/>
      <c r="H1176" s="8"/>
      <c r="I1176" s="8"/>
      <c r="J1176" s="8"/>
      <c r="K1176" s="8"/>
      <c r="L1176" s="8"/>
      <c r="M1176" s="8"/>
      <c r="N1176" s="8"/>
      <c r="O1176" s="8"/>
      <c r="P1176" s="8"/>
      <c r="Q1176" s="8"/>
      <c r="R1176" s="8"/>
      <c r="S1176" s="8"/>
      <c r="T1176" s="8"/>
      <c r="U1176" s="8"/>
      <c r="V1176" s="8"/>
      <c r="W1176" s="8"/>
      <c r="X1176" s="8"/>
      <c r="Y1176" s="8"/>
      <c r="Z1176" s="8"/>
      <c r="AA1176" s="8"/>
      <c r="AB1176" s="8"/>
      <c r="AC1176" s="8"/>
      <c r="AD1176" s="8"/>
      <c r="AE1176" s="8"/>
      <c r="AF1176" s="8"/>
      <c r="AG1176" s="8"/>
      <c r="AH1176" s="8"/>
      <c r="AI1176" s="8"/>
      <c r="AJ1176" s="8"/>
      <c r="AK1176" s="8"/>
      <c r="AL1176" s="4" t="s">
        <v>49</v>
      </c>
      <c r="AM1176" s="5" t="str">
        <f t="shared" si="73"/>
        <v/>
      </c>
      <c r="AN1176" s="5" t="str">
        <f t="shared" si="74"/>
        <v/>
      </c>
      <c r="AO1176" s="18" t="str">
        <f t="shared" si="75"/>
        <v/>
      </c>
      <c r="AP1176" s="19"/>
      <c r="AQ1176" s="20" t="str">
        <f t="shared" si="76"/>
        <v/>
      </c>
      <c r="AR1176" s="21"/>
    </row>
    <row r="1177" spans="2:44" ht="31.5" x14ac:dyDescent="0.5">
      <c r="B1177" s="1"/>
      <c r="C1177" s="15"/>
      <c r="D1177" s="16"/>
      <c r="E1177" s="15"/>
      <c r="F1177" s="17"/>
      <c r="G1177" s="8"/>
      <c r="H1177" s="8"/>
      <c r="I1177" s="8"/>
      <c r="J1177" s="8"/>
      <c r="K1177" s="8"/>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4" t="s">
        <v>49</v>
      </c>
      <c r="AM1177" s="5" t="str">
        <f t="shared" si="73"/>
        <v/>
      </c>
      <c r="AN1177" s="5" t="str">
        <f t="shared" si="74"/>
        <v/>
      </c>
      <c r="AO1177" s="18" t="str">
        <f t="shared" si="75"/>
        <v/>
      </c>
      <c r="AP1177" s="19"/>
      <c r="AQ1177" s="20" t="str">
        <f t="shared" si="76"/>
        <v/>
      </c>
      <c r="AR1177" s="21"/>
    </row>
    <row r="1178" spans="2:44" ht="31.5" x14ac:dyDescent="0.5">
      <c r="B1178" s="1"/>
      <c r="C1178" s="15"/>
      <c r="D1178" s="16"/>
      <c r="E1178" s="15"/>
      <c r="F1178" s="17"/>
      <c r="G1178" s="8"/>
      <c r="H1178" s="8"/>
      <c r="I1178" s="8"/>
      <c r="J1178" s="8"/>
      <c r="K1178" s="8"/>
      <c r="L1178" s="8"/>
      <c r="M1178" s="8"/>
      <c r="N1178" s="8"/>
      <c r="O1178" s="8"/>
      <c r="P1178" s="8"/>
      <c r="Q1178" s="8"/>
      <c r="R1178" s="8"/>
      <c r="S1178" s="8"/>
      <c r="T1178" s="8"/>
      <c r="U1178" s="8"/>
      <c r="V1178" s="8"/>
      <c r="W1178" s="8"/>
      <c r="X1178" s="8"/>
      <c r="Y1178" s="8"/>
      <c r="Z1178" s="8"/>
      <c r="AA1178" s="8"/>
      <c r="AB1178" s="8"/>
      <c r="AC1178" s="8"/>
      <c r="AD1178" s="8"/>
      <c r="AE1178" s="8"/>
      <c r="AF1178" s="8"/>
      <c r="AG1178" s="8"/>
      <c r="AH1178" s="8"/>
      <c r="AI1178" s="8"/>
      <c r="AJ1178" s="8"/>
      <c r="AK1178" s="8"/>
      <c r="AL1178" s="4" t="s">
        <v>49</v>
      </c>
      <c r="AM1178" s="5" t="str">
        <f t="shared" si="73"/>
        <v/>
      </c>
      <c r="AN1178" s="5" t="str">
        <f t="shared" si="74"/>
        <v/>
      </c>
      <c r="AO1178" s="18" t="str">
        <f t="shared" si="75"/>
        <v/>
      </c>
      <c r="AP1178" s="19"/>
      <c r="AQ1178" s="20" t="str">
        <f t="shared" si="76"/>
        <v/>
      </c>
      <c r="AR1178" s="21"/>
    </row>
    <row r="1179" spans="2:44" ht="31.5" x14ac:dyDescent="0.5">
      <c r="B1179" s="1"/>
      <c r="C1179" s="15"/>
      <c r="D1179" s="16"/>
      <c r="E1179" s="15"/>
      <c r="F1179" s="17"/>
      <c r="G1179" s="8"/>
      <c r="H1179" s="8"/>
      <c r="I1179" s="8"/>
      <c r="J1179" s="8"/>
      <c r="K1179" s="8"/>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4" t="s">
        <v>49</v>
      </c>
      <c r="AM1179" s="5" t="str">
        <f t="shared" si="73"/>
        <v/>
      </c>
      <c r="AN1179" s="5" t="str">
        <f t="shared" si="74"/>
        <v/>
      </c>
      <c r="AO1179" s="18" t="str">
        <f t="shared" si="75"/>
        <v/>
      </c>
      <c r="AP1179" s="19"/>
      <c r="AQ1179" s="20" t="str">
        <f t="shared" si="76"/>
        <v/>
      </c>
      <c r="AR1179" s="21"/>
    </row>
    <row r="1180" spans="2:44" ht="31.5" x14ac:dyDescent="0.5">
      <c r="B1180" s="1"/>
      <c r="C1180" s="15"/>
      <c r="D1180" s="16"/>
      <c r="E1180" s="15"/>
      <c r="F1180" s="17"/>
      <c r="G1180" s="8"/>
      <c r="H1180" s="8"/>
      <c r="I1180" s="8"/>
      <c r="J1180" s="8"/>
      <c r="K1180" s="8"/>
      <c r="L1180" s="8"/>
      <c r="M1180" s="8"/>
      <c r="N1180" s="8"/>
      <c r="O1180" s="8"/>
      <c r="P1180" s="8"/>
      <c r="Q1180" s="8"/>
      <c r="R1180" s="8"/>
      <c r="S1180" s="8"/>
      <c r="T1180" s="8"/>
      <c r="U1180" s="8"/>
      <c r="V1180" s="8"/>
      <c r="W1180" s="8"/>
      <c r="X1180" s="8"/>
      <c r="Y1180" s="8"/>
      <c r="Z1180" s="8"/>
      <c r="AA1180" s="8"/>
      <c r="AB1180" s="8"/>
      <c r="AC1180" s="8"/>
      <c r="AD1180" s="8"/>
      <c r="AE1180" s="8"/>
      <c r="AF1180" s="8"/>
      <c r="AG1180" s="8"/>
      <c r="AH1180" s="8"/>
      <c r="AI1180" s="8"/>
      <c r="AJ1180" s="8"/>
      <c r="AK1180" s="8"/>
      <c r="AL1180" s="4" t="s">
        <v>49</v>
      </c>
      <c r="AM1180" s="5" t="str">
        <f t="shared" si="73"/>
        <v/>
      </c>
      <c r="AN1180" s="5" t="str">
        <f t="shared" si="74"/>
        <v/>
      </c>
      <c r="AO1180" s="18" t="str">
        <f t="shared" si="75"/>
        <v/>
      </c>
      <c r="AP1180" s="19"/>
      <c r="AQ1180" s="20" t="str">
        <f t="shared" si="76"/>
        <v/>
      </c>
      <c r="AR1180" s="21"/>
    </row>
    <row r="1181" spans="2:44" ht="31.5" x14ac:dyDescent="0.5">
      <c r="B1181" s="1"/>
      <c r="C1181" s="15"/>
      <c r="D1181" s="16"/>
      <c r="E1181" s="15"/>
      <c r="F1181" s="17"/>
      <c r="G1181" s="8"/>
      <c r="H1181" s="8"/>
      <c r="I1181" s="8"/>
      <c r="J1181" s="8"/>
      <c r="K1181" s="8"/>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4" t="s">
        <v>49</v>
      </c>
      <c r="AM1181" s="5" t="str">
        <f t="shared" si="73"/>
        <v/>
      </c>
      <c r="AN1181" s="5" t="str">
        <f t="shared" si="74"/>
        <v/>
      </c>
      <c r="AO1181" s="18" t="str">
        <f t="shared" si="75"/>
        <v/>
      </c>
      <c r="AP1181" s="19"/>
      <c r="AQ1181" s="20" t="str">
        <f t="shared" si="76"/>
        <v/>
      </c>
      <c r="AR1181" s="21"/>
    </row>
    <row r="1182" spans="2:44" ht="31.5" x14ac:dyDescent="0.5">
      <c r="B1182" s="1"/>
      <c r="C1182" s="15"/>
      <c r="D1182" s="16"/>
      <c r="E1182" s="15"/>
      <c r="F1182" s="17"/>
      <c r="G1182" s="8"/>
      <c r="H1182" s="8"/>
      <c r="I1182" s="8"/>
      <c r="J1182" s="8"/>
      <c r="K1182" s="8"/>
      <c r="L1182" s="8"/>
      <c r="M1182" s="8"/>
      <c r="N1182" s="8"/>
      <c r="O1182" s="8"/>
      <c r="P1182" s="8"/>
      <c r="Q1182" s="8"/>
      <c r="R1182" s="8"/>
      <c r="S1182" s="8"/>
      <c r="T1182" s="8"/>
      <c r="U1182" s="8"/>
      <c r="V1182" s="8"/>
      <c r="W1182" s="8"/>
      <c r="X1182" s="8"/>
      <c r="Y1182" s="8"/>
      <c r="Z1182" s="8"/>
      <c r="AA1182" s="8"/>
      <c r="AB1182" s="8"/>
      <c r="AC1182" s="8"/>
      <c r="AD1182" s="8"/>
      <c r="AE1182" s="8"/>
      <c r="AF1182" s="8"/>
      <c r="AG1182" s="8"/>
      <c r="AH1182" s="8"/>
      <c r="AI1182" s="8"/>
      <c r="AJ1182" s="8"/>
      <c r="AK1182" s="8"/>
      <c r="AL1182" s="4" t="s">
        <v>49</v>
      </c>
      <c r="AM1182" s="5" t="str">
        <f t="shared" si="73"/>
        <v/>
      </c>
      <c r="AN1182" s="5" t="str">
        <f t="shared" si="74"/>
        <v/>
      </c>
      <c r="AO1182" s="18" t="str">
        <f t="shared" si="75"/>
        <v/>
      </c>
      <c r="AP1182" s="19"/>
      <c r="AQ1182" s="20" t="str">
        <f t="shared" si="76"/>
        <v/>
      </c>
      <c r="AR1182" s="21"/>
    </row>
    <row r="1183" spans="2:44" ht="31.5" x14ac:dyDescent="0.5">
      <c r="B1183" s="1"/>
      <c r="C1183" s="15"/>
      <c r="D1183" s="16"/>
      <c r="E1183" s="15"/>
      <c r="F1183" s="17"/>
      <c r="G1183" s="8"/>
      <c r="H1183" s="8"/>
      <c r="I1183" s="8"/>
      <c r="J1183" s="8"/>
      <c r="K1183" s="8"/>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4" t="s">
        <v>49</v>
      </c>
      <c r="AM1183" s="5" t="str">
        <f t="shared" si="73"/>
        <v/>
      </c>
      <c r="AN1183" s="5" t="str">
        <f t="shared" si="74"/>
        <v/>
      </c>
      <c r="AO1183" s="18" t="str">
        <f t="shared" si="75"/>
        <v/>
      </c>
      <c r="AP1183" s="19"/>
      <c r="AQ1183" s="20" t="str">
        <f t="shared" si="76"/>
        <v/>
      </c>
      <c r="AR1183" s="21"/>
    </row>
    <row r="1184" spans="2:44" ht="31.5" x14ac:dyDescent="0.5">
      <c r="B1184" s="1"/>
      <c r="C1184" s="15"/>
      <c r="D1184" s="16"/>
      <c r="E1184" s="15"/>
      <c r="F1184" s="17"/>
      <c r="G1184" s="8"/>
      <c r="H1184" s="8"/>
      <c r="I1184" s="8"/>
      <c r="J1184" s="8"/>
      <c r="K1184" s="8"/>
      <c r="L1184" s="8"/>
      <c r="M1184" s="8"/>
      <c r="N1184" s="8"/>
      <c r="O1184" s="8"/>
      <c r="P1184" s="8"/>
      <c r="Q1184" s="8"/>
      <c r="R1184" s="8"/>
      <c r="S1184" s="8"/>
      <c r="T1184" s="8"/>
      <c r="U1184" s="8"/>
      <c r="V1184" s="8"/>
      <c r="W1184" s="8"/>
      <c r="X1184" s="8"/>
      <c r="Y1184" s="8"/>
      <c r="Z1184" s="8"/>
      <c r="AA1184" s="8"/>
      <c r="AB1184" s="8"/>
      <c r="AC1184" s="8"/>
      <c r="AD1184" s="8"/>
      <c r="AE1184" s="8"/>
      <c r="AF1184" s="8"/>
      <c r="AG1184" s="8"/>
      <c r="AH1184" s="8"/>
      <c r="AI1184" s="8"/>
      <c r="AJ1184" s="8"/>
      <c r="AK1184" s="8"/>
      <c r="AL1184" s="4" t="s">
        <v>49</v>
      </c>
      <c r="AM1184" s="5" t="str">
        <f t="shared" si="73"/>
        <v/>
      </c>
      <c r="AN1184" s="5" t="str">
        <f t="shared" si="74"/>
        <v/>
      </c>
      <c r="AO1184" s="18" t="str">
        <f t="shared" si="75"/>
        <v/>
      </c>
      <c r="AP1184" s="19"/>
      <c r="AQ1184" s="20" t="str">
        <f t="shared" si="76"/>
        <v/>
      </c>
      <c r="AR1184" s="21"/>
    </row>
    <row r="1185" spans="2:44" ht="31.5" x14ac:dyDescent="0.5">
      <c r="B1185" s="1"/>
      <c r="C1185" s="15"/>
      <c r="D1185" s="16"/>
      <c r="E1185" s="15"/>
      <c r="F1185" s="17"/>
      <c r="G1185" s="8"/>
      <c r="H1185" s="8"/>
      <c r="I1185" s="8"/>
      <c r="J1185" s="8"/>
      <c r="K1185" s="8"/>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4" t="s">
        <v>49</v>
      </c>
      <c r="AM1185" s="5" t="str">
        <f t="shared" si="73"/>
        <v/>
      </c>
      <c r="AN1185" s="5" t="str">
        <f t="shared" si="74"/>
        <v/>
      </c>
      <c r="AO1185" s="18" t="str">
        <f t="shared" si="75"/>
        <v/>
      </c>
      <c r="AP1185" s="19"/>
      <c r="AQ1185" s="20" t="str">
        <f t="shared" si="76"/>
        <v/>
      </c>
      <c r="AR1185" s="21"/>
    </row>
    <row r="1186" spans="2:44" ht="31.5" x14ac:dyDescent="0.5">
      <c r="B1186" s="1"/>
      <c r="C1186" s="15"/>
      <c r="D1186" s="16"/>
      <c r="E1186" s="15"/>
      <c r="F1186" s="17"/>
      <c r="G1186" s="8"/>
      <c r="H1186" s="8"/>
      <c r="I1186" s="8"/>
      <c r="J1186" s="8"/>
      <c r="K1186" s="8"/>
      <c r="L1186" s="8"/>
      <c r="M1186" s="8"/>
      <c r="N1186" s="8"/>
      <c r="O1186" s="8"/>
      <c r="P1186" s="8"/>
      <c r="Q1186" s="8"/>
      <c r="R1186" s="8"/>
      <c r="S1186" s="8"/>
      <c r="T1186" s="8"/>
      <c r="U1186" s="8"/>
      <c r="V1186" s="8"/>
      <c r="W1186" s="8"/>
      <c r="X1186" s="8"/>
      <c r="Y1186" s="8"/>
      <c r="Z1186" s="8"/>
      <c r="AA1186" s="8"/>
      <c r="AB1186" s="8"/>
      <c r="AC1186" s="8"/>
      <c r="AD1186" s="8"/>
      <c r="AE1186" s="8"/>
      <c r="AF1186" s="8"/>
      <c r="AG1186" s="8"/>
      <c r="AH1186" s="8"/>
      <c r="AI1186" s="8"/>
      <c r="AJ1186" s="8"/>
      <c r="AK1186" s="8"/>
      <c r="AL1186" s="4" t="s">
        <v>49</v>
      </c>
      <c r="AM1186" s="5" t="str">
        <f t="shared" si="73"/>
        <v/>
      </c>
      <c r="AN1186" s="5" t="str">
        <f t="shared" si="74"/>
        <v/>
      </c>
      <c r="AO1186" s="18" t="str">
        <f t="shared" si="75"/>
        <v/>
      </c>
      <c r="AP1186" s="19"/>
      <c r="AQ1186" s="20" t="str">
        <f t="shared" si="76"/>
        <v/>
      </c>
      <c r="AR1186" s="21"/>
    </row>
    <row r="1187" spans="2:44" ht="31.5" x14ac:dyDescent="0.5">
      <c r="B1187" s="1"/>
      <c r="C1187" s="15"/>
      <c r="D1187" s="16"/>
      <c r="E1187" s="15"/>
      <c r="F1187" s="17"/>
      <c r="G1187" s="8"/>
      <c r="H1187" s="8"/>
      <c r="I1187" s="8"/>
      <c r="J1187" s="8"/>
      <c r="K1187" s="8"/>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4" t="s">
        <v>49</v>
      </c>
      <c r="AM1187" s="5" t="str">
        <f t="shared" si="73"/>
        <v/>
      </c>
      <c r="AN1187" s="5" t="str">
        <f t="shared" si="74"/>
        <v/>
      </c>
      <c r="AO1187" s="18" t="str">
        <f t="shared" si="75"/>
        <v/>
      </c>
      <c r="AP1187" s="19"/>
      <c r="AQ1187" s="20" t="str">
        <f t="shared" si="76"/>
        <v/>
      </c>
      <c r="AR1187" s="21"/>
    </row>
    <row r="1188" spans="2:44" ht="31.5" x14ac:dyDescent="0.5">
      <c r="B1188" s="1"/>
      <c r="C1188" s="15"/>
      <c r="D1188" s="16"/>
      <c r="E1188" s="15"/>
      <c r="F1188" s="17"/>
      <c r="G1188" s="8"/>
      <c r="H1188" s="8"/>
      <c r="I1188" s="8"/>
      <c r="J1188" s="8"/>
      <c r="K1188" s="8"/>
      <c r="L1188" s="8"/>
      <c r="M1188" s="8"/>
      <c r="N1188" s="8"/>
      <c r="O1188" s="8"/>
      <c r="P1188" s="8"/>
      <c r="Q1188" s="8"/>
      <c r="R1188" s="8"/>
      <c r="S1188" s="8"/>
      <c r="T1188" s="8"/>
      <c r="U1188" s="8"/>
      <c r="V1188" s="8"/>
      <c r="W1188" s="8"/>
      <c r="X1188" s="8"/>
      <c r="Y1188" s="8"/>
      <c r="Z1188" s="8"/>
      <c r="AA1188" s="8"/>
      <c r="AB1188" s="8"/>
      <c r="AC1188" s="8"/>
      <c r="AD1188" s="8"/>
      <c r="AE1188" s="8"/>
      <c r="AF1188" s="8"/>
      <c r="AG1188" s="8"/>
      <c r="AH1188" s="8"/>
      <c r="AI1188" s="8"/>
      <c r="AJ1188" s="8"/>
      <c r="AK1188" s="8"/>
      <c r="AL1188" s="4" t="s">
        <v>49</v>
      </c>
      <c r="AM1188" s="5" t="str">
        <f t="shared" si="73"/>
        <v/>
      </c>
      <c r="AN1188" s="5" t="str">
        <f t="shared" si="74"/>
        <v/>
      </c>
      <c r="AO1188" s="18" t="str">
        <f t="shared" si="75"/>
        <v/>
      </c>
      <c r="AP1188" s="19"/>
      <c r="AQ1188" s="20" t="str">
        <f t="shared" si="76"/>
        <v/>
      </c>
      <c r="AR1188" s="21"/>
    </row>
    <row r="1189" spans="2:44" ht="31.5" x14ac:dyDescent="0.5">
      <c r="B1189" s="1"/>
      <c r="C1189" s="15"/>
      <c r="D1189" s="16"/>
      <c r="E1189" s="15"/>
      <c r="F1189" s="17"/>
      <c r="G1189" s="8"/>
      <c r="H1189" s="8"/>
      <c r="I1189" s="8"/>
      <c r="J1189" s="8"/>
      <c r="K1189" s="8"/>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4" t="s">
        <v>49</v>
      </c>
      <c r="AM1189" s="5" t="str">
        <f t="shared" si="73"/>
        <v/>
      </c>
      <c r="AN1189" s="5" t="str">
        <f t="shared" si="74"/>
        <v/>
      </c>
      <c r="AO1189" s="18" t="str">
        <f t="shared" si="75"/>
        <v/>
      </c>
      <c r="AP1189" s="19"/>
      <c r="AQ1189" s="20" t="str">
        <f t="shared" si="76"/>
        <v/>
      </c>
      <c r="AR1189" s="21"/>
    </row>
    <row r="1190" spans="2:44" ht="31.5" x14ac:dyDescent="0.5">
      <c r="B1190" s="1"/>
      <c r="C1190" s="15"/>
      <c r="D1190" s="16"/>
      <c r="E1190" s="15"/>
      <c r="F1190" s="17"/>
      <c r="G1190" s="8"/>
      <c r="H1190" s="8"/>
      <c r="I1190" s="8"/>
      <c r="J1190" s="8"/>
      <c r="K1190" s="8"/>
      <c r="L1190" s="8"/>
      <c r="M1190" s="8"/>
      <c r="N1190" s="8"/>
      <c r="O1190" s="8"/>
      <c r="P1190" s="8"/>
      <c r="Q1190" s="8"/>
      <c r="R1190" s="8"/>
      <c r="S1190" s="8"/>
      <c r="T1190" s="8"/>
      <c r="U1190" s="8"/>
      <c r="V1190" s="8"/>
      <c r="W1190" s="8"/>
      <c r="X1190" s="8"/>
      <c r="Y1190" s="8"/>
      <c r="Z1190" s="8"/>
      <c r="AA1190" s="8"/>
      <c r="AB1190" s="8"/>
      <c r="AC1190" s="8"/>
      <c r="AD1190" s="8"/>
      <c r="AE1190" s="8"/>
      <c r="AF1190" s="8"/>
      <c r="AG1190" s="8"/>
      <c r="AH1190" s="8"/>
      <c r="AI1190" s="8"/>
      <c r="AJ1190" s="8"/>
      <c r="AK1190" s="8"/>
      <c r="AL1190" s="4" t="s">
        <v>49</v>
      </c>
      <c r="AM1190" s="5" t="str">
        <f t="shared" si="73"/>
        <v/>
      </c>
      <c r="AN1190" s="5" t="str">
        <f t="shared" si="74"/>
        <v/>
      </c>
      <c r="AO1190" s="18" t="str">
        <f t="shared" si="75"/>
        <v/>
      </c>
      <c r="AP1190" s="19"/>
      <c r="AQ1190" s="20" t="str">
        <f t="shared" si="76"/>
        <v/>
      </c>
      <c r="AR1190" s="21"/>
    </row>
    <row r="1191" spans="2:44" ht="31.5" x14ac:dyDescent="0.5">
      <c r="B1191" s="1"/>
      <c r="C1191" s="15"/>
      <c r="D1191" s="16"/>
      <c r="E1191" s="15"/>
      <c r="F1191" s="17"/>
      <c r="G1191" s="8"/>
      <c r="H1191" s="8"/>
      <c r="I1191" s="8"/>
      <c r="J1191" s="8"/>
      <c r="K1191" s="8"/>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4" t="s">
        <v>49</v>
      </c>
      <c r="AM1191" s="5" t="str">
        <f t="shared" si="73"/>
        <v/>
      </c>
      <c r="AN1191" s="5" t="str">
        <f t="shared" si="74"/>
        <v/>
      </c>
      <c r="AO1191" s="18" t="str">
        <f t="shared" si="75"/>
        <v/>
      </c>
      <c r="AP1191" s="19"/>
      <c r="AQ1191" s="20" t="str">
        <f t="shared" si="76"/>
        <v/>
      </c>
      <c r="AR1191" s="21"/>
    </row>
    <row r="1192" spans="2:44" ht="31.5" x14ac:dyDescent="0.5">
      <c r="B1192" s="1"/>
      <c r="C1192" s="15"/>
      <c r="D1192" s="16"/>
      <c r="E1192" s="15"/>
      <c r="F1192" s="17"/>
      <c r="G1192" s="8"/>
      <c r="H1192" s="8"/>
      <c r="I1192" s="8"/>
      <c r="J1192" s="8"/>
      <c r="K1192" s="8"/>
      <c r="L1192" s="8"/>
      <c r="M1192" s="8"/>
      <c r="N1192" s="8"/>
      <c r="O1192" s="8"/>
      <c r="P1192" s="8"/>
      <c r="Q1192" s="8"/>
      <c r="R1192" s="8"/>
      <c r="S1192" s="8"/>
      <c r="T1192" s="8"/>
      <c r="U1192" s="8"/>
      <c r="V1192" s="8"/>
      <c r="W1192" s="8"/>
      <c r="X1192" s="8"/>
      <c r="Y1192" s="8"/>
      <c r="Z1192" s="8"/>
      <c r="AA1192" s="8"/>
      <c r="AB1192" s="8"/>
      <c r="AC1192" s="8"/>
      <c r="AD1192" s="8"/>
      <c r="AE1192" s="8"/>
      <c r="AF1192" s="8"/>
      <c r="AG1192" s="8"/>
      <c r="AH1192" s="8"/>
      <c r="AI1192" s="8"/>
      <c r="AJ1192" s="8"/>
      <c r="AK1192" s="8"/>
      <c r="AL1192" s="4" t="s">
        <v>49</v>
      </c>
      <c r="AM1192" s="5" t="str">
        <f t="shared" si="73"/>
        <v/>
      </c>
      <c r="AN1192" s="5" t="str">
        <f t="shared" si="74"/>
        <v/>
      </c>
      <c r="AO1192" s="18" t="str">
        <f t="shared" si="75"/>
        <v/>
      </c>
      <c r="AP1192" s="19"/>
      <c r="AQ1192" s="20" t="str">
        <f t="shared" si="76"/>
        <v/>
      </c>
      <c r="AR1192" s="21"/>
    </row>
    <row r="1193" spans="2:44" ht="31.5" x14ac:dyDescent="0.5">
      <c r="B1193" s="1"/>
      <c r="C1193" s="15"/>
      <c r="D1193" s="16"/>
      <c r="E1193" s="15"/>
      <c r="F1193" s="17"/>
      <c r="G1193" s="8"/>
      <c r="H1193" s="8"/>
      <c r="I1193" s="8"/>
      <c r="J1193" s="8"/>
      <c r="K1193" s="8"/>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4" t="s">
        <v>49</v>
      </c>
      <c r="AM1193" s="5" t="str">
        <f t="shared" si="73"/>
        <v/>
      </c>
      <c r="AN1193" s="5" t="str">
        <f t="shared" si="74"/>
        <v/>
      </c>
      <c r="AO1193" s="18" t="str">
        <f t="shared" si="75"/>
        <v/>
      </c>
      <c r="AP1193" s="19"/>
      <c r="AQ1193" s="20" t="str">
        <f t="shared" si="76"/>
        <v/>
      </c>
      <c r="AR1193" s="21"/>
    </row>
    <row r="1194" spans="2:44" ht="31.5" x14ac:dyDescent="0.5">
      <c r="B1194" s="1"/>
      <c r="C1194" s="15"/>
      <c r="D1194" s="16"/>
      <c r="E1194" s="15"/>
      <c r="F1194" s="17"/>
      <c r="G1194" s="8"/>
      <c r="H1194" s="8"/>
      <c r="I1194" s="8"/>
      <c r="J1194" s="8"/>
      <c r="K1194" s="8"/>
      <c r="L1194" s="8"/>
      <c r="M1194" s="8"/>
      <c r="N1194" s="8"/>
      <c r="O1194" s="8"/>
      <c r="P1194" s="8"/>
      <c r="Q1194" s="8"/>
      <c r="R1194" s="8"/>
      <c r="S1194" s="8"/>
      <c r="T1194" s="8"/>
      <c r="U1194" s="8"/>
      <c r="V1194" s="8"/>
      <c r="W1194" s="8"/>
      <c r="X1194" s="8"/>
      <c r="Y1194" s="8"/>
      <c r="Z1194" s="8"/>
      <c r="AA1194" s="8"/>
      <c r="AB1194" s="8"/>
      <c r="AC1194" s="8"/>
      <c r="AD1194" s="8"/>
      <c r="AE1194" s="8"/>
      <c r="AF1194" s="8"/>
      <c r="AG1194" s="8"/>
      <c r="AH1194" s="8"/>
      <c r="AI1194" s="8"/>
      <c r="AJ1194" s="8"/>
      <c r="AK1194" s="8"/>
      <c r="AL1194" s="4" t="s">
        <v>49</v>
      </c>
      <c r="AM1194" s="5" t="str">
        <f t="shared" si="73"/>
        <v/>
      </c>
      <c r="AN1194" s="5" t="str">
        <f t="shared" si="74"/>
        <v/>
      </c>
      <c r="AO1194" s="18" t="str">
        <f t="shared" si="75"/>
        <v/>
      </c>
      <c r="AP1194" s="19"/>
      <c r="AQ1194" s="20" t="str">
        <f t="shared" si="76"/>
        <v/>
      </c>
      <c r="AR1194" s="21"/>
    </row>
    <row r="1195" spans="2:44" ht="31.5" x14ac:dyDescent="0.5">
      <c r="B1195" s="1"/>
      <c r="C1195" s="15"/>
      <c r="D1195" s="16"/>
      <c r="E1195" s="15"/>
      <c r="F1195" s="17"/>
      <c r="G1195" s="8"/>
      <c r="H1195" s="8"/>
      <c r="I1195" s="8"/>
      <c r="J1195" s="8"/>
      <c r="K1195" s="8"/>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4" t="s">
        <v>49</v>
      </c>
      <c r="AM1195" s="5" t="str">
        <f t="shared" si="73"/>
        <v/>
      </c>
      <c r="AN1195" s="5" t="str">
        <f t="shared" si="74"/>
        <v/>
      </c>
      <c r="AO1195" s="18" t="str">
        <f t="shared" si="75"/>
        <v/>
      </c>
      <c r="AP1195" s="19"/>
      <c r="AQ1195" s="20" t="str">
        <f t="shared" si="76"/>
        <v/>
      </c>
      <c r="AR1195" s="21"/>
    </row>
    <row r="1196" spans="2:44" ht="31.5" x14ac:dyDescent="0.5">
      <c r="B1196" s="1"/>
      <c r="C1196" s="15"/>
      <c r="D1196" s="16"/>
      <c r="E1196" s="15"/>
      <c r="F1196" s="17"/>
      <c r="G1196" s="8"/>
      <c r="H1196" s="8"/>
      <c r="I1196" s="8"/>
      <c r="J1196" s="8"/>
      <c r="K1196" s="8"/>
      <c r="L1196" s="8"/>
      <c r="M1196" s="8"/>
      <c r="N1196" s="8"/>
      <c r="O1196" s="8"/>
      <c r="P1196" s="8"/>
      <c r="Q1196" s="8"/>
      <c r="R1196" s="8"/>
      <c r="S1196" s="8"/>
      <c r="T1196" s="8"/>
      <c r="U1196" s="8"/>
      <c r="V1196" s="8"/>
      <c r="W1196" s="8"/>
      <c r="X1196" s="8"/>
      <c r="Y1196" s="8"/>
      <c r="Z1196" s="8"/>
      <c r="AA1196" s="8"/>
      <c r="AB1196" s="8"/>
      <c r="AC1196" s="8"/>
      <c r="AD1196" s="8"/>
      <c r="AE1196" s="8"/>
      <c r="AF1196" s="8"/>
      <c r="AG1196" s="8"/>
      <c r="AH1196" s="8"/>
      <c r="AI1196" s="8"/>
      <c r="AJ1196" s="8"/>
      <c r="AK1196" s="8"/>
      <c r="AL1196" s="4" t="s">
        <v>49</v>
      </c>
      <c r="AM1196" s="5" t="str">
        <f t="shared" si="73"/>
        <v/>
      </c>
      <c r="AN1196" s="5" t="str">
        <f t="shared" si="74"/>
        <v/>
      </c>
      <c r="AO1196" s="18" t="str">
        <f t="shared" si="75"/>
        <v/>
      </c>
      <c r="AP1196" s="19"/>
      <c r="AQ1196" s="20" t="str">
        <f t="shared" si="76"/>
        <v/>
      </c>
      <c r="AR1196" s="21"/>
    </row>
    <row r="1197" spans="2:44" ht="31.5" x14ac:dyDescent="0.5">
      <c r="B1197" s="1"/>
      <c r="C1197" s="15"/>
      <c r="D1197" s="16"/>
      <c r="E1197" s="15"/>
      <c r="F1197" s="17"/>
      <c r="G1197" s="8"/>
      <c r="H1197" s="8"/>
      <c r="I1197" s="8"/>
      <c r="J1197" s="8"/>
      <c r="K1197" s="8"/>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4" t="s">
        <v>49</v>
      </c>
      <c r="AM1197" s="5" t="str">
        <f t="shared" si="73"/>
        <v/>
      </c>
      <c r="AN1197" s="5" t="str">
        <f t="shared" si="74"/>
        <v/>
      </c>
      <c r="AO1197" s="18" t="str">
        <f t="shared" si="75"/>
        <v/>
      </c>
      <c r="AP1197" s="19"/>
      <c r="AQ1197" s="20" t="str">
        <f t="shared" si="76"/>
        <v/>
      </c>
      <c r="AR1197" s="21"/>
    </row>
    <row r="1198" spans="2:44" ht="31.5" x14ac:dyDescent="0.5">
      <c r="B1198" s="1"/>
      <c r="C1198" s="15"/>
      <c r="D1198" s="16"/>
      <c r="E1198" s="15"/>
      <c r="F1198" s="17"/>
      <c r="G1198" s="8"/>
      <c r="H1198" s="8"/>
      <c r="I1198" s="8"/>
      <c r="J1198" s="8"/>
      <c r="K1198" s="8"/>
      <c r="L1198" s="8"/>
      <c r="M1198" s="8"/>
      <c r="N1198" s="8"/>
      <c r="O1198" s="8"/>
      <c r="P1198" s="8"/>
      <c r="Q1198" s="8"/>
      <c r="R1198" s="8"/>
      <c r="S1198" s="8"/>
      <c r="T1198" s="8"/>
      <c r="U1198" s="8"/>
      <c r="V1198" s="8"/>
      <c r="W1198" s="8"/>
      <c r="X1198" s="8"/>
      <c r="Y1198" s="8"/>
      <c r="Z1198" s="8"/>
      <c r="AA1198" s="8"/>
      <c r="AB1198" s="8"/>
      <c r="AC1198" s="8"/>
      <c r="AD1198" s="8"/>
      <c r="AE1198" s="8"/>
      <c r="AF1198" s="8"/>
      <c r="AG1198" s="8"/>
      <c r="AH1198" s="8"/>
      <c r="AI1198" s="8"/>
      <c r="AJ1198" s="8"/>
      <c r="AK1198" s="8"/>
      <c r="AL1198" s="4" t="s">
        <v>49</v>
      </c>
      <c r="AM1198" s="5" t="str">
        <f t="shared" si="73"/>
        <v/>
      </c>
      <c r="AN1198" s="5" t="str">
        <f t="shared" si="74"/>
        <v/>
      </c>
      <c r="AO1198" s="18" t="str">
        <f t="shared" si="75"/>
        <v/>
      </c>
      <c r="AP1198" s="19"/>
      <c r="AQ1198" s="20" t="str">
        <f t="shared" si="76"/>
        <v/>
      </c>
      <c r="AR1198" s="21"/>
    </row>
    <row r="1199" spans="2:44" ht="31.5" x14ac:dyDescent="0.5">
      <c r="B1199" s="1"/>
      <c r="C1199" s="15"/>
      <c r="D1199" s="16"/>
      <c r="E1199" s="15"/>
      <c r="F1199" s="17"/>
      <c r="G1199" s="8"/>
      <c r="H1199" s="8"/>
      <c r="I1199" s="8"/>
      <c r="J1199" s="8"/>
      <c r="K1199" s="8"/>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4" t="s">
        <v>49</v>
      </c>
      <c r="AM1199" s="5" t="str">
        <f t="shared" si="73"/>
        <v/>
      </c>
      <c r="AN1199" s="5" t="str">
        <f t="shared" si="74"/>
        <v/>
      </c>
      <c r="AO1199" s="18" t="str">
        <f t="shared" si="75"/>
        <v/>
      </c>
      <c r="AP1199" s="19"/>
      <c r="AQ1199" s="20" t="str">
        <f t="shared" si="76"/>
        <v/>
      </c>
      <c r="AR1199" s="21"/>
    </row>
    <row r="1200" spans="2:44" ht="31.5" x14ac:dyDescent="0.5">
      <c r="B1200" s="1"/>
      <c r="C1200" s="15"/>
      <c r="D1200" s="16"/>
      <c r="E1200" s="15"/>
      <c r="F1200" s="17"/>
      <c r="G1200" s="8"/>
      <c r="H1200" s="8"/>
      <c r="I1200" s="8"/>
      <c r="J1200" s="8"/>
      <c r="K1200" s="8"/>
      <c r="L1200" s="8"/>
      <c r="M1200" s="8"/>
      <c r="N1200" s="8"/>
      <c r="O1200" s="8"/>
      <c r="P1200" s="8"/>
      <c r="Q1200" s="8"/>
      <c r="R1200" s="8"/>
      <c r="S1200" s="8"/>
      <c r="T1200" s="8"/>
      <c r="U1200" s="8"/>
      <c r="V1200" s="8"/>
      <c r="W1200" s="8"/>
      <c r="X1200" s="8"/>
      <c r="Y1200" s="8"/>
      <c r="Z1200" s="8"/>
      <c r="AA1200" s="8"/>
      <c r="AB1200" s="8"/>
      <c r="AC1200" s="8"/>
      <c r="AD1200" s="8"/>
      <c r="AE1200" s="8"/>
      <c r="AF1200" s="8"/>
      <c r="AG1200" s="8"/>
      <c r="AH1200" s="8"/>
      <c r="AI1200" s="8"/>
      <c r="AJ1200" s="8"/>
      <c r="AK1200" s="8"/>
      <c r="AL1200" s="4" t="s">
        <v>49</v>
      </c>
      <c r="AM1200" s="5" t="str">
        <f t="shared" si="73"/>
        <v/>
      </c>
      <c r="AN1200" s="5" t="str">
        <f t="shared" si="74"/>
        <v/>
      </c>
      <c r="AO1200" s="18" t="str">
        <f t="shared" si="75"/>
        <v/>
      </c>
      <c r="AP1200" s="19"/>
      <c r="AQ1200" s="20" t="str">
        <f t="shared" si="76"/>
        <v/>
      </c>
      <c r="AR1200" s="21"/>
    </row>
    <row r="1201" spans="2:44" ht="31.5" x14ac:dyDescent="0.5">
      <c r="B1201" s="1"/>
      <c r="C1201" s="15"/>
      <c r="D1201" s="16"/>
      <c r="E1201" s="15"/>
      <c r="F1201" s="17"/>
      <c r="G1201" s="8"/>
      <c r="H1201" s="8"/>
      <c r="I1201" s="8"/>
      <c r="J1201" s="8"/>
      <c r="K1201" s="8"/>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4" t="s">
        <v>49</v>
      </c>
      <c r="AM1201" s="5" t="str">
        <f t="shared" si="73"/>
        <v/>
      </c>
      <c r="AN1201" s="5" t="str">
        <f t="shared" si="74"/>
        <v/>
      </c>
      <c r="AO1201" s="18" t="str">
        <f t="shared" si="75"/>
        <v/>
      </c>
      <c r="AP1201" s="19"/>
      <c r="AQ1201" s="20" t="str">
        <f t="shared" si="76"/>
        <v/>
      </c>
      <c r="AR1201" s="21"/>
    </row>
    <row r="1202" spans="2:44" ht="31.5" x14ac:dyDescent="0.5">
      <c r="B1202" s="1"/>
      <c r="C1202" s="15"/>
      <c r="D1202" s="16"/>
      <c r="E1202" s="15"/>
      <c r="F1202" s="17"/>
      <c r="G1202" s="8"/>
      <c r="H1202" s="8"/>
      <c r="I1202" s="8"/>
      <c r="J1202" s="8"/>
      <c r="K1202" s="8"/>
      <c r="L1202" s="8"/>
      <c r="M1202" s="8"/>
      <c r="N1202" s="8"/>
      <c r="O1202" s="8"/>
      <c r="P1202" s="8"/>
      <c r="Q1202" s="8"/>
      <c r="R1202" s="8"/>
      <c r="S1202" s="8"/>
      <c r="T1202" s="8"/>
      <c r="U1202" s="8"/>
      <c r="V1202" s="8"/>
      <c r="W1202" s="8"/>
      <c r="X1202" s="8"/>
      <c r="Y1202" s="8"/>
      <c r="Z1202" s="8"/>
      <c r="AA1202" s="8"/>
      <c r="AB1202" s="8"/>
      <c r="AC1202" s="8"/>
      <c r="AD1202" s="8"/>
      <c r="AE1202" s="8"/>
      <c r="AF1202" s="8"/>
      <c r="AG1202" s="8"/>
      <c r="AH1202" s="8"/>
      <c r="AI1202" s="8"/>
      <c r="AJ1202" s="8"/>
      <c r="AK1202" s="8"/>
      <c r="AL1202" s="4" t="s">
        <v>49</v>
      </c>
      <c r="AM1202" s="5" t="str">
        <f t="shared" si="73"/>
        <v/>
      </c>
      <c r="AN1202" s="5" t="str">
        <f t="shared" si="74"/>
        <v/>
      </c>
      <c r="AO1202" s="18" t="str">
        <f t="shared" si="75"/>
        <v/>
      </c>
      <c r="AP1202" s="19"/>
      <c r="AQ1202" s="20" t="str">
        <f t="shared" si="76"/>
        <v/>
      </c>
      <c r="AR1202" s="21"/>
    </row>
    <row r="1203" spans="2:44" ht="31.5" x14ac:dyDescent="0.5">
      <c r="B1203" s="1"/>
      <c r="C1203" s="15"/>
      <c r="D1203" s="16"/>
      <c r="E1203" s="15"/>
      <c r="F1203" s="17"/>
      <c r="G1203" s="8"/>
      <c r="H1203" s="8"/>
      <c r="I1203" s="8"/>
      <c r="J1203" s="8"/>
      <c r="K1203" s="8"/>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4" t="s">
        <v>49</v>
      </c>
      <c r="AM1203" s="5" t="str">
        <f t="shared" ref="AM1203:AM1266" si="77">IF($B1203="","",COUNTIF($G1203:$AK1203,"P"))</f>
        <v/>
      </c>
      <c r="AN1203" s="5" t="str">
        <f t="shared" ref="AN1203:AN1266" si="78">IF($B1203="","",COUNTIF($G1203:$AK1203,"AB"))</f>
        <v/>
      </c>
      <c r="AO1203" s="18" t="str">
        <f t="shared" ref="AO1203:AO1266" si="79">IF($B1203="","",SUMPRODUCT(--($G$11:$AK$11&lt;&gt;""),--($G$12:$AK$12&lt;&gt;"Sun")))</f>
        <v/>
      </c>
      <c r="AP1203" s="19"/>
      <c r="AQ1203" s="20" t="str">
        <f t="shared" ref="AQ1203:AQ1266" si="80">IF($B1203="","",IF(AO1203=0,"",AM1203/AO1203))</f>
        <v/>
      </c>
      <c r="AR1203" s="21"/>
    </row>
    <row r="1204" spans="2:44" ht="31.5" x14ac:dyDescent="0.5">
      <c r="B1204" s="1"/>
      <c r="C1204" s="15"/>
      <c r="D1204" s="16"/>
      <c r="E1204" s="15"/>
      <c r="F1204" s="17"/>
      <c r="G1204" s="8"/>
      <c r="H1204" s="8"/>
      <c r="I1204" s="8"/>
      <c r="J1204" s="8"/>
      <c r="K1204" s="8"/>
      <c r="L1204" s="8"/>
      <c r="M1204" s="8"/>
      <c r="N1204" s="8"/>
      <c r="O1204" s="8"/>
      <c r="P1204" s="8"/>
      <c r="Q1204" s="8"/>
      <c r="R1204" s="8"/>
      <c r="S1204" s="8"/>
      <c r="T1204" s="8"/>
      <c r="U1204" s="8"/>
      <c r="V1204" s="8"/>
      <c r="W1204" s="8"/>
      <c r="X1204" s="8"/>
      <c r="Y1204" s="8"/>
      <c r="Z1204" s="8"/>
      <c r="AA1204" s="8"/>
      <c r="AB1204" s="8"/>
      <c r="AC1204" s="8"/>
      <c r="AD1204" s="8"/>
      <c r="AE1204" s="8"/>
      <c r="AF1204" s="8"/>
      <c r="AG1204" s="8"/>
      <c r="AH1204" s="8"/>
      <c r="AI1204" s="8"/>
      <c r="AJ1204" s="8"/>
      <c r="AK1204" s="8"/>
      <c r="AL1204" s="4" t="s">
        <v>49</v>
      </c>
      <c r="AM1204" s="5" t="str">
        <f t="shared" si="77"/>
        <v/>
      </c>
      <c r="AN1204" s="5" t="str">
        <f t="shared" si="78"/>
        <v/>
      </c>
      <c r="AO1204" s="18" t="str">
        <f t="shared" si="79"/>
        <v/>
      </c>
      <c r="AP1204" s="19"/>
      <c r="AQ1204" s="20" t="str">
        <f t="shared" si="80"/>
        <v/>
      </c>
      <c r="AR1204" s="21"/>
    </row>
    <row r="1205" spans="2:44" ht="31.5" x14ac:dyDescent="0.5">
      <c r="B1205" s="1"/>
      <c r="C1205" s="15"/>
      <c r="D1205" s="16"/>
      <c r="E1205" s="15"/>
      <c r="F1205" s="17"/>
      <c r="G1205" s="8"/>
      <c r="H1205" s="8"/>
      <c r="I1205" s="8"/>
      <c r="J1205" s="8"/>
      <c r="K1205" s="8"/>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4" t="s">
        <v>49</v>
      </c>
      <c r="AM1205" s="5" t="str">
        <f t="shared" si="77"/>
        <v/>
      </c>
      <c r="AN1205" s="5" t="str">
        <f t="shared" si="78"/>
        <v/>
      </c>
      <c r="AO1205" s="18" t="str">
        <f t="shared" si="79"/>
        <v/>
      </c>
      <c r="AP1205" s="19"/>
      <c r="AQ1205" s="20" t="str">
        <f t="shared" si="80"/>
        <v/>
      </c>
      <c r="AR1205" s="21"/>
    </row>
    <row r="1206" spans="2:44" ht="31.5" x14ac:dyDescent="0.5">
      <c r="B1206" s="1"/>
      <c r="C1206" s="15"/>
      <c r="D1206" s="16"/>
      <c r="E1206" s="15"/>
      <c r="F1206" s="17"/>
      <c r="G1206" s="8"/>
      <c r="H1206" s="8"/>
      <c r="I1206" s="8"/>
      <c r="J1206" s="8"/>
      <c r="K1206" s="8"/>
      <c r="L1206" s="8"/>
      <c r="M1206" s="8"/>
      <c r="N1206" s="8"/>
      <c r="O1206" s="8"/>
      <c r="P1206" s="8"/>
      <c r="Q1206" s="8"/>
      <c r="R1206" s="8"/>
      <c r="S1206" s="8"/>
      <c r="T1206" s="8"/>
      <c r="U1206" s="8"/>
      <c r="V1206" s="8"/>
      <c r="W1206" s="8"/>
      <c r="X1206" s="8"/>
      <c r="Y1206" s="8"/>
      <c r="Z1206" s="8"/>
      <c r="AA1206" s="8"/>
      <c r="AB1206" s="8"/>
      <c r="AC1206" s="8"/>
      <c r="AD1206" s="8"/>
      <c r="AE1206" s="8"/>
      <c r="AF1206" s="8"/>
      <c r="AG1206" s="8"/>
      <c r="AH1206" s="8"/>
      <c r="AI1206" s="8"/>
      <c r="AJ1206" s="8"/>
      <c r="AK1206" s="8"/>
      <c r="AL1206" s="4" t="s">
        <v>49</v>
      </c>
      <c r="AM1206" s="5" t="str">
        <f t="shared" si="77"/>
        <v/>
      </c>
      <c r="AN1206" s="5" t="str">
        <f t="shared" si="78"/>
        <v/>
      </c>
      <c r="AO1206" s="18" t="str">
        <f t="shared" si="79"/>
        <v/>
      </c>
      <c r="AP1206" s="19"/>
      <c r="AQ1206" s="20" t="str">
        <f t="shared" si="80"/>
        <v/>
      </c>
      <c r="AR1206" s="21"/>
    </row>
    <row r="1207" spans="2:44" ht="31.5" x14ac:dyDescent="0.5">
      <c r="B1207" s="1"/>
      <c r="C1207" s="15"/>
      <c r="D1207" s="16"/>
      <c r="E1207" s="15"/>
      <c r="F1207" s="17"/>
      <c r="G1207" s="8"/>
      <c r="H1207" s="8"/>
      <c r="I1207" s="8"/>
      <c r="J1207" s="8"/>
      <c r="K1207" s="8"/>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4" t="s">
        <v>49</v>
      </c>
      <c r="AM1207" s="5" t="str">
        <f t="shared" si="77"/>
        <v/>
      </c>
      <c r="AN1207" s="5" t="str">
        <f t="shared" si="78"/>
        <v/>
      </c>
      <c r="AO1207" s="18" t="str">
        <f t="shared" si="79"/>
        <v/>
      </c>
      <c r="AP1207" s="19"/>
      <c r="AQ1207" s="20" t="str">
        <f t="shared" si="80"/>
        <v/>
      </c>
      <c r="AR1207" s="21"/>
    </row>
    <row r="1208" spans="2:44" ht="31.5" x14ac:dyDescent="0.5">
      <c r="B1208" s="1"/>
      <c r="C1208" s="15"/>
      <c r="D1208" s="16"/>
      <c r="E1208" s="15"/>
      <c r="F1208" s="17"/>
      <c r="G1208" s="8"/>
      <c r="H1208" s="8"/>
      <c r="I1208" s="8"/>
      <c r="J1208" s="8"/>
      <c r="K1208" s="8"/>
      <c r="L1208" s="8"/>
      <c r="M1208" s="8"/>
      <c r="N1208" s="8"/>
      <c r="O1208" s="8"/>
      <c r="P1208" s="8"/>
      <c r="Q1208" s="8"/>
      <c r="R1208" s="8"/>
      <c r="S1208" s="8"/>
      <c r="T1208" s="8"/>
      <c r="U1208" s="8"/>
      <c r="V1208" s="8"/>
      <c r="W1208" s="8"/>
      <c r="X1208" s="8"/>
      <c r="Y1208" s="8"/>
      <c r="Z1208" s="8"/>
      <c r="AA1208" s="8"/>
      <c r="AB1208" s="8"/>
      <c r="AC1208" s="8"/>
      <c r="AD1208" s="8"/>
      <c r="AE1208" s="8"/>
      <c r="AF1208" s="8"/>
      <c r="AG1208" s="8"/>
      <c r="AH1208" s="8"/>
      <c r="AI1208" s="8"/>
      <c r="AJ1208" s="8"/>
      <c r="AK1208" s="8"/>
      <c r="AL1208" s="4" t="s">
        <v>49</v>
      </c>
      <c r="AM1208" s="5" t="str">
        <f t="shared" si="77"/>
        <v/>
      </c>
      <c r="AN1208" s="5" t="str">
        <f t="shared" si="78"/>
        <v/>
      </c>
      <c r="AO1208" s="18" t="str">
        <f t="shared" si="79"/>
        <v/>
      </c>
      <c r="AP1208" s="19"/>
      <c r="AQ1208" s="20" t="str">
        <f t="shared" si="80"/>
        <v/>
      </c>
      <c r="AR1208" s="21"/>
    </row>
    <row r="1209" spans="2:44" ht="31.5" x14ac:dyDescent="0.5">
      <c r="B1209" s="1"/>
      <c r="C1209" s="15"/>
      <c r="D1209" s="16"/>
      <c r="E1209" s="15"/>
      <c r="F1209" s="17"/>
      <c r="G1209" s="8"/>
      <c r="H1209" s="8"/>
      <c r="I1209" s="8"/>
      <c r="J1209" s="8"/>
      <c r="K1209" s="8"/>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4" t="s">
        <v>49</v>
      </c>
      <c r="AM1209" s="5" t="str">
        <f t="shared" si="77"/>
        <v/>
      </c>
      <c r="AN1209" s="5" t="str">
        <f t="shared" si="78"/>
        <v/>
      </c>
      <c r="AO1209" s="18" t="str">
        <f t="shared" si="79"/>
        <v/>
      </c>
      <c r="AP1209" s="19"/>
      <c r="AQ1209" s="20" t="str">
        <f t="shared" si="80"/>
        <v/>
      </c>
      <c r="AR1209" s="21"/>
    </row>
    <row r="1210" spans="2:44" ht="31.5" x14ac:dyDescent="0.5">
      <c r="B1210" s="1"/>
      <c r="C1210" s="15"/>
      <c r="D1210" s="16"/>
      <c r="E1210" s="15"/>
      <c r="F1210" s="17"/>
      <c r="G1210" s="8"/>
      <c r="H1210" s="8"/>
      <c r="I1210" s="8"/>
      <c r="J1210" s="8"/>
      <c r="K1210" s="8"/>
      <c r="L1210" s="8"/>
      <c r="M1210" s="8"/>
      <c r="N1210" s="8"/>
      <c r="O1210" s="8"/>
      <c r="P1210" s="8"/>
      <c r="Q1210" s="8"/>
      <c r="R1210" s="8"/>
      <c r="S1210" s="8"/>
      <c r="T1210" s="8"/>
      <c r="U1210" s="8"/>
      <c r="V1210" s="8"/>
      <c r="W1210" s="8"/>
      <c r="X1210" s="8"/>
      <c r="Y1210" s="8"/>
      <c r="Z1210" s="8"/>
      <c r="AA1210" s="8"/>
      <c r="AB1210" s="8"/>
      <c r="AC1210" s="8"/>
      <c r="AD1210" s="8"/>
      <c r="AE1210" s="8"/>
      <c r="AF1210" s="8"/>
      <c r="AG1210" s="8"/>
      <c r="AH1210" s="8"/>
      <c r="AI1210" s="8"/>
      <c r="AJ1210" s="8"/>
      <c r="AK1210" s="8"/>
      <c r="AL1210" s="4" t="s">
        <v>49</v>
      </c>
      <c r="AM1210" s="5" t="str">
        <f t="shared" si="77"/>
        <v/>
      </c>
      <c r="AN1210" s="5" t="str">
        <f t="shared" si="78"/>
        <v/>
      </c>
      <c r="AO1210" s="18" t="str">
        <f t="shared" si="79"/>
        <v/>
      </c>
      <c r="AP1210" s="19"/>
      <c r="AQ1210" s="20" t="str">
        <f t="shared" si="80"/>
        <v/>
      </c>
      <c r="AR1210" s="21"/>
    </row>
    <row r="1211" spans="2:44" ht="31.5" x14ac:dyDescent="0.5">
      <c r="B1211" s="1"/>
      <c r="C1211" s="15"/>
      <c r="D1211" s="16"/>
      <c r="E1211" s="15"/>
      <c r="F1211" s="17"/>
      <c r="G1211" s="8"/>
      <c r="H1211" s="8"/>
      <c r="I1211" s="8"/>
      <c r="J1211" s="8"/>
      <c r="K1211" s="8"/>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4" t="s">
        <v>49</v>
      </c>
      <c r="AM1211" s="5" t="str">
        <f t="shared" si="77"/>
        <v/>
      </c>
      <c r="AN1211" s="5" t="str">
        <f t="shared" si="78"/>
        <v/>
      </c>
      <c r="AO1211" s="18" t="str">
        <f t="shared" si="79"/>
        <v/>
      </c>
      <c r="AP1211" s="19"/>
      <c r="AQ1211" s="20" t="str">
        <f t="shared" si="80"/>
        <v/>
      </c>
      <c r="AR1211" s="21"/>
    </row>
    <row r="1212" spans="2:44" ht="31.5" x14ac:dyDescent="0.5">
      <c r="B1212" s="1"/>
      <c r="C1212" s="15"/>
      <c r="D1212" s="16"/>
      <c r="E1212" s="15"/>
      <c r="F1212" s="17"/>
      <c r="G1212" s="8"/>
      <c r="H1212" s="8"/>
      <c r="I1212" s="8"/>
      <c r="J1212" s="8"/>
      <c r="K1212" s="8"/>
      <c r="L1212" s="8"/>
      <c r="M1212" s="8"/>
      <c r="N1212" s="8"/>
      <c r="O1212" s="8"/>
      <c r="P1212" s="8"/>
      <c r="Q1212" s="8"/>
      <c r="R1212" s="8"/>
      <c r="S1212" s="8"/>
      <c r="T1212" s="8"/>
      <c r="U1212" s="8"/>
      <c r="V1212" s="8"/>
      <c r="W1212" s="8"/>
      <c r="X1212" s="8"/>
      <c r="Y1212" s="8"/>
      <c r="Z1212" s="8"/>
      <c r="AA1212" s="8"/>
      <c r="AB1212" s="8"/>
      <c r="AC1212" s="8"/>
      <c r="AD1212" s="8"/>
      <c r="AE1212" s="8"/>
      <c r="AF1212" s="8"/>
      <c r="AG1212" s="8"/>
      <c r="AH1212" s="8"/>
      <c r="AI1212" s="8"/>
      <c r="AJ1212" s="8"/>
      <c r="AK1212" s="8"/>
      <c r="AL1212" s="4" t="s">
        <v>49</v>
      </c>
      <c r="AM1212" s="5" t="str">
        <f t="shared" si="77"/>
        <v/>
      </c>
      <c r="AN1212" s="5" t="str">
        <f t="shared" si="78"/>
        <v/>
      </c>
      <c r="AO1212" s="18" t="str">
        <f t="shared" si="79"/>
        <v/>
      </c>
      <c r="AP1212" s="19"/>
      <c r="AQ1212" s="20" t="str">
        <f t="shared" si="80"/>
        <v/>
      </c>
      <c r="AR1212" s="21"/>
    </row>
    <row r="1213" spans="2:44" ht="31.5" x14ac:dyDescent="0.5">
      <c r="B1213" s="1"/>
      <c r="C1213" s="15"/>
      <c r="D1213" s="16"/>
      <c r="E1213" s="15"/>
      <c r="F1213" s="17"/>
      <c r="G1213" s="8"/>
      <c r="H1213" s="8"/>
      <c r="I1213" s="8"/>
      <c r="J1213" s="8"/>
      <c r="K1213" s="8"/>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4" t="s">
        <v>49</v>
      </c>
      <c r="AM1213" s="5" t="str">
        <f t="shared" si="77"/>
        <v/>
      </c>
      <c r="AN1213" s="5" t="str">
        <f t="shared" si="78"/>
        <v/>
      </c>
      <c r="AO1213" s="18" t="str">
        <f t="shared" si="79"/>
        <v/>
      </c>
      <c r="AP1213" s="19"/>
      <c r="AQ1213" s="20" t="str">
        <f t="shared" si="80"/>
        <v/>
      </c>
      <c r="AR1213" s="21"/>
    </row>
    <row r="1214" spans="2:44" ht="31.5" x14ac:dyDescent="0.5">
      <c r="B1214" s="1"/>
      <c r="C1214" s="15"/>
      <c r="D1214" s="16"/>
      <c r="E1214" s="15"/>
      <c r="F1214" s="17"/>
      <c r="G1214" s="8"/>
      <c r="H1214" s="8"/>
      <c r="I1214" s="8"/>
      <c r="J1214" s="8"/>
      <c r="K1214" s="8"/>
      <c r="L1214" s="8"/>
      <c r="M1214" s="8"/>
      <c r="N1214" s="8"/>
      <c r="O1214" s="8"/>
      <c r="P1214" s="8"/>
      <c r="Q1214" s="8"/>
      <c r="R1214" s="8"/>
      <c r="S1214" s="8"/>
      <c r="T1214" s="8"/>
      <c r="U1214" s="8"/>
      <c r="V1214" s="8"/>
      <c r="W1214" s="8"/>
      <c r="X1214" s="8"/>
      <c r="Y1214" s="8"/>
      <c r="Z1214" s="8"/>
      <c r="AA1214" s="8"/>
      <c r="AB1214" s="8"/>
      <c r="AC1214" s="8"/>
      <c r="AD1214" s="8"/>
      <c r="AE1214" s="8"/>
      <c r="AF1214" s="8"/>
      <c r="AG1214" s="8"/>
      <c r="AH1214" s="8"/>
      <c r="AI1214" s="8"/>
      <c r="AJ1214" s="8"/>
      <c r="AK1214" s="8"/>
      <c r="AL1214" s="4" t="s">
        <v>49</v>
      </c>
      <c r="AM1214" s="5" t="str">
        <f t="shared" si="77"/>
        <v/>
      </c>
      <c r="AN1214" s="5" t="str">
        <f t="shared" si="78"/>
        <v/>
      </c>
      <c r="AO1214" s="18" t="str">
        <f t="shared" si="79"/>
        <v/>
      </c>
      <c r="AP1214" s="19"/>
      <c r="AQ1214" s="20" t="str">
        <f t="shared" si="80"/>
        <v/>
      </c>
      <c r="AR1214" s="21"/>
    </row>
    <row r="1215" spans="2:44" ht="31.5" x14ac:dyDescent="0.5">
      <c r="B1215" s="1"/>
      <c r="C1215" s="15"/>
      <c r="D1215" s="16"/>
      <c r="E1215" s="15"/>
      <c r="F1215" s="17"/>
      <c r="G1215" s="8"/>
      <c r="H1215" s="8"/>
      <c r="I1215" s="8"/>
      <c r="J1215" s="8"/>
      <c r="K1215" s="8"/>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4" t="s">
        <v>49</v>
      </c>
      <c r="AM1215" s="5" t="str">
        <f t="shared" si="77"/>
        <v/>
      </c>
      <c r="AN1215" s="5" t="str">
        <f t="shared" si="78"/>
        <v/>
      </c>
      <c r="AO1215" s="18" t="str">
        <f t="shared" si="79"/>
        <v/>
      </c>
      <c r="AP1215" s="19"/>
      <c r="AQ1215" s="20" t="str">
        <f t="shared" si="80"/>
        <v/>
      </c>
      <c r="AR1215" s="21"/>
    </row>
    <row r="1216" spans="2:44" ht="31.5" x14ac:dyDescent="0.5">
      <c r="B1216" s="1"/>
      <c r="C1216" s="15"/>
      <c r="D1216" s="16"/>
      <c r="E1216" s="15"/>
      <c r="F1216" s="17"/>
      <c r="G1216" s="8"/>
      <c r="H1216" s="8"/>
      <c r="I1216" s="8"/>
      <c r="J1216" s="8"/>
      <c r="K1216" s="8"/>
      <c r="L1216" s="8"/>
      <c r="M1216" s="8"/>
      <c r="N1216" s="8"/>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4" t="s">
        <v>49</v>
      </c>
      <c r="AM1216" s="5" t="str">
        <f t="shared" si="77"/>
        <v/>
      </c>
      <c r="AN1216" s="5" t="str">
        <f t="shared" si="78"/>
        <v/>
      </c>
      <c r="AO1216" s="18" t="str">
        <f t="shared" si="79"/>
        <v/>
      </c>
      <c r="AP1216" s="19"/>
      <c r="AQ1216" s="20" t="str">
        <f t="shared" si="80"/>
        <v/>
      </c>
      <c r="AR1216" s="21"/>
    </row>
    <row r="1217" spans="2:44" ht="31.5" x14ac:dyDescent="0.5">
      <c r="B1217" s="1"/>
      <c r="C1217" s="15"/>
      <c r="D1217" s="16"/>
      <c r="E1217" s="15"/>
      <c r="F1217" s="17"/>
      <c r="G1217" s="8"/>
      <c r="H1217" s="8"/>
      <c r="I1217" s="8"/>
      <c r="J1217" s="8"/>
      <c r="K1217" s="8"/>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4" t="s">
        <v>49</v>
      </c>
      <c r="AM1217" s="5" t="str">
        <f t="shared" si="77"/>
        <v/>
      </c>
      <c r="AN1217" s="5" t="str">
        <f t="shared" si="78"/>
        <v/>
      </c>
      <c r="AO1217" s="18" t="str">
        <f t="shared" si="79"/>
        <v/>
      </c>
      <c r="AP1217" s="19"/>
      <c r="AQ1217" s="20" t="str">
        <f t="shared" si="80"/>
        <v/>
      </c>
      <c r="AR1217" s="21"/>
    </row>
    <row r="1218" spans="2:44" ht="31.5" x14ac:dyDescent="0.5">
      <c r="B1218" s="1"/>
      <c r="C1218" s="15"/>
      <c r="D1218" s="16"/>
      <c r="E1218" s="15"/>
      <c r="F1218" s="17"/>
      <c r="G1218" s="8"/>
      <c r="H1218" s="8"/>
      <c r="I1218" s="8"/>
      <c r="J1218" s="8"/>
      <c r="K1218" s="8"/>
      <c r="L1218" s="8"/>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4" t="s">
        <v>49</v>
      </c>
      <c r="AM1218" s="5" t="str">
        <f t="shared" si="77"/>
        <v/>
      </c>
      <c r="AN1218" s="5" t="str">
        <f t="shared" si="78"/>
        <v/>
      </c>
      <c r="AO1218" s="18" t="str">
        <f t="shared" si="79"/>
        <v/>
      </c>
      <c r="AP1218" s="19"/>
      <c r="AQ1218" s="20" t="str">
        <f t="shared" si="80"/>
        <v/>
      </c>
      <c r="AR1218" s="21"/>
    </row>
    <row r="1219" spans="2:44" ht="31.5" x14ac:dyDescent="0.5">
      <c r="B1219" s="1"/>
      <c r="C1219" s="15"/>
      <c r="D1219" s="16"/>
      <c r="E1219" s="15"/>
      <c r="F1219" s="17"/>
      <c r="G1219" s="8"/>
      <c r="H1219" s="8"/>
      <c r="I1219" s="8"/>
      <c r="J1219" s="8"/>
      <c r="K1219" s="8"/>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4" t="s">
        <v>49</v>
      </c>
      <c r="AM1219" s="5" t="str">
        <f t="shared" si="77"/>
        <v/>
      </c>
      <c r="AN1219" s="5" t="str">
        <f t="shared" si="78"/>
        <v/>
      </c>
      <c r="AO1219" s="18" t="str">
        <f t="shared" si="79"/>
        <v/>
      </c>
      <c r="AP1219" s="19"/>
      <c r="AQ1219" s="20" t="str">
        <f t="shared" si="80"/>
        <v/>
      </c>
      <c r="AR1219" s="21"/>
    </row>
    <row r="1220" spans="2:44" ht="31.5" x14ac:dyDescent="0.5">
      <c r="B1220" s="1"/>
      <c r="C1220" s="15"/>
      <c r="D1220" s="16"/>
      <c r="E1220" s="15"/>
      <c r="F1220" s="17"/>
      <c r="G1220" s="8"/>
      <c r="H1220" s="8"/>
      <c r="I1220" s="8"/>
      <c r="J1220" s="8"/>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4" t="s">
        <v>49</v>
      </c>
      <c r="AM1220" s="5" t="str">
        <f t="shared" si="77"/>
        <v/>
      </c>
      <c r="AN1220" s="5" t="str">
        <f t="shared" si="78"/>
        <v/>
      </c>
      <c r="AO1220" s="18" t="str">
        <f t="shared" si="79"/>
        <v/>
      </c>
      <c r="AP1220" s="19"/>
      <c r="AQ1220" s="20" t="str">
        <f t="shared" si="80"/>
        <v/>
      </c>
      <c r="AR1220" s="21"/>
    </row>
    <row r="1221" spans="2:44" ht="31.5" x14ac:dyDescent="0.5">
      <c r="B1221" s="1"/>
      <c r="C1221" s="15"/>
      <c r="D1221" s="16"/>
      <c r="E1221" s="15"/>
      <c r="F1221" s="17"/>
      <c r="G1221" s="8"/>
      <c r="H1221" s="8"/>
      <c r="I1221" s="8"/>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4"/>
      <c r="AM1221" s="5" t="str">
        <f t="shared" si="77"/>
        <v/>
      </c>
      <c r="AN1221" s="5" t="str">
        <f t="shared" si="78"/>
        <v/>
      </c>
      <c r="AO1221" s="18" t="str">
        <f t="shared" si="79"/>
        <v/>
      </c>
      <c r="AP1221" s="19"/>
      <c r="AQ1221" s="20" t="str">
        <f t="shared" si="80"/>
        <v/>
      </c>
      <c r="AR1221" s="21"/>
    </row>
    <row r="1222" spans="2:44" ht="31.5" x14ac:dyDescent="0.5">
      <c r="B1222" s="1"/>
      <c r="C1222" s="15"/>
      <c r="D1222" s="16"/>
      <c r="E1222" s="15"/>
      <c r="F1222" s="17"/>
      <c r="G1222" s="8"/>
      <c r="H1222" s="8"/>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4"/>
      <c r="AM1222" s="5" t="str">
        <f t="shared" si="77"/>
        <v/>
      </c>
      <c r="AN1222" s="5" t="str">
        <f t="shared" si="78"/>
        <v/>
      </c>
      <c r="AO1222" s="18" t="str">
        <f t="shared" si="79"/>
        <v/>
      </c>
      <c r="AP1222" s="19"/>
      <c r="AQ1222" s="20" t="str">
        <f t="shared" si="80"/>
        <v/>
      </c>
      <c r="AR1222" s="21"/>
    </row>
    <row r="1223" spans="2:44" ht="31.5" x14ac:dyDescent="0.5">
      <c r="B1223" s="1"/>
      <c r="C1223" s="15"/>
      <c r="D1223" s="16"/>
      <c r="E1223" s="15"/>
      <c r="F1223" s="17"/>
      <c r="G1223" s="8"/>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4"/>
      <c r="AM1223" s="5" t="str">
        <f t="shared" si="77"/>
        <v/>
      </c>
      <c r="AN1223" s="5" t="str">
        <f t="shared" si="78"/>
        <v/>
      </c>
      <c r="AO1223" s="18" t="str">
        <f t="shared" si="79"/>
        <v/>
      </c>
      <c r="AP1223" s="19"/>
      <c r="AQ1223" s="20" t="str">
        <f t="shared" si="80"/>
        <v/>
      </c>
      <c r="AR1223" s="21"/>
    </row>
    <row r="1224" spans="2:44" ht="31.5" x14ac:dyDescent="0.5">
      <c r="B1224" s="1"/>
      <c r="C1224" s="15"/>
      <c r="D1224" s="16"/>
      <c r="E1224" s="15"/>
      <c r="F1224" s="17"/>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4"/>
      <c r="AM1224" s="5" t="str">
        <f t="shared" si="77"/>
        <v/>
      </c>
      <c r="AN1224" s="5" t="str">
        <f t="shared" si="78"/>
        <v/>
      </c>
      <c r="AO1224" s="18" t="str">
        <f t="shared" si="79"/>
        <v/>
      </c>
      <c r="AP1224" s="19"/>
      <c r="AQ1224" s="20" t="str">
        <f t="shared" si="80"/>
        <v/>
      </c>
      <c r="AR1224" s="21"/>
    </row>
    <row r="1225" spans="2:44" ht="31.5" x14ac:dyDescent="0.5">
      <c r="B1225" s="1"/>
      <c r="C1225" s="15"/>
      <c r="D1225" s="16"/>
      <c r="E1225" s="15"/>
      <c r="F1225" s="17"/>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4"/>
      <c r="AM1225" s="5" t="str">
        <f t="shared" si="77"/>
        <v/>
      </c>
      <c r="AN1225" s="5" t="str">
        <f t="shared" si="78"/>
        <v/>
      </c>
      <c r="AO1225" s="18" t="str">
        <f t="shared" si="79"/>
        <v/>
      </c>
      <c r="AP1225" s="19"/>
      <c r="AQ1225" s="20" t="str">
        <f t="shared" si="80"/>
        <v/>
      </c>
      <c r="AR1225" s="21"/>
    </row>
    <row r="1226" spans="2:44" ht="31.5" x14ac:dyDescent="0.5">
      <c r="B1226" s="1"/>
      <c r="C1226" s="15"/>
      <c r="D1226" s="16"/>
      <c r="E1226" s="15"/>
      <c r="F1226" s="17"/>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4"/>
      <c r="AM1226" s="5" t="str">
        <f t="shared" si="77"/>
        <v/>
      </c>
      <c r="AN1226" s="5" t="str">
        <f t="shared" si="78"/>
        <v/>
      </c>
      <c r="AO1226" s="18" t="str">
        <f t="shared" si="79"/>
        <v/>
      </c>
      <c r="AP1226" s="19"/>
      <c r="AQ1226" s="20" t="str">
        <f t="shared" si="80"/>
        <v/>
      </c>
      <c r="AR1226" s="21"/>
    </row>
    <row r="1227" spans="2:44" ht="31.5" x14ac:dyDescent="0.5">
      <c r="B1227" s="1"/>
      <c r="C1227" s="15"/>
      <c r="D1227" s="16"/>
      <c r="E1227" s="15"/>
      <c r="F1227" s="17"/>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4"/>
      <c r="AM1227" s="5" t="str">
        <f t="shared" si="77"/>
        <v/>
      </c>
      <c r="AN1227" s="5" t="str">
        <f t="shared" si="78"/>
        <v/>
      </c>
      <c r="AO1227" s="18" t="str">
        <f t="shared" si="79"/>
        <v/>
      </c>
      <c r="AP1227" s="19"/>
      <c r="AQ1227" s="20" t="str">
        <f t="shared" si="80"/>
        <v/>
      </c>
      <c r="AR1227" s="21"/>
    </row>
    <row r="1228" spans="2:44" ht="31.5" x14ac:dyDescent="0.5">
      <c r="B1228" s="1"/>
      <c r="C1228" s="15"/>
      <c r="D1228" s="16"/>
      <c r="E1228" s="15"/>
      <c r="F1228" s="17"/>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4"/>
      <c r="AM1228" s="5" t="str">
        <f t="shared" si="77"/>
        <v/>
      </c>
      <c r="AN1228" s="5" t="str">
        <f t="shared" si="78"/>
        <v/>
      </c>
      <c r="AO1228" s="18" t="str">
        <f t="shared" si="79"/>
        <v/>
      </c>
      <c r="AP1228" s="19"/>
      <c r="AQ1228" s="20" t="str">
        <f t="shared" si="80"/>
        <v/>
      </c>
      <c r="AR1228" s="21"/>
    </row>
    <row r="1229" spans="2:44" ht="31.5" x14ac:dyDescent="0.5">
      <c r="B1229" s="1"/>
      <c r="C1229" s="15"/>
      <c r="D1229" s="16"/>
      <c r="E1229" s="15"/>
      <c r="F1229" s="17"/>
      <c r="G1229" s="8"/>
      <c r="H1229" s="8"/>
      <c r="I1229" s="8"/>
      <c r="J1229" s="8"/>
      <c r="K1229" s="8"/>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4"/>
      <c r="AM1229" s="5" t="str">
        <f t="shared" si="77"/>
        <v/>
      </c>
      <c r="AN1229" s="5" t="str">
        <f t="shared" si="78"/>
        <v/>
      </c>
      <c r="AO1229" s="18" t="str">
        <f t="shared" si="79"/>
        <v/>
      </c>
      <c r="AP1229" s="19"/>
      <c r="AQ1229" s="20" t="str">
        <f t="shared" si="80"/>
        <v/>
      </c>
      <c r="AR1229" s="21"/>
    </row>
    <row r="1230" spans="2:44" ht="31.5" x14ac:dyDescent="0.5">
      <c r="B1230" s="1"/>
      <c r="C1230" s="15"/>
      <c r="D1230" s="16"/>
      <c r="E1230" s="15"/>
      <c r="F1230" s="17"/>
      <c r="G1230" s="8"/>
      <c r="H1230" s="8"/>
      <c r="I1230" s="8"/>
      <c r="J1230" s="8"/>
      <c r="K1230" s="8"/>
      <c r="L1230" s="8"/>
      <c r="M1230" s="8"/>
      <c r="N1230" s="8"/>
      <c r="O1230" s="8"/>
      <c r="P1230" s="8"/>
      <c r="Q1230" s="8"/>
      <c r="R1230" s="8"/>
      <c r="S1230" s="8"/>
      <c r="T1230" s="8"/>
      <c r="U1230" s="8"/>
      <c r="V1230" s="8"/>
      <c r="W1230" s="8"/>
      <c r="X1230" s="8"/>
      <c r="Y1230" s="8"/>
      <c r="Z1230" s="8"/>
      <c r="AA1230" s="8"/>
      <c r="AB1230" s="8"/>
      <c r="AC1230" s="8"/>
      <c r="AD1230" s="8"/>
      <c r="AE1230" s="8"/>
      <c r="AF1230" s="8"/>
      <c r="AG1230" s="8"/>
      <c r="AH1230" s="8"/>
      <c r="AI1230" s="8"/>
      <c r="AJ1230" s="8"/>
      <c r="AK1230" s="8"/>
      <c r="AL1230" s="4"/>
      <c r="AM1230" s="5" t="str">
        <f t="shared" si="77"/>
        <v/>
      </c>
      <c r="AN1230" s="5" t="str">
        <f t="shared" si="78"/>
        <v/>
      </c>
      <c r="AO1230" s="18" t="str">
        <f t="shared" si="79"/>
        <v/>
      </c>
      <c r="AP1230" s="19"/>
      <c r="AQ1230" s="20" t="str">
        <f t="shared" si="80"/>
        <v/>
      </c>
      <c r="AR1230" s="21"/>
    </row>
    <row r="1231" spans="2:44" ht="31.5" x14ac:dyDescent="0.5">
      <c r="B1231" s="1"/>
      <c r="C1231" s="15"/>
      <c r="D1231" s="16"/>
      <c r="E1231" s="15"/>
      <c r="F1231" s="17"/>
      <c r="G1231" s="8"/>
      <c r="H1231" s="8"/>
      <c r="I1231" s="8"/>
      <c r="J1231" s="8"/>
      <c r="K1231" s="8"/>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4"/>
      <c r="AM1231" s="5" t="str">
        <f t="shared" si="77"/>
        <v/>
      </c>
      <c r="AN1231" s="5" t="str">
        <f t="shared" si="78"/>
        <v/>
      </c>
      <c r="AO1231" s="18" t="str">
        <f t="shared" si="79"/>
        <v/>
      </c>
      <c r="AP1231" s="19"/>
      <c r="AQ1231" s="20" t="str">
        <f t="shared" si="80"/>
        <v/>
      </c>
      <c r="AR1231" s="21"/>
    </row>
    <row r="1232" spans="2:44" ht="31.5" x14ac:dyDescent="0.5">
      <c r="B1232" s="1"/>
      <c r="C1232" s="15"/>
      <c r="D1232" s="16"/>
      <c r="E1232" s="15"/>
      <c r="F1232" s="17"/>
      <c r="G1232" s="8"/>
      <c r="H1232" s="8"/>
      <c r="I1232" s="8"/>
      <c r="J1232" s="8"/>
      <c r="K1232" s="8"/>
      <c r="L1232" s="8"/>
      <c r="M1232" s="8"/>
      <c r="N1232" s="8"/>
      <c r="O1232" s="8"/>
      <c r="P1232" s="8"/>
      <c r="Q1232" s="8"/>
      <c r="R1232" s="8"/>
      <c r="S1232" s="8"/>
      <c r="T1232" s="8"/>
      <c r="U1232" s="8"/>
      <c r="V1232" s="8"/>
      <c r="W1232" s="8"/>
      <c r="X1232" s="8"/>
      <c r="Y1232" s="8"/>
      <c r="Z1232" s="8"/>
      <c r="AA1232" s="8"/>
      <c r="AB1232" s="8"/>
      <c r="AC1232" s="8"/>
      <c r="AD1232" s="8"/>
      <c r="AE1232" s="8"/>
      <c r="AF1232" s="8"/>
      <c r="AG1232" s="8"/>
      <c r="AH1232" s="8"/>
      <c r="AI1232" s="8"/>
      <c r="AJ1232" s="8"/>
      <c r="AK1232" s="8"/>
      <c r="AL1232" s="4"/>
      <c r="AM1232" s="5" t="str">
        <f t="shared" si="77"/>
        <v/>
      </c>
      <c r="AN1232" s="5" t="str">
        <f t="shared" si="78"/>
        <v/>
      </c>
      <c r="AO1232" s="18" t="str">
        <f t="shared" si="79"/>
        <v/>
      </c>
      <c r="AP1232" s="19"/>
      <c r="AQ1232" s="20" t="str">
        <f t="shared" si="80"/>
        <v/>
      </c>
      <c r="AR1232" s="21"/>
    </row>
    <row r="1233" spans="2:44" ht="31.5" x14ac:dyDescent="0.5">
      <c r="B1233" s="1"/>
      <c r="C1233" s="15"/>
      <c r="D1233" s="16"/>
      <c r="E1233" s="15"/>
      <c r="F1233" s="17"/>
      <c r="G1233" s="8"/>
      <c r="H1233" s="8"/>
      <c r="I1233" s="8"/>
      <c r="J1233" s="8"/>
      <c r="K1233" s="8"/>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4"/>
      <c r="AM1233" s="5" t="str">
        <f t="shared" si="77"/>
        <v/>
      </c>
      <c r="AN1233" s="5" t="str">
        <f t="shared" si="78"/>
        <v/>
      </c>
      <c r="AO1233" s="18" t="str">
        <f t="shared" si="79"/>
        <v/>
      </c>
      <c r="AP1233" s="19"/>
      <c r="AQ1233" s="20" t="str">
        <f t="shared" si="80"/>
        <v/>
      </c>
      <c r="AR1233" s="21"/>
    </row>
    <row r="1234" spans="2:44" ht="31.5" x14ac:dyDescent="0.5">
      <c r="B1234" s="1"/>
      <c r="C1234" s="15"/>
      <c r="D1234" s="16"/>
      <c r="E1234" s="15"/>
      <c r="F1234" s="17"/>
      <c r="G1234" s="8"/>
      <c r="H1234" s="8"/>
      <c r="I1234" s="8"/>
      <c r="J1234" s="8"/>
      <c r="K1234" s="8"/>
      <c r="L1234" s="8"/>
      <c r="M1234" s="8"/>
      <c r="N1234" s="8"/>
      <c r="O1234" s="8"/>
      <c r="P1234" s="8"/>
      <c r="Q1234" s="8"/>
      <c r="R1234" s="8"/>
      <c r="S1234" s="8"/>
      <c r="T1234" s="8"/>
      <c r="U1234" s="8"/>
      <c r="V1234" s="8"/>
      <c r="W1234" s="8"/>
      <c r="X1234" s="8"/>
      <c r="Y1234" s="8"/>
      <c r="Z1234" s="8"/>
      <c r="AA1234" s="8"/>
      <c r="AB1234" s="8"/>
      <c r="AC1234" s="8"/>
      <c r="AD1234" s="8"/>
      <c r="AE1234" s="8"/>
      <c r="AF1234" s="8"/>
      <c r="AG1234" s="8"/>
      <c r="AH1234" s="8"/>
      <c r="AI1234" s="8"/>
      <c r="AJ1234" s="8"/>
      <c r="AK1234" s="8"/>
      <c r="AL1234" s="4"/>
      <c r="AM1234" s="5" t="str">
        <f t="shared" si="77"/>
        <v/>
      </c>
      <c r="AN1234" s="5" t="str">
        <f t="shared" si="78"/>
        <v/>
      </c>
      <c r="AO1234" s="18" t="str">
        <f t="shared" si="79"/>
        <v/>
      </c>
      <c r="AP1234" s="19"/>
      <c r="AQ1234" s="20" t="str">
        <f t="shared" si="80"/>
        <v/>
      </c>
      <c r="AR1234" s="21"/>
    </row>
    <row r="1235" spans="2:44" ht="31.5" x14ac:dyDescent="0.5">
      <c r="B1235" s="1"/>
      <c r="C1235" s="15"/>
      <c r="D1235" s="16"/>
      <c r="E1235" s="15"/>
      <c r="F1235" s="17"/>
      <c r="G1235" s="8"/>
      <c r="H1235" s="8"/>
      <c r="I1235" s="8"/>
      <c r="J1235" s="8"/>
      <c r="K1235" s="8"/>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4"/>
      <c r="AM1235" s="5" t="str">
        <f t="shared" si="77"/>
        <v/>
      </c>
      <c r="AN1235" s="5" t="str">
        <f t="shared" si="78"/>
        <v/>
      </c>
      <c r="AO1235" s="18" t="str">
        <f t="shared" si="79"/>
        <v/>
      </c>
      <c r="AP1235" s="19"/>
      <c r="AQ1235" s="20" t="str">
        <f t="shared" si="80"/>
        <v/>
      </c>
      <c r="AR1235" s="21"/>
    </row>
    <row r="1236" spans="2:44" ht="31.5" x14ac:dyDescent="0.5">
      <c r="B1236" s="1"/>
      <c r="C1236" s="15"/>
      <c r="D1236" s="16"/>
      <c r="E1236" s="15"/>
      <c r="F1236" s="17"/>
      <c r="G1236" s="8"/>
      <c r="H1236" s="8"/>
      <c r="I1236" s="8"/>
      <c r="J1236" s="8"/>
      <c r="K1236" s="8"/>
      <c r="L1236" s="8"/>
      <c r="M1236" s="8"/>
      <c r="N1236" s="8"/>
      <c r="O1236" s="8"/>
      <c r="P1236" s="8"/>
      <c r="Q1236" s="8"/>
      <c r="R1236" s="8"/>
      <c r="S1236" s="8"/>
      <c r="T1236" s="8"/>
      <c r="U1236" s="8"/>
      <c r="V1236" s="8"/>
      <c r="W1236" s="8"/>
      <c r="X1236" s="8"/>
      <c r="Y1236" s="8"/>
      <c r="Z1236" s="8"/>
      <c r="AA1236" s="8"/>
      <c r="AB1236" s="8"/>
      <c r="AC1236" s="8"/>
      <c r="AD1236" s="8"/>
      <c r="AE1236" s="8"/>
      <c r="AF1236" s="8"/>
      <c r="AG1236" s="8"/>
      <c r="AH1236" s="8"/>
      <c r="AI1236" s="8"/>
      <c r="AJ1236" s="8"/>
      <c r="AK1236" s="8"/>
      <c r="AL1236" s="4"/>
      <c r="AM1236" s="5" t="str">
        <f t="shared" si="77"/>
        <v/>
      </c>
      <c r="AN1236" s="5" t="str">
        <f t="shared" si="78"/>
        <v/>
      </c>
      <c r="AO1236" s="18" t="str">
        <f t="shared" si="79"/>
        <v/>
      </c>
      <c r="AP1236" s="19"/>
      <c r="AQ1236" s="20" t="str">
        <f t="shared" si="80"/>
        <v/>
      </c>
      <c r="AR1236" s="21"/>
    </row>
    <row r="1237" spans="2:44" ht="31.5" x14ac:dyDescent="0.5">
      <c r="B1237" s="1"/>
      <c r="C1237" s="15"/>
      <c r="D1237" s="16"/>
      <c r="E1237" s="15"/>
      <c r="F1237" s="17"/>
      <c r="G1237" s="8"/>
      <c r="H1237" s="8"/>
      <c r="I1237" s="8"/>
      <c r="J1237" s="8"/>
      <c r="K1237" s="8"/>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4"/>
      <c r="AM1237" s="5" t="str">
        <f t="shared" si="77"/>
        <v/>
      </c>
      <c r="AN1237" s="5" t="str">
        <f t="shared" si="78"/>
        <v/>
      </c>
      <c r="AO1237" s="18" t="str">
        <f t="shared" si="79"/>
        <v/>
      </c>
      <c r="AP1237" s="19"/>
      <c r="AQ1237" s="20" t="str">
        <f t="shared" si="80"/>
        <v/>
      </c>
      <c r="AR1237" s="21"/>
    </row>
    <row r="1238" spans="2:44" ht="31.5" x14ac:dyDescent="0.5">
      <c r="B1238" s="1"/>
      <c r="C1238" s="15"/>
      <c r="D1238" s="16"/>
      <c r="E1238" s="15"/>
      <c r="F1238" s="17"/>
      <c r="G1238" s="8"/>
      <c r="H1238" s="8"/>
      <c r="I1238" s="8"/>
      <c r="J1238" s="8"/>
      <c r="K1238" s="8"/>
      <c r="L1238" s="8"/>
      <c r="M1238" s="8"/>
      <c r="N1238" s="8"/>
      <c r="O1238" s="8"/>
      <c r="P1238" s="8"/>
      <c r="Q1238" s="8"/>
      <c r="R1238" s="8"/>
      <c r="S1238" s="8"/>
      <c r="T1238" s="8"/>
      <c r="U1238" s="8"/>
      <c r="V1238" s="8"/>
      <c r="W1238" s="8"/>
      <c r="X1238" s="8"/>
      <c r="Y1238" s="8"/>
      <c r="Z1238" s="8"/>
      <c r="AA1238" s="8"/>
      <c r="AB1238" s="8"/>
      <c r="AC1238" s="8"/>
      <c r="AD1238" s="8"/>
      <c r="AE1238" s="8"/>
      <c r="AF1238" s="8"/>
      <c r="AG1238" s="8"/>
      <c r="AH1238" s="8"/>
      <c r="AI1238" s="8"/>
      <c r="AJ1238" s="8"/>
      <c r="AK1238" s="8"/>
      <c r="AL1238" s="4"/>
      <c r="AM1238" s="5" t="str">
        <f t="shared" si="77"/>
        <v/>
      </c>
      <c r="AN1238" s="5" t="str">
        <f t="shared" si="78"/>
        <v/>
      </c>
      <c r="AO1238" s="18" t="str">
        <f t="shared" si="79"/>
        <v/>
      </c>
      <c r="AP1238" s="19"/>
      <c r="AQ1238" s="20" t="str">
        <f t="shared" si="80"/>
        <v/>
      </c>
      <c r="AR1238" s="21"/>
    </row>
    <row r="1239" spans="2:44" ht="31.5" x14ac:dyDescent="0.5">
      <c r="B1239" s="1"/>
      <c r="C1239" s="15"/>
      <c r="D1239" s="16"/>
      <c r="E1239" s="15"/>
      <c r="F1239" s="17"/>
      <c r="G1239" s="8"/>
      <c r="H1239" s="8"/>
      <c r="I1239" s="8"/>
      <c r="J1239" s="8"/>
      <c r="K1239" s="8"/>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4"/>
      <c r="AM1239" s="5" t="str">
        <f t="shared" si="77"/>
        <v/>
      </c>
      <c r="AN1239" s="5" t="str">
        <f t="shared" si="78"/>
        <v/>
      </c>
      <c r="AO1239" s="18" t="str">
        <f t="shared" si="79"/>
        <v/>
      </c>
      <c r="AP1239" s="19"/>
      <c r="AQ1239" s="20" t="str">
        <f t="shared" si="80"/>
        <v/>
      </c>
      <c r="AR1239" s="21"/>
    </row>
    <row r="1240" spans="2:44" ht="31.5" x14ac:dyDescent="0.5">
      <c r="B1240" s="1"/>
      <c r="C1240" s="15"/>
      <c r="D1240" s="16"/>
      <c r="E1240" s="15"/>
      <c r="F1240" s="17"/>
      <c r="G1240" s="8"/>
      <c r="H1240" s="8"/>
      <c r="I1240" s="8"/>
      <c r="J1240" s="8"/>
      <c r="K1240" s="8"/>
      <c r="L1240" s="8"/>
      <c r="M1240" s="8"/>
      <c r="N1240" s="8"/>
      <c r="O1240" s="8"/>
      <c r="P1240" s="8"/>
      <c r="Q1240" s="8"/>
      <c r="R1240" s="8"/>
      <c r="S1240" s="8"/>
      <c r="T1240" s="8"/>
      <c r="U1240" s="8"/>
      <c r="V1240" s="8"/>
      <c r="W1240" s="8"/>
      <c r="X1240" s="8"/>
      <c r="Y1240" s="8"/>
      <c r="Z1240" s="8"/>
      <c r="AA1240" s="8"/>
      <c r="AB1240" s="8"/>
      <c r="AC1240" s="8"/>
      <c r="AD1240" s="8"/>
      <c r="AE1240" s="8"/>
      <c r="AF1240" s="8"/>
      <c r="AG1240" s="8"/>
      <c r="AH1240" s="8"/>
      <c r="AI1240" s="8"/>
      <c r="AJ1240" s="8"/>
      <c r="AK1240" s="8"/>
      <c r="AL1240" s="4"/>
      <c r="AM1240" s="5" t="str">
        <f t="shared" si="77"/>
        <v/>
      </c>
      <c r="AN1240" s="5" t="str">
        <f t="shared" si="78"/>
        <v/>
      </c>
      <c r="AO1240" s="18" t="str">
        <f t="shared" si="79"/>
        <v/>
      </c>
      <c r="AP1240" s="19"/>
      <c r="AQ1240" s="20" t="str">
        <f t="shared" si="80"/>
        <v/>
      </c>
      <c r="AR1240" s="21"/>
    </row>
    <row r="1241" spans="2:44" ht="31.5" x14ac:dyDescent="0.5">
      <c r="B1241" s="1"/>
      <c r="C1241" s="15"/>
      <c r="D1241" s="16"/>
      <c r="E1241" s="15"/>
      <c r="F1241" s="17"/>
      <c r="G1241" s="8"/>
      <c r="H1241" s="8"/>
      <c r="I1241" s="8"/>
      <c r="J1241" s="8"/>
      <c r="K1241" s="8"/>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4"/>
      <c r="AM1241" s="5" t="str">
        <f t="shared" si="77"/>
        <v/>
      </c>
      <c r="AN1241" s="5" t="str">
        <f t="shared" si="78"/>
        <v/>
      </c>
      <c r="AO1241" s="18" t="str">
        <f t="shared" si="79"/>
        <v/>
      </c>
      <c r="AP1241" s="19"/>
      <c r="AQ1241" s="20" t="str">
        <f t="shared" si="80"/>
        <v/>
      </c>
      <c r="AR1241" s="21"/>
    </row>
    <row r="1242" spans="2:44" ht="31.5" x14ac:dyDescent="0.5">
      <c r="B1242" s="1"/>
      <c r="C1242" s="15"/>
      <c r="D1242" s="16"/>
      <c r="E1242" s="15"/>
      <c r="F1242" s="17"/>
      <c r="G1242" s="8"/>
      <c r="H1242" s="8"/>
      <c r="I1242" s="8"/>
      <c r="J1242" s="8"/>
      <c r="K1242" s="8"/>
      <c r="L1242" s="8"/>
      <c r="M1242" s="8"/>
      <c r="N1242" s="8"/>
      <c r="O1242" s="8"/>
      <c r="P1242" s="8"/>
      <c r="Q1242" s="8"/>
      <c r="R1242" s="8"/>
      <c r="S1242" s="8"/>
      <c r="T1242" s="8"/>
      <c r="U1242" s="8"/>
      <c r="V1242" s="8"/>
      <c r="W1242" s="8"/>
      <c r="X1242" s="8"/>
      <c r="Y1242" s="8"/>
      <c r="Z1242" s="8"/>
      <c r="AA1242" s="8"/>
      <c r="AB1242" s="8"/>
      <c r="AC1242" s="8"/>
      <c r="AD1242" s="8"/>
      <c r="AE1242" s="8"/>
      <c r="AF1242" s="8"/>
      <c r="AG1242" s="8"/>
      <c r="AH1242" s="8"/>
      <c r="AI1242" s="8"/>
      <c r="AJ1242" s="8"/>
      <c r="AK1242" s="8"/>
      <c r="AL1242" s="4"/>
      <c r="AM1242" s="5" t="str">
        <f t="shared" si="77"/>
        <v/>
      </c>
      <c r="AN1242" s="5" t="str">
        <f t="shared" si="78"/>
        <v/>
      </c>
      <c r="AO1242" s="18" t="str">
        <f t="shared" si="79"/>
        <v/>
      </c>
      <c r="AP1242" s="19"/>
      <c r="AQ1242" s="20" t="str">
        <f t="shared" si="80"/>
        <v/>
      </c>
      <c r="AR1242" s="21"/>
    </row>
    <row r="1243" spans="2:44" ht="31.5" x14ac:dyDescent="0.5">
      <c r="B1243" s="1"/>
      <c r="C1243" s="15"/>
      <c r="D1243" s="16"/>
      <c r="E1243" s="15"/>
      <c r="F1243" s="17"/>
      <c r="G1243" s="8"/>
      <c r="H1243" s="8"/>
      <c r="I1243" s="8"/>
      <c r="J1243" s="8"/>
      <c r="K1243" s="8"/>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4"/>
      <c r="AM1243" s="5" t="str">
        <f t="shared" si="77"/>
        <v/>
      </c>
      <c r="AN1243" s="5" t="str">
        <f t="shared" si="78"/>
        <v/>
      </c>
      <c r="AO1243" s="18" t="str">
        <f t="shared" si="79"/>
        <v/>
      </c>
      <c r="AP1243" s="19"/>
      <c r="AQ1243" s="20" t="str">
        <f t="shared" si="80"/>
        <v/>
      </c>
      <c r="AR1243" s="21"/>
    </row>
    <row r="1244" spans="2:44" ht="31.5" x14ac:dyDescent="0.5">
      <c r="B1244" s="1"/>
      <c r="C1244" s="15"/>
      <c r="D1244" s="16"/>
      <c r="E1244" s="15"/>
      <c r="F1244" s="17"/>
      <c r="G1244" s="8"/>
      <c r="H1244" s="8"/>
      <c r="I1244" s="8"/>
      <c r="J1244" s="8"/>
      <c r="K1244" s="8"/>
      <c r="L1244" s="8"/>
      <c r="M1244" s="8"/>
      <c r="N1244" s="8"/>
      <c r="O1244" s="8"/>
      <c r="P1244" s="8"/>
      <c r="Q1244" s="8"/>
      <c r="R1244" s="8"/>
      <c r="S1244" s="8"/>
      <c r="T1244" s="8"/>
      <c r="U1244" s="8"/>
      <c r="V1244" s="8"/>
      <c r="W1244" s="8"/>
      <c r="X1244" s="8"/>
      <c r="Y1244" s="8"/>
      <c r="Z1244" s="8"/>
      <c r="AA1244" s="8"/>
      <c r="AB1244" s="8"/>
      <c r="AC1244" s="8"/>
      <c r="AD1244" s="8"/>
      <c r="AE1244" s="8"/>
      <c r="AF1244" s="8"/>
      <c r="AG1244" s="8"/>
      <c r="AH1244" s="8"/>
      <c r="AI1244" s="8"/>
      <c r="AJ1244" s="8"/>
      <c r="AK1244" s="8"/>
      <c r="AL1244" s="4"/>
      <c r="AM1244" s="5" t="str">
        <f t="shared" si="77"/>
        <v/>
      </c>
      <c r="AN1244" s="5" t="str">
        <f t="shared" si="78"/>
        <v/>
      </c>
      <c r="AO1244" s="18" t="str">
        <f t="shared" si="79"/>
        <v/>
      </c>
      <c r="AP1244" s="19"/>
      <c r="AQ1244" s="20" t="str">
        <f t="shared" si="80"/>
        <v/>
      </c>
      <c r="AR1244" s="21"/>
    </row>
    <row r="1245" spans="2:44" ht="31.5" x14ac:dyDescent="0.5">
      <c r="B1245" s="1"/>
      <c r="C1245" s="15"/>
      <c r="D1245" s="16"/>
      <c r="E1245" s="15"/>
      <c r="F1245" s="17"/>
      <c r="G1245" s="8"/>
      <c r="H1245" s="8"/>
      <c r="I1245" s="8"/>
      <c r="J1245" s="8"/>
      <c r="K1245" s="8"/>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4"/>
      <c r="AM1245" s="5" t="str">
        <f t="shared" si="77"/>
        <v/>
      </c>
      <c r="AN1245" s="5" t="str">
        <f t="shared" si="78"/>
        <v/>
      </c>
      <c r="AO1245" s="18" t="str">
        <f t="shared" si="79"/>
        <v/>
      </c>
      <c r="AP1245" s="19"/>
      <c r="AQ1245" s="20" t="str">
        <f t="shared" si="80"/>
        <v/>
      </c>
      <c r="AR1245" s="21"/>
    </row>
    <row r="1246" spans="2:44" ht="31.5" x14ac:dyDescent="0.5">
      <c r="B1246" s="1"/>
      <c r="C1246" s="15"/>
      <c r="D1246" s="16"/>
      <c r="E1246" s="15"/>
      <c r="F1246" s="17"/>
      <c r="G1246" s="8"/>
      <c r="H1246" s="8"/>
      <c r="I1246" s="8"/>
      <c r="J1246" s="8"/>
      <c r="K1246" s="8"/>
      <c r="L1246" s="8"/>
      <c r="M1246" s="8"/>
      <c r="N1246" s="8"/>
      <c r="O1246" s="8"/>
      <c r="P1246" s="8"/>
      <c r="Q1246" s="8"/>
      <c r="R1246" s="8"/>
      <c r="S1246" s="8"/>
      <c r="T1246" s="8"/>
      <c r="U1246" s="8"/>
      <c r="V1246" s="8"/>
      <c r="W1246" s="8"/>
      <c r="X1246" s="8"/>
      <c r="Y1246" s="8"/>
      <c r="Z1246" s="8"/>
      <c r="AA1246" s="8"/>
      <c r="AB1246" s="8"/>
      <c r="AC1246" s="8"/>
      <c r="AD1246" s="8"/>
      <c r="AE1246" s="8"/>
      <c r="AF1246" s="8"/>
      <c r="AG1246" s="8"/>
      <c r="AH1246" s="8"/>
      <c r="AI1246" s="8"/>
      <c r="AJ1246" s="8"/>
      <c r="AK1246" s="8"/>
      <c r="AL1246" s="4"/>
      <c r="AM1246" s="5" t="str">
        <f t="shared" si="77"/>
        <v/>
      </c>
      <c r="AN1246" s="5" t="str">
        <f t="shared" si="78"/>
        <v/>
      </c>
      <c r="AO1246" s="18" t="str">
        <f t="shared" si="79"/>
        <v/>
      </c>
      <c r="AP1246" s="19"/>
      <c r="AQ1246" s="20" t="str">
        <f t="shared" si="80"/>
        <v/>
      </c>
      <c r="AR1246" s="21"/>
    </row>
    <row r="1247" spans="2:44" ht="31.5" x14ac:dyDescent="0.5">
      <c r="B1247" s="1"/>
      <c r="C1247" s="15"/>
      <c r="D1247" s="16"/>
      <c r="E1247" s="15"/>
      <c r="F1247" s="17"/>
      <c r="G1247" s="8"/>
      <c r="H1247" s="8"/>
      <c r="I1247" s="8"/>
      <c r="J1247" s="8"/>
      <c r="K1247" s="8"/>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4"/>
      <c r="AM1247" s="5" t="str">
        <f t="shared" si="77"/>
        <v/>
      </c>
      <c r="AN1247" s="5" t="str">
        <f t="shared" si="78"/>
        <v/>
      </c>
      <c r="AO1247" s="18" t="str">
        <f t="shared" si="79"/>
        <v/>
      </c>
      <c r="AP1247" s="19"/>
      <c r="AQ1247" s="20" t="str">
        <f t="shared" si="80"/>
        <v/>
      </c>
      <c r="AR1247" s="21"/>
    </row>
    <row r="1248" spans="2:44" ht="31.5" x14ac:dyDescent="0.5">
      <c r="B1248" s="1"/>
      <c r="C1248" s="15"/>
      <c r="D1248" s="16"/>
      <c r="E1248" s="15"/>
      <c r="F1248" s="17"/>
      <c r="G1248" s="8"/>
      <c r="H1248" s="8"/>
      <c r="I1248" s="8"/>
      <c r="J1248" s="8"/>
      <c r="K1248" s="8"/>
      <c r="L1248" s="8"/>
      <c r="M1248" s="8"/>
      <c r="N1248" s="8"/>
      <c r="O1248" s="8"/>
      <c r="P1248" s="8"/>
      <c r="Q1248" s="8"/>
      <c r="R1248" s="8"/>
      <c r="S1248" s="8"/>
      <c r="T1248" s="8"/>
      <c r="U1248" s="8"/>
      <c r="V1248" s="8"/>
      <c r="W1248" s="8"/>
      <c r="X1248" s="8"/>
      <c r="Y1248" s="8"/>
      <c r="Z1248" s="8"/>
      <c r="AA1248" s="8"/>
      <c r="AB1248" s="8"/>
      <c r="AC1248" s="8"/>
      <c r="AD1248" s="8"/>
      <c r="AE1248" s="8"/>
      <c r="AF1248" s="8"/>
      <c r="AG1248" s="8"/>
      <c r="AH1248" s="8"/>
      <c r="AI1248" s="8"/>
      <c r="AJ1248" s="8"/>
      <c r="AK1248" s="8"/>
      <c r="AL1248" s="4"/>
      <c r="AM1248" s="5" t="str">
        <f t="shared" si="77"/>
        <v/>
      </c>
      <c r="AN1248" s="5" t="str">
        <f t="shared" si="78"/>
        <v/>
      </c>
      <c r="AO1248" s="18" t="str">
        <f t="shared" si="79"/>
        <v/>
      </c>
      <c r="AP1248" s="19"/>
      <c r="AQ1248" s="20" t="str">
        <f t="shared" si="80"/>
        <v/>
      </c>
      <c r="AR1248" s="21"/>
    </row>
    <row r="1249" spans="2:44" ht="31.5" x14ac:dyDescent="0.5">
      <c r="B1249" s="1"/>
      <c r="C1249" s="15"/>
      <c r="D1249" s="16"/>
      <c r="E1249" s="15"/>
      <c r="F1249" s="17"/>
      <c r="G1249" s="8"/>
      <c r="H1249" s="8"/>
      <c r="I1249" s="8"/>
      <c r="J1249" s="8"/>
      <c r="K1249" s="8"/>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4"/>
      <c r="AM1249" s="5" t="str">
        <f t="shared" si="77"/>
        <v/>
      </c>
      <c r="AN1249" s="5" t="str">
        <f t="shared" si="78"/>
        <v/>
      </c>
      <c r="AO1249" s="18" t="str">
        <f t="shared" si="79"/>
        <v/>
      </c>
      <c r="AP1249" s="19"/>
      <c r="AQ1249" s="20" t="str">
        <f t="shared" si="80"/>
        <v/>
      </c>
      <c r="AR1249" s="21"/>
    </row>
    <row r="1250" spans="2:44" ht="31.5" x14ac:dyDescent="0.5">
      <c r="B1250" s="1"/>
      <c r="C1250" s="15"/>
      <c r="D1250" s="16"/>
      <c r="E1250" s="15"/>
      <c r="F1250" s="17"/>
      <c r="G1250" s="8"/>
      <c r="H1250" s="8"/>
      <c r="I1250" s="8"/>
      <c r="J1250" s="8"/>
      <c r="K1250" s="8"/>
      <c r="L1250" s="8"/>
      <c r="M1250" s="8"/>
      <c r="N1250" s="8"/>
      <c r="O1250" s="8"/>
      <c r="P1250" s="8"/>
      <c r="Q1250" s="8"/>
      <c r="R1250" s="8"/>
      <c r="S1250" s="8"/>
      <c r="T1250" s="8"/>
      <c r="U1250" s="8"/>
      <c r="V1250" s="8"/>
      <c r="W1250" s="8"/>
      <c r="X1250" s="8"/>
      <c r="Y1250" s="8"/>
      <c r="Z1250" s="8"/>
      <c r="AA1250" s="8"/>
      <c r="AB1250" s="8"/>
      <c r="AC1250" s="8"/>
      <c r="AD1250" s="8"/>
      <c r="AE1250" s="8"/>
      <c r="AF1250" s="8"/>
      <c r="AG1250" s="8"/>
      <c r="AH1250" s="8"/>
      <c r="AI1250" s="8"/>
      <c r="AJ1250" s="8"/>
      <c r="AK1250" s="8"/>
      <c r="AL1250" s="4"/>
      <c r="AM1250" s="5" t="str">
        <f t="shared" si="77"/>
        <v/>
      </c>
      <c r="AN1250" s="5" t="str">
        <f t="shared" si="78"/>
        <v/>
      </c>
      <c r="AO1250" s="18" t="str">
        <f t="shared" si="79"/>
        <v/>
      </c>
      <c r="AP1250" s="19"/>
      <c r="AQ1250" s="20" t="str">
        <f t="shared" si="80"/>
        <v/>
      </c>
      <c r="AR1250" s="21"/>
    </row>
    <row r="1251" spans="2:44" ht="31.5" x14ac:dyDescent="0.5">
      <c r="B1251" s="1"/>
      <c r="C1251" s="15"/>
      <c r="D1251" s="16"/>
      <c r="E1251" s="15"/>
      <c r="F1251" s="17"/>
      <c r="G1251" s="8"/>
      <c r="H1251" s="8"/>
      <c r="I1251" s="8"/>
      <c r="J1251" s="8"/>
      <c r="K1251" s="8"/>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4"/>
      <c r="AM1251" s="5" t="str">
        <f t="shared" si="77"/>
        <v/>
      </c>
      <c r="AN1251" s="5" t="str">
        <f t="shared" si="78"/>
        <v/>
      </c>
      <c r="AO1251" s="18" t="str">
        <f t="shared" si="79"/>
        <v/>
      </c>
      <c r="AP1251" s="19"/>
      <c r="AQ1251" s="20" t="str">
        <f t="shared" si="80"/>
        <v/>
      </c>
      <c r="AR1251" s="21"/>
    </row>
    <row r="1252" spans="2:44" ht="31.5" x14ac:dyDescent="0.5">
      <c r="B1252" s="1"/>
      <c r="C1252" s="15"/>
      <c r="D1252" s="16"/>
      <c r="E1252" s="15"/>
      <c r="F1252" s="17"/>
      <c r="G1252" s="8"/>
      <c r="H1252" s="8"/>
      <c r="I1252" s="8"/>
      <c r="J1252" s="8"/>
      <c r="K1252" s="8"/>
      <c r="L1252" s="8"/>
      <c r="M1252" s="8"/>
      <c r="N1252" s="8"/>
      <c r="O1252" s="8"/>
      <c r="P1252" s="8"/>
      <c r="Q1252" s="8"/>
      <c r="R1252" s="8"/>
      <c r="S1252" s="8"/>
      <c r="T1252" s="8"/>
      <c r="U1252" s="8"/>
      <c r="V1252" s="8"/>
      <c r="W1252" s="8"/>
      <c r="X1252" s="8"/>
      <c r="Y1252" s="8"/>
      <c r="Z1252" s="8"/>
      <c r="AA1252" s="8"/>
      <c r="AB1252" s="8"/>
      <c r="AC1252" s="8"/>
      <c r="AD1252" s="8"/>
      <c r="AE1252" s="8"/>
      <c r="AF1252" s="8"/>
      <c r="AG1252" s="8"/>
      <c r="AH1252" s="8"/>
      <c r="AI1252" s="8"/>
      <c r="AJ1252" s="8"/>
      <c r="AK1252" s="8"/>
      <c r="AL1252" s="4"/>
      <c r="AM1252" s="5" t="str">
        <f t="shared" si="77"/>
        <v/>
      </c>
      <c r="AN1252" s="5" t="str">
        <f t="shared" si="78"/>
        <v/>
      </c>
      <c r="AO1252" s="18" t="str">
        <f t="shared" si="79"/>
        <v/>
      </c>
      <c r="AP1252" s="19"/>
      <c r="AQ1252" s="20" t="str">
        <f t="shared" si="80"/>
        <v/>
      </c>
      <c r="AR1252" s="21"/>
    </row>
    <row r="1253" spans="2:44" ht="31.5" x14ac:dyDescent="0.5">
      <c r="B1253" s="1"/>
      <c r="C1253" s="15"/>
      <c r="D1253" s="16"/>
      <c r="E1253" s="15"/>
      <c r="F1253" s="17"/>
      <c r="G1253" s="8"/>
      <c r="H1253" s="8"/>
      <c r="I1253" s="8"/>
      <c r="J1253" s="8"/>
      <c r="K1253" s="8"/>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4"/>
      <c r="AM1253" s="5" t="str">
        <f t="shared" si="77"/>
        <v/>
      </c>
      <c r="AN1253" s="5" t="str">
        <f t="shared" si="78"/>
        <v/>
      </c>
      <c r="AO1253" s="18" t="str">
        <f t="shared" si="79"/>
        <v/>
      </c>
      <c r="AP1253" s="19"/>
      <c r="AQ1253" s="20" t="str">
        <f t="shared" si="80"/>
        <v/>
      </c>
      <c r="AR1253" s="21"/>
    </row>
    <row r="1254" spans="2:44" ht="31.5" x14ac:dyDescent="0.5">
      <c r="B1254" s="1"/>
      <c r="C1254" s="15"/>
      <c r="D1254" s="16"/>
      <c r="E1254" s="15"/>
      <c r="F1254" s="17"/>
      <c r="G1254" s="8"/>
      <c r="H1254" s="8"/>
      <c r="I1254" s="8"/>
      <c r="J1254" s="8"/>
      <c r="K1254" s="8"/>
      <c r="L1254" s="8"/>
      <c r="M1254" s="8"/>
      <c r="N1254" s="8"/>
      <c r="O1254" s="8"/>
      <c r="P1254" s="8"/>
      <c r="Q1254" s="8"/>
      <c r="R1254" s="8"/>
      <c r="S1254" s="8"/>
      <c r="T1254" s="8"/>
      <c r="U1254" s="8"/>
      <c r="V1254" s="8"/>
      <c r="W1254" s="8"/>
      <c r="X1254" s="8"/>
      <c r="Y1254" s="8"/>
      <c r="Z1254" s="8"/>
      <c r="AA1254" s="8"/>
      <c r="AB1254" s="8"/>
      <c r="AC1254" s="8"/>
      <c r="AD1254" s="8"/>
      <c r="AE1254" s="8"/>
      <c r="AF1254" s="8"/>
      <c r="AG1254" s="8"/>
      <c r="AH1254" s="8"/>
      <c r="AI1254" s="8"/>
      <c r="AJ1254" s="8"/>
      <c r="AK1254" s="8"/>
      <c r="AL1254" s="4"/>
      <c r="AM1254" s="5" t="str">
        <f t="shared" si="77"/>
        <v/>
      </c>
      <c r="AN1254" s="5" t="str">
        <f t="shared" si="78"/>
        <v/>
      </c>
      <c r="AO1254" s="18" t="str">
        <f t="shared" si="79"/>
        <v/>
      </c>
      <c r="AP1254" s="19"/>
      <c r="AQ1254" s="20" t="str">
        <f t="shared" si="80"/>
        <v/>
      </c>
      <c r="AR1254" s="21"/>
    </row>
    <row r="1255" spans="2:44" ht="31.5" x14ac:dyDescent="0.5">
      <c r="B1255" s="1"/>
      <c r="C1255" s="15"/>
      <c r="D1255" s="16"/>
      <c r="E1255" s="15"/>
      <c r="F1255" s="17"/>
      <c r="G1255" s="8"/>
      <c r="H1255" s="8"/>
      <c r="I1255" s="8"/>
      <c r="J1255" s="8"/>
      <c r="K1255" s="8"/>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4"/>
      <c r="AM1255" s="5" t="str">
        <f t="shared" si="77"/>
        <v/>
      </c>
      <c r="AN1255" s="5" t="str">
        <f t="shared" si="78"/>
        <v/>
      </c>
      <c r="AO1255" s="18" t="str">
        <f t="shared" si="79"/>
        <v/>
      </c>
      <c r="AP1255" s="19"/>
      <c r="AQ1255" s="20" t="str">
        <f t="shared" si="80"/>
        <v/>
      </c>
      <c r="AR1255" s="21"/>
    </row>
    <row r="1256" spans="2:44" ht="31.5" x14ac:dyDescent="0.5">
      <c r="B1256" s="1"/>
      <c r="C1256" s="15"/>
      <c r="D1256" s="16"/>
      <c r="E1256" s="15"/>
      <c r="F1256" s="17"/>
      <c r="G1256" s="8"/>
      <c r="H1256" s="8"/>
      <c r="I1256" s="8"/>
      <c r="J1256" s="8"/>
      <c r="K1256" s="8"/>
      <c r="L1256" s="8"/>
      <c r="M1256" s="8"/>
      <c r="N1256" s="8"/>
      <c r="O1256" s="8"/>
      <c r="P1256" s="8"/>
      <c r="Q1256" s="8"/>
      <c r="R1256" s="8"/>
      <c r="S1256" s="8"/>
      <c r="T1256" s="8"/>
      <c r="U1256" s="8"/>
      <c r="V1256" s="8"/>
      <c r="W1256" s="8"/>
      <c r="X1256" s="8"/>
      <c r="Y1256" s="8"/>
      <c r="Z1256" s="8"/>
      <c r="AA1256" s="8"/>
      <c r="AB1256" s="8"/>
      <c r="AC1256" s="8"/>
      <c r="AD1256" s="8"/>
      <c r="AE1256" s="8"/>
      <c r="AF1256" s="8"/>
      <c r="AG1256" s="8"/>
      <c r="AH1256" s="8"/>
      <c r="AI1256" s="8"/>
      <c r="AJ1256" s="8"/>
      <c r="AK1256" s="8"/>
      <c r="AL1256" s="4"/>
      <c r="AM1256" s="5" t="str">
        <f t="shared" si="77"/>
        <v/>
      </c>
      <c r="AN1256" s="5" t="str">
        <f t="shared" si="78"/>
        <v/>
      </c>
      <c r="AO1256" s="18" t="str">
        <f t="shared" si="79"/>
        <v/>
      </c>
      <c r="AP1256" s="19"/>
      <c r="AQ1256" s="20" t="str">
        <f t="shared" si="80"/>
        <v/>
      </c>
      <c r="AR1256" s="21"/>
    </row>
    <row r="1257" spans="2:44" ht="31.5" x14ac:dyDescent="0.5">
      <c r="B1257" s="1"/>
      <c r="C1257" s="15"/>
      <c r="D1257" s="16"/>
      <c r="E1257" s="15"/>
      <c r="F1257" s="17"/>
      <c r="G1257" s="8"/>
      <c r="H1257" s="8"/>
      <c r="I1257" s="8"/>
      <c r="J1257" s="8"/>
      <c r="K1257" s="8"/>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4"/>
      <c r="AM1257" s="5" t="str">
        <f t="shared" si="77"/>
        <v/>
      </c>
      <c r="AN1257" s="5" t="str">
        <f t="shared" si="78"/>
        <v/>
      </c>
      <c r="AO1257" s="18" t="str">
        <f t="shared" si="79"/>
        <v/>
      </c>
      <c r="AP1257" s="19"/>
      <c r="AQ1257" s="20" t="str">
        <f t="shared" si="80"/>
        <v/>
      </c>
      <c r="AR1257" s="21"/>
    </row>
    <row r="1258" spans="2:44" ht="31.5" x14ac:dyDescent="0.5">
      <c r="B1258" s="1"/>
      <c r="C1258" s="15"/>
      <c r="D1258" s="16"/>
      <c r="E1258" s="15"/>
      <c r="F1258" s="17"/>
      <c r="G1258" s="8"/>
      <c r="H1258" s="8"/>
      <c r="I1258" s="8"/>
      <c r="J1258" s="8"/>
      <c r="K1258" s="8"/>
      <c r="L1258" s="8"/>
      <c r="M1258" s="8"/>
      <c r="N1258" s="8"/>
      <c r="O1258" s="8"/>
      <c r="P1258" s="8"/>
      <c r="Q1258" s="8"/>
      <c r="R1258" s="8"/>
      <c r="S1258" s="8"/>
      <c r="T1258" s="8"/>
      <c r="U1258" s="8"/>
      <c r="V1258" s="8"/>
      <c r="W1258" s="8"/>
      <c r="X1258" s="8"/>
      <c r="Y1258" s="8"/>
      <c r="Z1258" s="8"/>
      <c r="AA1258" s="8"/>
      <c r="AB1258" s="8"/>
      <c r="AC1258" s="8"/>
      <c r="AD1258" s="8"/>
      <c r="AE1258" s="8"/>
      <c r="AF1258" s="8"/>
      <c r="AG1258" s="8"/>
      <c r="AH1258" s="8"/>
      <c r="AI1258" s="8"/>
      <c r="AJ1258" s="8"/>
      <c r="AK1258" s="8"/>
      <c r="AL1258" s="4"/>
      <c r="AM1258" s="5" t="str">
        <f t="shared" si="77"/>
        <v/>
      </c>
      <c r="AN1258" s="5" t="str">
        <f t="shared" si="78"/>
        <v/>
      </c>
      <c r="AO1258" s="18" t="str">
        <f t="shared" si="79"/>
        <v/>
      </c>
      <c r="AP1258" s="19"/>
      <c r="AQ1258" s="20" t="str">
        <f t="shared" si="80"/>
        <v/>
      </c>
      <c r="AR1258" s="21"/>
    </row>
    <row r="1259" spans="2:44" ht="31.5" x14ac:dyDescent="0.5">
      <c r="B1259" s="1"/>
      <c r="C1259" s="15"/>
      <c r="D1259" s="16"/>
      <c r="E1259" s="15"/>
      <c r="F1259" s="17"/>
      <c r="G1259" s="8"/>
      <c r="H1259" s="8"/>
      <c r="I1259" s="8"/>
      <c r="J1259" s="8"/>
      <c r="K1259" s="8"/>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4"/>
      <c r="AM1259" s="5" t="str">
        <f t="shared" si="77"/>
        <v/>
      </c>
      <c r="AN1259" s="5" t="str">
        <f t="shared" si="78"/>
        <v/>
      </c>
      <c r="AO1259" s="18" t="str">
        <f t="shared" si="79"/>
        <v/>
      </c>
      <c r="AP1259" s="19"/>
      <c r="AQ1259" s="20" t="str">
        <f t="shared" si="80"/>
        <v/>
      </c>
      <c r="AR1259" s="21"/>
    </row>
    <row r="1260" spans="2:44" ht="31.5" x14ac:dyDescent="0.5">
      <c r="B1260" s="1"/>
      <c r="C1260" s="15"/>
      <c r="D1260" s="16"/>
      <c r="E1260" s="15"/>
      <c r="F1260" s="17"/>
      <c r="G1260" s="8"/>
      <c r="H1260" s="8"/>
      <c r="I1260" s="8"/>
      <c r="J1260" s="8"/>
      <c r="K1260" s="8"/>
      <c r="L1260" s="8"/>
      <c r="M1260" s="8"/>
      <c r="N1260" s="8"/>
      <c r="O1260" s="8"/>
      <c r="P1260" s="8"/>
      <c r="Q1260" s="8"/>
      <c r="R1260" s="8"/>
      <c r="S1260" s="8"/>
      <c r="T1260" s="8"/>
      <c r="U1260" s="8"/>
      <c r="V1260" s="8"/>
      <c r="W1260" s="8"/>
      <c r="X1260" s="8"/>
      <c r="Y1260" s="8"/>
      <c r="Z1260" s="8"/>
      <c r="AA1260" s="8"/>
      <c r="AB1260" s="8"/>
      <c r="AC1260" s="8"/>
      <c r="AD1260" s="8"/>
      <c r="AE1260" s="8"/>
      <c r="AF1260" s="8"/>
      <c r="AG1260" s="8"/>
      <c r="AH1260" s="8"/>
      <c r="AI1260" s="8"/>
      <c r="AJ1260" s="8"/>
      <c r="AK1260" s="8"/>
      <c r="AL1260" s="4"/>
      <c r="AM1260" s="5" t="str">
        <f t="shared" si="77"/>
        <v/>
      </c>
      <c r="AN1260" s="5" t="str">
        <f t="shared" si="78"/>
        <v/>
      </c>
      <c r="AO1260" s="18" t="str">
        <f t="shared" si="79"/>
        <v/>
      </c>
      <c r="AP1260" s="19"/>
      <c r="AQ1260" s="20" t="str">
        <f t="shared" si="80"/>
        <v/>
      </c>
      <c r="AR1260" s="21"/>
    </row>
    <row r="1261" spans="2:44" ht="31.5" x14ac:dyDescent="0.5">
      <c r="B1261" s="1"/>
      <c r="C1261" s="15"/>
      <c r="D1261" s="16"/>
      <c r="E1261" s="15"/>
      <c r="F1261" s="17"/>
      <c r="G1261" s="8"/>
      <c r="H1261" s="8"/>
      <c r="I1261" s="8"/>
      <c r="J1261" s="8"/>
      <c r="K1261" s="8"/>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4"/>
      <c r="AM1261" s="5" t="str">
        <f t="shared" si="77"/>
        <v/>
      </c>
      <c r="AN1261" s="5" t="str">
        <f t="shared" si="78"/>
        <v/>
      </c>
      <c r="AO1261" s="18" t="str">
        <f t="shared" si="79"/>
        <v/>
      </c>
      <c r="AP1261" s="19"/>
      <c r="AQ1261" s="20" t="str">
        <f t="shared" si="80"/>
        <v/>
      </c>
      <c r="AR1261" s="21"/>
    </row>
    <row r="1262" spans="2:44" ht="31.5" x14ac:dyDescent="0.5">
      <c r="B1262" s="1"/>
      <c r="C1262" s="15"/>
      <c r="D1262" s="16"/>
      <c r="E1262" s="15"/>
      <c r="F1262" s="17"/>
      <c r="G1262" s="8"/>
      <c r="H1262" s="8"/>
      <c r="I1262" s="8"/>
      <c r="J1262" s="8"/>
      <c r="K1262" s="8"/>
      <c r="L1262" s="8"/>
      <c r="M1262" s="8"/>
      <c r="N1262" s="8"/>
      <c r="O1262" s="8"/>
      <c r="P1262" s="8"/>
      <c r="Q1262" s="8"/>
      <c r="R1262" s="8"/>
      <c r="S1262" s="8"/>
      <c r="T1262" s="8"/>
      <c r="U1262" s="8"/>
      <c r="V1262" s="8"/>
      <c r="W1262" s="8"/>
      <c r="X1262" s="8"/>
      <c r="Y1262" s="8"/>
      <c r="Z1262" s="8"/>
      <c r="AA1262" s="8"/>
      <c r="AB1262" s="8"/>
      <c r="AC1262" s="8"/>
      <c r="AD1262" s="8"/>
      <c r="AE1262" s="8"/>
      <c r="AF1262" s="8"/>
      <c r="AG1262" s="8"/>
      <c r="AH1262" s="8"/>
      <c r="AI1262" s="8"/>
      <c r="AJ1262" s="8"/>
      <c r="AK1262" s="8"/>
      <c r="AL1262" s="4"/>
      <c r="AM1262" s="5" t="str">
        <f t="shared" si="77"/>
        <v/>
      </c>
      <c r="AN1262" s="5" t="str">
        <f t="shared" si="78"/>
        <v/>
      </c>
      <c r="AO1262" s="18" t="str">
        <f t="shared" si="79"/>
        <v/>
      </c>
      <c r="AP1262" s="19"/>
      <c r="AQ1262" s="20" t="str">
        <f t="shared" si="80"/>
        <v/>
      </c>
      <c r="AR1262" s="21"/>
    </row>
    <row r="1263" spans="2:44" ht="31.5" x14ac:dyDescent="0.5">
      <c r="B1263" s="1"/>
      <c r="C1263" s="15"/>
      <c r="D1263" s="16"/>
      <c r="E1263" s="15"/>
      <c r="F1263" s="17"/>
      <c r="G1263" s="8"/>
      <c r="H1263" s="8"/>
      <c r="I1263" s="8"/>
      <c r="J1263" s="8"/>
      <c r="K1263" s="8"/>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4"/>
      <c r="AM1263" s="5" t="str">
        <f t="shared" si="77"/>
        <v/>
      </c>
      <c r="AN1263" s="5" t="str">
        <f t="shared" si="78"/>
        <v/>
      </c>
      <c r="AO1263" s="18" t="str">
        <f t="shared" si="79"/>
        <v/>
      </c>
      <c r="AP1263" s="19"/>
      <c r="AQ1263" s="20" t="str">
        <f t="shared" si="80"/>
        <v/>
      </c>
      <c r="AR1263" s="21"/>
    </row>
    <row r="1264" spans="2:44" ht="31.5" x14ac:dyDescent="0.5">
      <c r="B1264" s="1"/>
      <c r="C1264" s="15"/>
      <c r="D1264" s="16"/>
      <c r="E1264" s="15"/>
      <c r="F1264" s="17"/>
      <c r="G1264" s="8"/>
      <c r="H1264" s="8"/>
      <c r="I1264" s="8"/>
      <c r="J1264" s="8"/>
      <c r="K1264" s="8"/>
      <c r="L1264" s="8"/>
      <c r="M1264" s="8"/>
      <c r="N1264" s="8"/>
      <c r="O1264" s="8"/>
      <c r="P1264" s="8"/>
      <c r="Q1264" s="8"/>
      <c r="R1264" s="8"/>
      <c r="S1264" s="8"/>
      <c r="T1264" s="8"/>
      <c r="U1264" s="8"/>
      <c r="V1264" s="8"/>
      <c r="W1264" s="8"/>
      <c r="X1264" s="8"/>
      <c r="Y1264" s="8"/>
      <c r="Z1264" s="8"/>
      <c r="AA1264" s="8"/>
      <c r="AB1264" s="8"/>
      <c r="AC1264" s="8"/>
      <c r="AD1264" s="8"/>
      <c r="AE1264" s="8"/>
      <c r="AF1264" s="8"/>
      <c r="AG1264" s="8"/>
      <c r="AH1264" s="8"/>
      <c r="AI1264" s="8"/>
      <c r="AJ1264" s="8"/>
      <c r="AK1264" s="8"/>
      <c r="AL1264" s="4"/>
      <c r="AM1264" s="5" t="str">
        <f t="shared" si="77"/>
        <v/>
      </c>
      <c r="AN1264" s="5" t="str">
        <f t="shared" si="78"/>
        <v/>
      </c>
      <c r="AO1264" s="18" t="str">
        <f t="shared" si="79"/>
        <v/>
      </c>
      <c r="AP1264" s="19"/>
      <c r="AQ1264" s="20" t="str">
        <f t="shared" si="80"/>
        <v/>
      </c>
      <c r="AR1264" s="21"/>
    </row>
    <row r="1265" spans="2:44" ht="31.5" x14ac:dyDescent="0.5">
      <c r="B1265" s="1"/>
      <c r="C1265" s="15"/>
      <c r="D1265" s="16"/>
      <c r="E1265" s="15"/>
      <c r="F1265" s="17"/>
      <c r="G1265" s="8"/>
      <c r="H1265" s="8"/>
      <c r="I1265" s="8"/>
      <c r="J1265" s="8"/>
      <c r="K1265" s="8"/>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4"/>
      <c r="AM1265" s="5" t="str">
        <f t="shared" si="77"/>
        <v/>
      </c>
      <c r="AN1265" s="5" t="str">
        <f t="shared" si="78"/>
        <v/>
      </c>
      <c r="AO1265" s="18" t="str">
        <f t="shared" si="79"/>
        <v/>
      </c>
      <c r="AP1265" s="19"/>
      <c r="AQ1265" s="20" t="str">
        <f t="shared" si="80"/>
        <v/>
      </c>
      <c r="AR1265" s="21"/>
    </row>
    <row r="1266" spans="2:44" ht="31.5" x14ac:dyDescent="0.5">
      <c r="B1266" s="1"/>
      <c r="C1266" s="15"/>
      <c r="D1266" s="16"/>
      <c r="E1266" s="15"/>
      <c r="F1266" s="17"/>
      <c r="G1266" s="8"/>
      <c r="H1266" s="8"/>
      <c r="I1266" s="8"/>
      <c r="J1266" s="8"/>
      <c r="K1266" s="8"/>
      <c r="L1266" s="8"/>
      <c r="M1266" s="8"/>
      <c r="N1266" s="8"/>
      <c r="O1266" s="8"/>
      <c r="P1266" s="8"/>
      <c r="Q1266" s="8"/>
      <c r="R1266" s="8"/>
      <c r="S1266" s="8"/>
      <c r="T1266" s="8"/>
      <c r="U1266" s="8"/>
      <c r="V1266" s="8"/>
      <c r="W1266" s="8"/>
      <c r="X1266" s="8"/>
      <c r="Y1266" s="8"/>
      <c r="Z1266" s="8"/>
      <c r="AA1266" s="8"/>
      <c r="AB1266" s="8"/>
      <c r="AC1266" s="8"/>
      <c r="AD1266" s="8"/>
      <c r="AE1266" s="8"/>
      <c r="AF1266" s="8"/>
      <c r="AG1266" s="8"/>
      <c r="AH1266" s="8"/>
      <c r="AI1266" s="8"/>
      <c r="AJ1266" s="8"/>
      <c r="AK1266" s="8"/>
      <c r="AL1266" s="4"/>
      <c r="AM1266" s="5" t="str">
        <f t="shared" si="77"/>
        <v/>
      </c>
      <c r="AN1266" s="5" t="str">
        <f t="shared" si="78"/>
        <v/>
      </c>
      <c r="AO1266" s="18" t="str">
        <f t="shared" si="79"/>
        <v/>
      </c>
      <c r="AP1266" s="19"/>
      <c r="AQ1266" s="20" t="str">
        <f t="shared" si="80"/>
        <v/>
      </c>
      <c r="AR1266" s="21"/>
    </row>
    <row r="1267" spans="2:44" ht="31.5" x14ac:dyDescent="0.5">
      <c r="B1267" s="1"/>
      <c r="C1267" s="15"/>
      <c r="D1267" s="16"/>
      <c r="E1267" s="15"/>
      <c r="F1267" s="17"/>
      <c r="G1267" s="8"/>
      <c r="H1267" s="8"/>
      <c r="I1267" s="8"/>
      <c r="J1267" s="8"/>
      <c r="K1267" s="8"/>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4"/>
      <c r="AM1267" s="5" t="str">
        <f t="shared" ref="AM1267:AM1330" si="81">IF($B1267="","",COUNTIF($G1267:$AK1267,"P"))</f>
        <v/>
      </c>
      <c r="AN1267" s="5" t="str">
        <f t="shared" ref="AN1267:AN1330" si="82">IF($B1267="","",COUNTIF($G1267:$AK1267,"AB"))</f>
        <v/>
      </c>
      <c r="AO1267" s="18" t="str">
        <f t="shared" ref="AO1267:AO1330" si="83">IF($B1267="","",SUMPRODUCT(--($G$11:$AK$11&lt;&gt;""),--($G$12:$AK$12&lt;&gt;"Sun")))</f>
        <v/>
      </c>
      <c r="AP1267" s="19"/>
      <c r="AQ1267" s="20" t="str">
        <f t="shared" ref="AQ1267:AQ1330" si="84">IF($B1267="","",IF(AO1267=0,"",AM1267/AO1267))</f>
        <v/>
      </c>
      <c r="AR1267" s="21"/>
    </row>
    <row r="1268" spans="2:44" ht="31.5" x14ac:dyDescent="0.5">
      <c r="B1268" s="1"/>
      <c r="C1268" s="15"/>
      <c r="D1268" s="16"/>
      <c r="E1268" s="15"/>
      <c r="F1268" s="17"/>
      <c r="G1268" s="8"/>
      <c r="H1268" s="8"/>
      <c r="I1268" s="8"/>
      <c r="J1268" s="8"/>
      <c r="K1268" s="8"/>
      <c r="L1268" s="8"/>
      <c r="M1268" s="8"/>
      <c r="N1268" s="8"/>
      <c r="O1268" s="8"/>
      <c r="P1268" s="8"/>
      <c r="Q1268" s="8"/>
      <c r="R1268" s="8"/>
      <c r="S1268" s="8"/>
      <c r="T1268" s="8"/>
      <c r="U1268" s="8"/>
      <c r="V1268" s="8"/>
      <c r="W1268" s="8"/>
      <c r="X1268" s="8"/>
      <c r="Y1268" s="8"/>
      <c r="Z1268" s="8"/>
      <c r="AA1268" s="8"/>
      <c r="AB1268" s="8"/>
      <c r="AC1268" s="8"/>
      <c r="AD1268" s="8"/>
      <c r="AE1268" s="8"/>
      <c r="AF1268" s="8"/>
      <c r="AG1268" s="8"/>
      <c r="AH1268" s="8"/>
      <c r="AI1268" s="8"/>
      <c r="AJ1268" s="8"/>
      <c r="AK1268" s="8"/>
      <c r="AL1268" s="4"/>
      <c r="AM1268" s="5" t="str">
        <f t="shared" si="81"/>
        <v/>
      </c>
      <c r="AN1268" s="5" t="str">
        <f t="shared" si="82"/>
        <v/>
      </c>
      <c r="AO1268" s="18" t="str">
        <f t="shared" si="83"/>
        <v/>
      </c>
      <c r="AP1268" s="19"/>
      <c r="AQ1268" s="20" t="str">
        <f t="shared" si="84"/>
        <v/>
      </c>
      <c r="AR1268" s="21"/>
    </row>
    <row r="1269" spans="2:44" ht="31.5" x14ac:dyDescent="0.5">
      <c r="B1269" s="1"/>
      <c r="C1269" s="15"/>
      <c r="D1269" s="16"/>
      <c r="E1269" s="15"/>
      <c r="F1269" s="17"/>
      <c r="G1269" s="8"/>
      <c r="H1269" s="8"/>
      <c r="I1269" s="8"/>
      <c r="J1269" s="8"/>
      <c r="K1269" s="8"/>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4"/>
      <c r="AM1269" s="5" t="str">
        <f t="shared" si="81"/>
        <v/>
      </c>
      <c r="AN1269" s="5" t="str">
        <f t="shared" si="82"/>
        <v/>
      </c>
      <c r="AO1269" s="18" t="str">
        <f t="shared" si="83"/>
        <v/>
      </c>
      <c r="AP1269" s="19"/>
      <c r="AQ1269" s="20" t="str">
        <f t="shared" si="84"/>
        <v/>
      </c>
      <c r="AR1269" s="21"/>
    </row>
    <row r="1270" spans="2:44" ht="31.5" x14ac:dyDescent="0.5">
      <c r="B1270" s="1"/>
      <c r="C1270" s="15"/>
      <c r="D1270" s="16"/>
      <c r="E1270" s="15"/>
      <c r="F1270" s="17"/>
      <c r="G1270" s="8"/>
      <c r="H1270" s="8"/>
      <c r="I1270" s="8"/>
      <c r="J1270" s="8"/>
      <c r="K1270" s="8"/>
      <c r="L1270" s="8"/>
      <c r="M1270" s="8"/>
      <c r="N1270" s="8"/>
      <c r="O1270" s="8"/>
      <c r="P1270" s="8"/>
      <c r="Q1270" s="8"/>
      <c r="R1270" s="8"/>
      <c r="S1270" s="8"/>
      <c r="T1270" s="8"/>
      <c r="U1270" s="8"/>
      <c r="V1270" s="8"/>
      <c r="W1270" s="8"/>
      <c r="X1270" s="8"/>
      <c r="Y1270" s="8"/>
      <c r="Z1270" s="8"/>
      <c r="AA1270" s="8"/>
      <c r="AB1270" s="8"/>
      <c r="AC1270" s="8"/>
      <c r="AD1270" s="8"/>
      <c r="AE1270" s="8"/>
      <c r="AF1270" s="8"/>
      <c r="AG1270" s="8"/>
      <c r="AH1270" s="8"/>
      <c r="AI1270" s="8"/>
      <c r="AJ1270" s="8"/>
      <c r="AK1270" s="8"/>
      <c r="AL1270" s="4"/>
      <c r="AM1270" s="5" t="str">
        <f t="shared" si="81"/>
        <v/>
      </c>
      <c r="AN1270" s="5" t="str">
        <f t="shared" si="82"/>
        <v/>
      </c>
      <c r="AO1270" s="18" t="str">
        <f t="shared" si="83"/>
        <v/>
      </c>
      <c r="AP1270" s="19"/>
      <c r="AQ1270" s="20" t="str">
        <f t="shared" si="84"/>
        <v/>
      </c>
      <c r="AR1270" s="21"/>
    </row>
    <row r="1271" spans="2:44" ht="31.5" x14ac:dyDescent="0.5">
      <c r="B1271" s="1"/>
      <c r="C1271" s="15"/>
      <c r="D1271" s="16"/>
      <c r="E1271" s="15"/>
      <c r="F1271" s="17"/>
      <c r="G1271" s="8"/>
      <c r="H1271" s="8"/>
      <c r="I1271" s="8"/>
      <c r="J1271" s="8"/>
      <c r="K1271" s="8"/>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4"/>
      <c r="AM1271" s="5" t="str">
        <f t="shared" si="81"/>
        <v/>
      </c>
      <c r="AN1271" s="5" t="str">
        <f t="shared" si="82"/>
        <v/>
      </c>
      <c r="AO1271" s="18" t="str">
        <f t="shared" si="83"/>
        <v/>
      </c>
      <c r="AP1271" s="19"/>
      <c r="AQ1271" s="20" t="str">
        <f t="shared" si="84"/>
        <v/>
      </c>
      <c r="AR1271" s="21"/>
    </row>
    <row r="1272" spans="2:44" ht="31.5" x14ac:dyDescent="0.5">
      <c r="B1272" s="1"/>
      <c r="C1272" s="15"/>
      <c r="D1272" s="16"/>
      <c r="E1272" s="15"/>
      <c r="F1272" s="17"/>
      <c r="G1272" s="8"/>
      <c r="H1272" s="8"/>
      <c r="I1272" s="8"/>
      <c r="J1272" s="8"/>
      <c r="K1272" s="8"/>
      <c r="L1272" s="8"/>
      <c r="M1272" s="8"/>
      <c r="N1272" s="8"/>
      <c r="O1272" s="8"/>
      <c r="P1272" s="8"/>
      <c r="Q1272" s="8"/>
      <c r="R1272" s="8"/>
      <c r="S1272" s="8"/>
      <c r="T1272" s="8"/>
      <c r="U1272" s="8"/>
      <c r="V1272" s="8"/>
      <c r="W1272" s="8"/>
      <c r="X1272" s="8"/>
      <c r="Y1272" s="8"/>
      <c r="Z1272" s="8"/>
      <c r="AA1272" s="8"/>
      <c r="AB1272" s="8"/>
      <c r="AC1272" s="8"/>
      <c r="AD1272" s="8"/>
      <c r="AE1272" s="8"/>
      <c r="AF1272" s="8"/>
      <c r="AG1272" s="8"/>
      <c r="AH1272" s="8"/>
      <c r="AI1272" s="8"/>
      <c r="AJ1272" s="8"/>
      <c r="AK1272" s="8"/>
      <c r="AL1272" s="4"/>
      <c r="AM1272" s="5" t="str">
        <f t="shared" si="81"/>
        <v/>
      </c>
      <c r="AN1272" s="5" t="str">
        <f t="shared" si="82"/>
        <v/>
      </c>
      <c r="AO1272" s="18" t="str">
        <f t="shared" si="83"/>
        <v/>
      </c>
      <c r="AP1272" s="19"/>
      <c r="AQ1272" s="20" t="str">
        <f t="shared" si="84"/>
        <v/>
      </c>
      <c r="AR1272" s="21"/>
    </row>
    <row r="1273" spans="2:44" ht="31.5" x14ac:dyDescent="0.5">
      <c r="B1273" s="1"/>
      <c r="C1273" s="15"/>
      <c r="D1273" s="16"/>
      <c r="E1273" s="15"/>
      <c r="F1273" s="17"/>
      <c r="G1273" s="8"/>
      <c r="H1273" s="8"/>
      <c r="I1273" s="8"/>
      <c r="J1273" s="8"/>
      <c r="K1273" s="8"/>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4"/>
      <c r="AM1273" s="5" t="str">
        <f t="shared" si="81"/>
        <v/>
      </c>
      <c r="AN1273" s="5" t="str">
        <f t="shared" si="82"/>
        <v/>
      </c>
      <c r="AO1273" s="18" t="str">
        <f t="shared" si="83"/>
        <v/>
      </c>
      <c r="AP1273" s="19"/>
      <c r="AQ1273" s="20" t="str">
        <f t="shared" si="84"/>
        <v/>
      </c>
      <c r="AR1273" s="21"/>
    </row>
    <row r="1274" spans="2:44" ht="31.5" x14ac:dyDescent="0.5">
      <c r="B1274" s="1"/>
      <c r="C1274" s="15"/>
      <c r="D1274" s="16"/>
      <c r="E1274" s="15"/>
      <c r="F1274" s="17"/>
      <c r="G1274" s="8"/>
      <c r="H1274" s="8"/>
      <c r="I1274" s="8"/>
      <c r="J1274" s="8"/>
      <c r="K1274" s="8"/>
      <c r="L1274" s="8"/>
      <c r="M1274" s="8"/>
      <c r="N1274" s="8"/>
      <c r="O1274" s="8"/>
      <c r="P1274" s="8"/>
      <c r="Q1274" s="8"/>
      <c r="R1274" s="8"/>
      <c r="S1274" s="8"/>
      <c r="T1274" s="8"/>
      <c r="U1274" s="8"/>
      <c r="V1274" s="8"/>
      <c r="W1274" s="8"/>
      <c r="X1274" s="8"/>
      <c r="Y1274" s="8"/>
      <c r="Z1274" s="8"/>
      <c r="AA1274" s="8"/>
      <c r="AB1274" s="8"/>
      <c r="AC1274" s="8"/>
      <c r="AD1274" s="8"/>
      <c r="AE1274" s="8"/>
      <c r="AF1274" s="8"/>
      <c r="AG1274" s="8"/>
      <c r="AH1274" s="8"/>
      <c r="AI1274" s="8"/>
      <c r="AJ1274" s="8"/>
      <c r="AK1274" s="8"/>
      <c r="AL1274" s="4"/>
      <c r="AM1274" s="5" t="str">
        <f t="shared" si="81"/>
        <v/>
      </c>
      <c r="AN1274" s="5" t="str">
        <f t="shared" si="82"/>
        <v/>
      </c>
      <c r="AO1274" s="18" t="str">
        <f t="shared" si="83"/>
        <v/>
      </c>
      <c r="AP1274" s="19"/>
      <c r="AQ1274" s="20" t="str">
        <f t="shared" si="84"/>
        <v/>
      </c>
      <c r="AR1274" s="21"/>
    </row>
    <row r="1275" spans="2:44" ht="31.5" x14ac:dyDescent="0.5">
      <c r="B1275" s="1"/>
      <c r="C1275" s="15"/>
      <c r="D1275" s="16"/>
      <c r="E1275" s="15"/>
      <c r="F1275" s="17"/>
      <c r="G1275" s="8"/>
      <c r="H1275" s="8"/>
      <c r="I1275" s="8"/>
      <c r="J1275" s="8"/>
      <c r="K1275" s="8"/>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4"/>
      <c r="AM1275" s="5" t="str">
        <f t="shared" si="81"/>
        <v/>
      </c>
      <c r="AN1275" s="5" t="str">
        <f t="shared" si="82"/>
        <v/>
      </c>
      <c r="AO1275" s="18" t="str">
        <f t="shared" si="83"/>
        <v/>
      </c>
      <c r="AP1275" s="19"/>
      <c r="AQ1275" s="20" t="str">
        <f t="shared" si="84"/>
        <v/>
      </c>
      <c r="AR1275" s="21"/>
    </row>
    <row r="1276" spans="2:44" ht="31.5" x14ac:dyDescent="0.5">
      <c r="B1276" s="1"/>
      <c r="C1276" s="15"/>
      <c r="D1276" s="16"/>
      <c r="E1276" s="15"/>
      <c r="F1276" s="17"/>
      <c r="G1276" s="8"/>
      <c r="H1276" s="8"/>
      <c r="I1276" s="8"/>
      <c r="J1276" s="8"/>
      <c r="K1276" s="8"/>
      <c r="L1276" s="8"/>
      <c r="M1276" s="8"/>
      <c r="N1276" s="8"/>
      <c r="O1276" s="8"/>
      <c r="P1276" s="8"/>
      <c r="Q1276" s="8"/>
      <c r="R1276" s="8"/>
      <c r="S1276" s="8"/>
      <c r="T1276" s="8"/>
      <c r="U1276" s="8"/>
      <c r="V1276" s="8"/>
      <c r="W1276" s="8"/>
      <c r="X1276" s="8"/>
      <c r="Y1276" s="8"/>
      <c r="Z1276" s="8"/>
      <c r="AA1276" s="8"/>
      <c r="AB1276" s="8"/>
      <c r="AC1276" s="8"/>
      <c r="AD1276" s="8"/>
      <c r="AE1276" s="8"/>
      <c r="AF1276" s="8"/>
      <c r="AG1276" s="8"/>
      <c r="AH1276" s="8"/>
      <c r="AI1276" s="8"/>
      <c r="AJ1276" s="8"/>
      <c r="AK1276" s="8"/>
      <c r="AL1276" s="4"/>
      <c r="AM1276" s="5" t="str">
        <f t="shared" si="81"/>
        <v/>
      </c>
      <c r="AN1276" s="5" t="str">
        <f t="shared" si="82"/>
        <v/>
      </c>
      <c r="AO1276" s="18" t="str">
        <f t="shared" si="83"/>
        <v/>
      </c>
      <c r="AP1276" s="19"/>
      <c r="AQ1276" s="20" t="str">
        <f t="shared" si="84"/>
        <v/>
      </c>
      <c r="AR1276" s="21"/>
    </row>
    <row r="1277" spans="2:44" ht="31.5" x14ac:dyDescent="0.5">
      <c r="B1277" s="1"/>
      <c r="C1277" s="15"/>
      <c r="D1277" s="16"/>
      <c r="E1277" s="15"/>
      <c r="F1277" s="17"/>
      <c r="G1277" s="8"/>
      <c r="H1277" s="8"/>
      <c r="I1277" s="8"/>
      <c r="J1277" s="8"/>
      <c r="K1277" s="8"/>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4"/>
      <c r="AM1277" s="5" t="str">
        <f t="shared" si="81"/>
        <v/>
      </c>
      <c r="AN1277" s="5" t="str">
        <f t="shared" si="82"/>
        <v/>
      </c>
      <c r="AO1277" s="18" t="str">
        <f t="shared" si="83"/>
        <v/>
      </c>
      <c r="AP1277" s="19"/>
      <c r="AQ1277" s="20" t="str">
        <f t="shared" si="84"/>
        <v/>
      </c>
      <c r="AR1277" s="21"/>
    </row>
    <row r="1278" spans="2:44" ht="31.5" x14ac:dyDescent="0.5">
      <c r="B1278" s="1"/>
      <c r="C1278" s="15"/>
      <c r="D1278" s="16"/>
      <c r="E1278" s="15"/>
      <c r="F1278" s="17"/>
      <c r="G1278" s="8"/>
      <c r="H1278" s="8"/>
      <c r="I1278" s="8"/>
      <c r="J1278" s="8"/>
      <c r="K1278" s="8"/>
      <c r="L1278" s="8"/>
      <c r="M1278" s="8"/>
      <c r="N1278" s="8"/>
      <c r="O1278" s="8"/>
      <c r="P1278" s="8"/>
      <c r="Q1278" s="8"/>
      <c r="R1278" s="8"/>
      <c r="S1278" s="8"/>
      <c r="T1278" s="8"/>
      <c r="U1278" s="8"/>
      <c r="V1278" s="8"/>
      <c r="W1278" s="8"/>
      <c r="X1278" s="8"/>
      <c r="Y1278" s="8"/>
      <c r="Z1278" s="8"/>
      <c r="AA1278" s="8"/>
      <c r="AB1278" s="8"/>
      <c r="AC1278" s="8"/>
      <c r="AD1278" s="8"/>
      <c r="AE1278" s="8"/>
      <c r="AF1278" s="8"/>
      <c r="AG1278" s="8"/>
      <c r="AH1278" s="8"/>
      <c r="AI1278" s="8"/>
      <c r="AJ1278" s="8"/>
      <c r="AK1278" s="8"/>
      <c r="AL1278" s="4"/>
      <c r="AM1278" s="5" t="str">
        <f t="shared" si="81"/>
        <v/>
      </c>
      <c r="AN1278" s="5" t="str">
        <f t="shared" si="82"/>
        <v/>
      </c>
      <c r="AO1278" s="18" t="str">
        <f t="shared" si="83"/>
        <v/>
      </c>
      <c r="AP1278" s="19"/>
      <c r="AQ1278" s="20" t="str">
        <f t="shared" si="84"/>
        <v/>
      </c>
      <c r="AR1278" s="21"/>
    </row>
    <row r="1279" spans="2:44" ht="31.5" x14ac:dyDescent="0.5">
      <c r="B1279" s="1"/>
      <c r="C1279" s="15"/>
      <c r="D1279" s="16"/>
      <c r="E1279" s="15"/>
      <c r="F1279" s="17"/>
      <c r="G1279" s="8"/>
      <c r="H1279" s="8"/>
      <c r="I1279" s="8"/>
      <c r="J1279" s="8"/>
      <c r="K1279" s="8"/>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4"/>
      <c r="AM1279" s="5" t="str">
        <f t="shared" si="81"/>
        <v/>
      </c>
      <c r="AN1279" s="5" t="str">
        <f t="shared" si="82"/>
        <v/>
      </c>
      <c r="AO1279" s="18" t="str">
        <f t="shared" si="83"/>
        <v/>
      </c>
      <c r="AP1279" s="19"/>
      <c r="AQ1279" s="20" t="str">
        <f t="shared" si="84"/>
        <v/>
      </c>
      <c r="AR1279" s="21"/>
    </row>
    <row r="1280" spans="2:44" ht="31.5" x14ac:dyDescent="0.5">
      <c r="B1280" s="1"/>
      <c r="C1280" s="15"/>
      <c r="D1280" s="16"/>
      <c r="E1280" s="15"/>
      <c r="F1280" s="17"/>
      <c r="G1280" s="8"/>
      <c r="H1280" s="8"/>
      <c r="I1280" s="8"/>
      <c r="J1280" s="8"/>
      <c r="K1280" s="8"/>
      <c r="L1280" s="8"/>
      <c r="M1280" s="8"/>
      <c r="N1280" s="8"/>
      <c r="O1280" s="8"/>
      <c r="P1280" s="8"/>
      <c r="Q1280" s="8"/>
      <c r="R1280" s="8"/>
      <c r="S1280" s="8"/>
      <c r="T1280" s="8"/>
      <c r="U1280" s="8"/>
      <c r="V1280" s="8"/>
      <c r="W1280" s="8"/>
      <c r="X1280" s="8"/>
      <c r="Y1280" s="8"/>
      <c r="Z1280" s="8"/>
      <c r="AA1280" s="8"/>
      <c r="AB1280" s="8"/>
      <c r="AC1280" s="8"/>
      <c r="AD1280" s="8"/>
      <c r="AE1280" s="8"/>
      <c r="AF1280" s="8"/>
      <c r="AG1280" s="8"/>
      <c r="AH1280" s="8"/>
      <c r="AI1280" s="8"/>
      <c r="AJ1280" s="8"/>
      <c r="AK1280" s="8"/>
      <c r="AL1280" s="4"/>
      <c r="AM1280" s="5" t="str">
        <f t="shared" si="81"/>
        <v/>
      </c>
      <c r="AN1280" s="5" t="str">
        <f t="shared" si="82"/>
        <v/>
      </c>
      <c r="AO1280" s="18" t="str">
        <f t="shared" si="83"/>
        <v/>
      </c>
      <c r="AP1280" s="19"/>
      <c r="AQ1280" s="20" t="str">
        <f t="shared" si="84"/>
        <v/>
      </c>
      <c r="AR1280" s="21"/>
    </row>
    <row r="1281" spans="2:44" ht="31.5" x14ac:dyDescent="0.5">
      <c r="B1281" s="1"/>
      <c r="C1281" s="15"/>
      <c r="D1281" s="16"/>
      <c r="E1281" s="15"/>
      <c r="F1281" s="17"/>
      <c r="G1281" s="8"/>
      <c r="H1281" s="8"/>
      <c r="I1281" s="8"/>
      <c r="J1281" s="8"/>
      <c r="K1281" s="8"/>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4"/>
      <c r="AM1281" s="5" t="str">
        <f t="shared" si="81"/>
        <v/>
      </c>
      <c r="AN1281" s="5" t="str">
        <f t="shared" si="82"/>
        <v/>
      </c>
      <c r="AO1281" s="18" t="str">
        <f t="shared" si="83"/>
        <v/>
      </c>
      <c r="AP1281" s="19"/>
      <c r="AQ1281" s="20" t="str">
        <f t="shared" si="84"/>
        <v/>
      </c>
      <c r="AR1281" s="21"/>
    </row>
    <row r="1282" spans="2:44" ht="31.5" x14ac:dyDescent="0.5">
      <c r="B1282" s="1"/>
      <c r="C1282" s="15"/>
      <c r="D1282" s="16"/>
      <c r="E1282" s="15"/>
      <c r="F1282" s="17"/>
      <c r="G1282" s="8"/>
      <c r="H1282" s="8"/>
      <c r="I1282" s="8"/>
      <c r="J1282" s="8"/>
      <c r="K1282" s="8"/>
      <c r="L1282" s="8"/>
      <c r="M1282" s="8"/>
      <c r="N1282" s="8"/>
      <c r="O1282" s="8"/>
      <c r="P1282" s="8"/>
      <c r="Q1282" s="8"/>
      <c r="R1282" s="8"/>
      <c r="S1282" s="8"/>
      <c r="T1282" s="8"/>
      <c r="U1282" s="8"/>
      <c r="V1282" s="8"/>
      <c r="W1282" s="8"/>
      <c r="X1282" s="8"/>
      <c r="Y1282" s="8"/>
      <c r="Z1282" s="8"/>
      <c r="AA1282" s="8"/>
      <c r="AB1282" s="8"/>
      <c r="AC1282" s="8"/>
      <c r="AD1282" s="8"/>
      <c r="AE1282" s="8"/>
      <c r="AF1282" s="8"/>
      <c r="AG1282" s="8"/>
      <c r="AH1282" s="8"/>
      <c r="AI1282" s="8"/>
      <c r="AJ1282" s="8"/>
      <c r="AK1282" s="8"/>
      <c r="AL1282" s="4"/>
      <c r="AM1282" s="5" t="str">
        <f t="shared" si="81"/>
        <v/>
      </c>
      <c r="AN1282" s="5" t="str">
        <f t="shared" si="82"/>
        <v/>
      </c>
      <c r="AO1282" s="18" t="str">
        <f t="shared" si="83"/>
        <v/>
      </c>
      <c r="AP1282" s="19"/>
      <c r="AQ1282" s="20" t="str">
        <f t="shared" si="84"/>
        <v/>
      </c>
      <c r="AR1282" s="21"/>
    </row>
    <row r="1283" spans="2:44" ht="31.5" x14ac:dyDescent="0.5">
      <c r="B1283" s="1"/>
      <c r="C1283" s="15"/>
      <c r="D1283" s="16"/>
      <c r="E1283" s="15"/>
      <c r="F1283" s="17"/>
      <c r="G1283" s="8"/>
      <c r="H1283" s="8"/>
      <c r="I1283" s="8"/>
      <c r="J1283" s="8"/>
      <c r="K1283" s="8"/>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4"/>
      <c r="AM1283" s="5" t="str">
        <f t="shared" si="81"/>
        <v/>
      </c>
      <c r="AN1283" s="5" t="str">
        <f t="shared" si="82"/>
        <v/>
      </c>
      <c r="AO1283" s="18" t="str">
        <f t="shared" si="83"/>
        <v/>
      </c>
      <c r="AP1283" s="19"/>
      <c r="AQ1283" s="20" t="str">
        <f t="shared" si="84"/>
        <v/>
      </c>
      <c r="AR1283" s="21"/>
    </row>
    <row r="1284" spans="2:44" ht="31.5" x14ac:dyDescent="0.5">
      <c r="B1284" s="1"/>
      <c r="C1284" s="15"/>
      <c r="D1284" s="16"/>
      <c r="E1284" s="15"/>
      <c r="F1284" s="17"/>
      <c r="G1284" s="8"/>
      <c r="H1284" s="8"/>
      <c r="I1284" s="8"/>
      <c r="J1284" s="8"/>
      <c r="K1284" s="8"/>
      <c r="L1284" s="8"/>
      <c r="M1284" s="8"/>
      <c r="N1284" s="8"/>
      <c r="O1284" s="8"/>
      <c r="P1284" s="8"/>
      <c r="Q1284" s="8"/>
      <c r="R1284" s="8"/>
      <c r="S1284" s="8"/>
      <c r="T1284" s="8"/>
      <c r="U1284" s="8"/>
      <c r="V1284" s="8"/>
      <c r="W1284" s="8"/>
      <c r="X1284" s="8"/>
      <c r="Y1284" s="8"/>
      <c r="Z1284" s="8"/>
      <c r="AA1284" s="8"/>
      <c r="AB1284" s="8"/>
      <c r="AC1284" s="8"/>
      <c r="AD1284" s="8"/>
      <c r="AE1284" s="8"/>
      <c r="AF1284" s="8"/>
      <c r="AG1284" s="8"/>
      <c r="AH1284" s="8"/>
      <c r="AI1284" s="8"/>
      <c r="AJ1284" s="8"/>
      <c r="AK1284" s="8"/>
      <c r="AL1284" s="4"/>
      <c r="AM1284" s="5" t="str">
        <f t="shared" si="81"/>
        <v/>
      </c>
      <c r="AN1284" s="5" t="str">
        <f t="shared" si="82"/>
        <v/>
      </c>
      <c r="AO1284" s="18" t="str">
        <f t="shared" si="83"/>
        <v/>
      </c>
      <c r="AP1284" s="19"/>
      <c r="AQ1284" s="20" t="str">
        <f t="shared" si="84"/>
        <v/>
      </c>
      <c r="AR1284" s="21"/>
    </row>
    <row r="1285" spans="2:44" ht="31.5" x14ac:dyDescent="0.5">
      <c r="B1285" s="1"/>
      <c r="C1285" s="15"/>
      <c r="D1285" s="16"/>
      <c r="E1285" s="15"/>
      <c r="F1285" s="17"/>
      <c r="G1285" s="8"/>
      <c r="H1285" s="8"/>
      <c r="I1285" s="8"/>
      <c r="J1285" s="8"/>
      <c r="K1285" s="8"/>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4"/>
      <c r="AM1285" s="5" t="str">
        <f t="shared" si="81"/>
        <v/>
      </c>
      <c r="AN1285" s="5" t="str">
        <f t="shared" si="82"/>
        <v/>
      </c>
      <c r="AO1285" s="18" t="str">
        <f t="shared" si="83"/>
        <v/>
      </c>
      <c r="AP1285" s="19"/>
      <c r="AQ1285" s="20" t="str">
        <f t="shared" si="84"/>
        <v/>
      </c>
      <c r="AR1285" s="21"/>
    </row>
    <row r="1286" spans="2:44" ht="31.5" x14ac:dyDescent="0.5">
      <c r="B1286" s="1"/>
      <c r="C1286" s="15"/>
      <c r="D1286" s="16"/>
      <c r="E1286" s="15"/>
      <c r="F1286" s="17"/>
      <c r="G1286" s="8"/>
      <c r="H1286" s="8"/>
      <c r="I1286" s="8"/>
      <c r="J1286" s="8"/>
      <c r="K1286" s="8"/>
      <c r="L1286" s="8"/>
      <c r="M1286" s="8"/>
      <c r="N1286" s="8"/>
      <c r="O1286" s="8"/>
      <c r="P1286" s="8"/>
      <c r="Q1286" s="8"/>
      <c r="R1286" s="8"/>
      <c r="S1286" s="8"/>
      <c r="T1286" s="8"/>
      <c r="U1286" s="8"/>
      <c r="V1286" s="8"/>
      <c r="W1286" s="8"/>
      <c r="X1286" s="8"/>
      <c r="Y1286" s="8"/>
      <c r="Z1286" s="8"/>
      <c r="AA1286" s="8"/>
      <c r="AB1286" s="8"/>
      <c r="AC1286" s="8"/>
      <c r="AD1286" s="8"/>
      <c r="AE1286" s="8"/>
      <c r="AF1286" s="8"/>
      <c r="AG1286" s="8"/>
      <c r="AH1286" s="8"/>
      <c r="AI1286" s="8"/>
      <c r="AJ1286" s="8"/>
      <c r="AK1286" s="8"/>
      <c r="AL1286" s="4"/>
      <c r="AM1286" s="5" t="str">
        <f t="shared" si="81"/>
        <v/>
      </c>
      <c r="AN1286" s="5" t="str">
        <f t="shared" si="82"/>
        <v/>
      </c>
      <c r="AO1286" s="18" t="str">
        <f t="shared" si="83"/>
        <v/>
      </c>
      <c r="AP1286" s="19"/>
      <c r="AQ1286" s="20" t="str">
        <f t="shared" si="84"/>
        <v/>
      </c>
      <c r="AR1286" s="21"/>
    </row>
    <row r="1287" spans="2:44" ht="31.5" x14ac:dyDescent="0.5">
      <c r="B1287" s="1"/>
      <c r="C1287" s="15"/>
      <c r="D1287" s="16"/>
      <c r="E1287" s="15"/>
      <c r="F1287" s="17"/>
      <c r="G1287" s="8"/>
      <c r="H1287" s="8"/>
      <c r="I1287" s="8"/>
      <c r="J1287" s="8"/>
      <c r="K1287" s="8"/>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4"/>
      <c r="AM1287" s="5" t="str">
        <f t="shared" si="81"/>
        <v/>
      </c>
      <c r="AN1287" s="5" t="str">
        <f t="shared" si="82"/>
        <v/>
      </c>
      <c r="AO1287" s="18" t="str">
        <f t="shared" si="83"/>
        <v/>
      </c>
      <c r="AP1287" s="19"/>
      <c r="AQ1287" s="20" t="str">
        <f t="shared" si="84"/>
        <v/>
      </c>
      <c r="AR1287" s="21"/>
    </row>
    <row r="1288" spans="2:44" ht="31.5" x14ac:dyDescent="0.5">
      <c r="B1288" s="1"/>
      <c r="C1288" s="15"/>
      <c r="D1288" s="16"/>
      <c r="E1288" s="15"/>
      <c r="F1288" s="17"/>
      <c r="G1288" s="8"/>
      <c r="H1288" s="8"/>
      <c r="I1288" s="8"/>
      <c r="J1288" s="8"/>
      <c r="K1288" s="8"/>
      <c r="L1288" s="8"/>
      <c r="M1288" s="8"/>
      <c r="N1288" s="8"/>
      <c r="O1288" s="8"/>
      <c r="P1288" s="8"/>
      <c r="Q1288" s="8"/>
      <c r="R1288" s="8"/>
      <c r="S1288" s="8"/>
      <c r="T1288" s="8"/>
      <c r="U1288" s="8"/>
      <c r="V1288" s="8"/>
      <c r="W1288" s="8"/>
      <c r="X1288" s="8"/>
      <c r="Y1288" s="8"/>
      <c r="Z1288" s="8"/>
      <c r="AA1288" s="8"/>
      <c r="AB1288" s="8"/>
      <c r="AC1288" s="8"/>
      <c r="AD1288" s="8"/>
      <c r="AE1288" s="8"/>
      <c r="AF1288" s="8"/>
      <c r="AG1288" s="8"/>
      <c r="AH1288" s="8"/>
      <c r="AI1288" s="8"/>
      <c r="AJ1288" s="8"/>
      <c r="AK1288" s="8"/>
      <c r="AL1288" s="4"/>
      <c r="AM1288" s="5" t="str">
        <f t="shared" si="81"/>
        <v/>
      </c>
      <c r="AN1288" s="5" t="str">
        <f t="shared" si="82"/>
        <v/>
      </c>
      <c r="AO1288" s="18" t="str">
        <f t="shared" si="83"/>
        <v/>
      </c>
      <c r="AP1288" s="19"/>
      <c r="AQ1288" s="20" t="str">
        <f t="shared" si="84"/>
        <v/>
      </c>
      <c r="AR1288" s="21"/>
    </row>
    <row r="1289" spans="2:44" ht="31.5" x14ac:dyDescent="0.5">
      <c r="B1289" s="1"/>
      <c r="C1289" s="15"/>
      <c r="D1289" s="16"/>
      <c r="E1289" s="15"/>
      <c r="F1289" s="17"/>
      <c r="G1289" s="8"/>
      <c r="H1289" s="8"/>
      <c r="I1289" s="8"/>
      <c r="J1289" s="8"/>
      <c r="K1289" s="8"/>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4"/>
      <c r="AM1289" s="5" t="str">
        <f t="shared" si="81"/>
        <v/>
      </c>
      <c r="AN1289" s="5" t="str">
        <f t="shared" si="82"/>
        <v/>
      </c>
      <c r="AO1289" s="18" t="str">
        <f t="shared" si="83"/>
        <v/>
      </c>
      <c r="AP1289" s="19"/>
      <c r="AQ1289" s="20" t="str">
        <f t="shared" si="84"/>
        <v/>
      </c>
      <c r="AR1289" s="21"/>
    </row>
    <row r="1290" spans="2:44" ht="31.5" x14ac:dyDescent="0.5">
      <c r="B1290" s="1"/>
      <c r="C1290" s="15"/>
      <c r="D1290" s="16"/>
      <c r="E1290" s="15"/>
      <c r="F1290" s="17"/>
      <c r="G1290" s="8"/>
      <c r="H1290" s="8"/>
      <c r="I1290" s="8"/>
      <c r="J1290" s="8"/>
      <c r="K1290" s="8"/>
      <c r="L1290" s="8"/>
      <c r="M1290" s="8"/>
      <c r="N1290" s="8"/>
      <c r="O1290" s="8"/>
      <c r="P1290" s="8"/>
      <c r="Q1290" s="8"/>
      <c r="R1290" s="8"/>
      <c r="S1290" s="8"/>
      <c r="T1290" s="8"/>
      <c r="U1290" s="8"/>
      <c r="V1290" s="8"/>
      <c r="W1290" s="8"/>
      <c r="X1290" s="8"/>
      <c r="Y1290" s="8"/>
      <c r="Z1290" s="8"/>
      <c r="AA1290" s="8"/>
      <c r="AB1290" s="8"/>
      <c r="AC1290" s="8"/>
      <c r="AD1290" s="8"/>
      <c r="AE1290" s="8"/>
      <c r="AF1290" s="8"/>
      <c r="AG1290" s="8"/>
      <c r="AH1290" s="8"/>
      <c r="AI1290" s="8"/>
      <c r="AJ1290" s="8"/>
      <c r="AK1290" s="8"/>
      <c r="AL1290" s="4"/>
      <c r="AM1290" s="5" t="str">
        <f t="shared" si="81"/>
        <v/>
      </c>
      <c r="AN1290" s="5" t="str">
        <f t="shared" si="82"/>
        <v/>
      </c>
      <c r="AO1290" s="18" t="str">
        <f t="shared" si="83"/>
        <v/>
      </c>
      <c r="AP1290" s="19"/>
      <c r="AQ1290" s="20" t="str">
        <f t="shared" si="84"/>
        <v/>
      </c>
      <c r="AR1290" s="21"/>
    </row>
    <row r="1291" spans="2:44" ht="31.5" x14ac:dyDescent="0.5">
      <c r="B1291" s="1"/>
      <c r="C1291" s="15"/>
      <c r="D1291" s="16"/>
      <c r="E1291" s="15"/>
      <c r="F1291" s="17"/>
      <c r="G1291" s="8"/>
      <c r="H1291" s="8"/>
      <c r="I1291" s="8"/>
      <c r="J1291" s="8"/>
      <c r="K1291" s="8"/>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4"/>
      <c r="AM1291" s="5" t="str">
        <f t="shared" si="81"/>
        <v/>
      </c>
      <c r="AN1291" s="5" t="str">
        <f t="shared" si="82"/>
        <v/>
      </c>
      <c r="AO1291" s="18" t="str">
        <f t="shared" si="83"/>
        <v/>
      </c>
      <c r="AP1291" s="19"/>
      <c r="AQ1291" s="20" t="str">
        <f t="shared" si="84"/>
        <v/>
      </c>
      <c r="AR1291" s="21"/>
    </row>
    <row r="1292" spans="2:44" ht="31.5" x14ac:dyDescent="0.5">
      <c r="B1292" s="1"/>
      <c r="C1292" s="15"/>
      <c r="D1292" s="16"/>
      <c r="E1292" s="15"/>
      <c r="F1292" s="17"/>
      <c r="G1292" s="8"/>
      <c r="H1292" s="8"/>
      <c r="I1292" s="8"/>
      <c r="J1292" s="8"/>
      <c r="K1292" s="8"/>
      <c r="L1292" s="8"/>
      <c r="M1292" s="8"/>
      <c r="N1292" s="8"/>
      <c r="O1292" s="8"/>
      <c r="P1292" s="8"/>
      <c r="Q1292" s="8"/>
      <c r="R1292" s="8"/>
      <c r="S1292" s="8"/>
      <c r="T1292" s="8"/>
      <c r="U1292" s="8"/>
      <c r="V1292" s="8"/>
      <c r="W1292" s="8"/>
      <c r="X1292" s="8"/>
      <c r="Y1292" s="8"/>
      <c r="Z1292" s="8"/>
      <c r="AA1292" s="8"/>
      <c r="AB1292" s="8"/>
      <c r="AC1292" s="8"/>
      <c r="AD1292" s="8"/>
      <c r="AE1292" s="8"/>
      <c r="AF1292" s="8"/>
      <c r="AG1292" s="8"/>
      <c r="AH1292" s="8"/>
      <c r="AI1292" s="8"/>
      <c r="AJ1292" s="8"/>
      <c r="AK1292" s="8"/>
      <c r="AL1292" s="4"/>
      <c r="AM1292" s="5" t="str">
        <f t="shared" si="81"/>
        <v/>
      </c>
      <c r="AN1292" s="5" t="str">
        <f t="shared" si="82"/>
        <v/>
      </c>
      <c r="AO1292" s="18" t="str">
        <f t="shared" si="83"/>
        <v/>
      </c>
      <c r="AP1292" s="19"/>
      <c r="AQ1292" s="20" t="str">
        <f t="shared" si="84"/>
        <v/>
      </c>
      <c r="AR1292" s="21"/>
    </row>
    <row r="1293" spans="2:44" ht="31.5" x14ac:dyDescent="0.5">
      <c r="B1293" s="1"/>
      <c r="C1293" s="15"/>
      <c r="D1293" s="16"/>
      <c r="E1293" s="15"/>
      <c r="F1293" s="17"/>
      <c r="G1293" s="8"/>
      <c r="H1293" s="8"/>
      <c r="I1293" s="8"/>
      <c r="J1293" s="8"/>
      <c r="K1293" s="8"/>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4"/>
      <c r="AM1293" s="5" t="str">
        <f t="shared" si="81"/>
        <v/>
      </c>
      <c r="AN1293" s="5" t="str">
        <f t="shared" si="82"/>
        <v/>
      </c>
      <c r="AO1293" s="18" t="str">
        <f t="shared" si="83"/>
        <v/>
      </c>
      <c r="AP1293" s="19"/>
      <c r="AQ1293" s="20" t="str">
        <f t="shared" si="84"/>
        <v/>
      </c>
      <c r="AR1293" s="21"/>
    </row>
    <row r="1294" spans="2:44" ht="31.5" x14ac:dyDescent="0.5">
      <c r="B1294" s="1"/>
      <c r="C1294" s="15"/>
      <c r="D1294" s="16"/>
      <c r="E1294" s="15"/>
      <c r="F1294" s="17"/>
      <c r="G1294" s="8"/>
      <c r="H1294" s="8"/>
      <c r="I1294" s="8"/>
      <c r="J1294" s="8"/>
      <c r="K1294" s="8"/>
      <c r="L1294" s="8"/>
      <c r="M1294" s="8"/>
      <c r="N1294" s="8"/>
      <c r="O1294" s="8"/>
      <c r="P1294" s="8"/>
      <c r="Q1294" s="8"/>
      <c r="R1294" s="8"/>
      <c r="S1294" s="8"/>
      <c r="T1294" s="8"/>
      <c r="U1294" s="8"/>
      <c r="V1294" s="8"/>
      <c r="W1294" s="8"/>
      <c r="X1294" s="8"/>
      <c r="Y1294" s="8"/>
      <c r="Z1294" s="8"/>
      <c r="AA1294" s="8"/>
      <c r="AB1294" s="8"/>
      <c r="AC1294" s="8"/>
      <c r="AD1294" s="8"/>
      <c r="AE1294" s="8"/>
      <c r="AF1294" s="8"/>
      <c r="AG1294" s="8"/>
      <c r="AH1294" s="8"/>
      <c r="AI1294" s="8"/>
      <c r="AJ1294" s="8"/>
      <c r="AK1294" s="8"/>
      <c r="AL1294" s="4"/>
      <c r="AM1294" s="5" t="str">
        <f t="shared" si="81"/>
        <v/>
      </c>
      <c r="AN1294" s="5" t="str">
        <f t="shared" si="82"/>
        <v/>
      </c>
      <c r="AO1294" s="18" t="str">
        <f t="shared" si="83"/>
        <v/>
      </c>
      <c r="AP1294" s="19"/>
      <c r="AQ1294" s="20" t="str">
        <f t="shared" si="84"/>
        <v/>
      </c>
      <c r="AR1294" s="21"/>
    </row>
    <row r="1295" spans="2:44" ht="31.5" x14ac:dyDescent="0.5">
      <c r="B1295" s="1"/>
      <c r="C1295" s="15"/>
      <c r="D1295" s="16"/>
      <c r="E1295" s="15"/>
      <c r="F1295" s="17"/>
      <c r="G1295" s="8"/>
      <c r="H1295" s="8"/>
      <c r="I1295" s="8"/>
      <c r="J1295" s="8"/>
      <c r="K1295" s="8"/>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4"/>
      <c r="AM1295" s="5" t="str">
        <f t="shared" si="81"/>
        <v/>
      </c>
      <c r="AN1295" s="5" t="str">
        <f t="shared" si="82"/>
        <v/>
      </c>
      <c r="AO1295" s="18" t="str">
        <f t="shared" si="83"/>
        <v/>
      </c>
      <c r="AP1295" s="19"/>
      <c r="AQ1295" s="20" t="str">
        <f t="shared" si="84"/>
        <v/>
      </c>
      <c r="AR1295" s="21"/>
    </row>
    <row r="1296" spans="2:44" ht="31.5" x14ac:dyDescent="0.5">
      <c r="B1296" s="1"/>
      <c r="C1296" s="15"/>
      <c r="D1296" s="16"/>
      <c r="E1296" s="15"/>
      <c r="F1296" s="17"/>
      <c r="G1296" s="8"/>
      <c r="H1296" s="8"/>
      <c r="I1296" s="8"/>
      <c r="J1296" s="8"/>
      <c r="K1296" s="8"/>
      <c r="L1296" s="8"/>
      <c r="M1296" s="8"/>
      <c r="N1296" s="8"/>
      <c r="O1296" s="8"/>
      <c r="P1296" s="8"/>
      <c r="Q1296" s="8"/>
      <c r="R1296" s="8"/>
      <c r="S1296" s="8"/>
      <c r="T1296" s="8"/>
      <c r="U1296" s="8"/>
      <c r="V1296" s="8"/>
      <c r="W1296" s="8"/>
      <c r="X1296" s="8"/>
      <c r="Y1296" s="8"/>
      <c r="Z1296" s="8"/>
      <c r="AA1296" s="8"/>
      <c r="AB1296" s="8"/>
      <c r="AC1296" s="8"/>
      <c r="AD1296" s="8"/>
      <c r="AE1296" s="8"/>
      <c r="AF1296" s="8"/>
      <c r="AG1296" s="8"/>
      <c r="AH1296" s="8"/>
      <c r="AI1296" s="8"/>
      <c r="AJ1296" s="8"/>
      <c r="AK1296" s="8"/>
      <c r="AL1296" s="4"/>
      <c r="AM1296" s="5" t="str">
        <f t="shared" si="81"/>
        <v/>
      </c>
      <c r="AN1296" s="5" t="str">
        <f t="shared" si="82"/>
        <v/>
      </c>
      <c r="AO1296" s="18" t="str">
        <f t="shared" si="83"/>
        <v/>
      </c>
      <c r="AP1296" s="19"/>
      <c r="AQ1296" s="20" t="str">
        <f t="shared" si="84"/>
        <v/>
      </c>
      <c r="AR1296" s="21"/>
    </row>
    <row r="1297" spans="2:44" ht="31.5" x14ac:dyDescent="0.5">
      <c r="B1297" s="1"/>
      <c r="C1297" s="15"/>
      <c r="D1297" s="16"/>
      <c r="E1297" s="15"/>
      <c r="F1297" s="17"/>
      <c r="G1297" s="8"/>
      <c r="H1297" s="8"/>
      <c r="I1297" s="8"/>
      <c r="J1297" s="8"/>
      <c r="K1297" s="8"/>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4"/>
      <c r="AM1297" s="5" t="str">
        <f t="shared" si="81"/>
        <v/>
      </c>
      <c r="AN1297" s="5" t="str">
        <f t="shared" si="82"/>
        <v/>
      </c>
      <c r="AO1297" s="18" t="str">
        <f t="shared" si="83"/>
        <v/>
      </c>
      <c r="AP1297" s="19"/>
      <c r="AQ1297" s="20" t="str">
        <f t="shared" si="84"/>
        <v/>
      </c>
      <c r="AR1297" s="21"/>
    </row>
    <row r="1298" spans="2:44" ht="31.5" x14ac:dyDescent="0.5">
      <c r="B1298" s="1"/>
      <c r="C1298" s="15"/>
      <c r="D1298" s="16"/>
      <c r="E1298" s="15"/>
      <c r="F1298" s="17"/>
      <c r="G1298" s="8"/>
      <c r="H1298" s="8"/>
      <c r="I1298" s="8"/>
      <c r="J1298" s="8"/>
      <c r="K1298" s="8"/>
      <c r="L1298" s="8"/>
      <c r="M1298" s="8"/>
      <c r="N1298" s="8"/>
      <c r="O1298" s="8"/>
      <c r="P1298" s="8"/>
      <c r="Q1298" s="8"/>
      <c r="R1298" s="8"/>
      <c r="S1298" s="8"/>
      <c r="T1298" s="8"/>
      <c r="U1298" s="8"/>
      <c r="V1298" s="8"/>
      <c r="W1298" s="8"/>
      <c r="X1298" s="8"/>
      <c r="Y1298" s="8"/>
      <c r="Z1298" s="8"/>
      <c r="AA1298" s="8"/>
      <c r="AB1298" s="8"/>
      <c r="AC1298" s="8"/>
      <c r="AD1298" s="8"/>
      <c r="AE1298" s="8"/>
      <c r="AF1298" s="8"/>
      <c r="AG1298" s="8"/>
      <c r="AH1298" s="8"/>
      <c r="AI1298" s="8"/>
      <c r="AJ1298" s="8"/>
      <c r="AK1298" s="8"/>
      <c r="AL1298" s="4"/>
      <c r="AM1298" s="5" t="str">
        <f t="shared" si="81"/>
        <v/>
      </c>
      <c r="AN1298" s="5" t="str">
        <f t="shared" si="82"/>
        <v/>
      </c>
      <c r="AO1298" s="18" t="str">
        <f t="shared" si="83"/>
        <v/>
      </c>
      <c r="AP1298" s="19"/>
      <c r="AQ1298" s="20" t="str">
        <f t="shared" si="84"/>
        <v/>
      </c>
      <c r="AR1298" s="21"/>
    </row>
    <row r="1299" spans="2:44" ht="31.5" x14ac:dyDescent="0.5">
      <c r="B1299" s="1"/>
      <c r="C1299" s="15"/>
      <c r="D1299" s="16"/>
      <c r="E1299" s="15"/>
      <c r="F1299" s="17"/>
      <c r="G1299" s="8"/>
      <c r="H1299" s="8"/>
      <c r="I1299" s="8"/>
      <c r="J1299" s="8"/>
      <c r="K1299" s="8"/>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4"/>
      <c r="AM1299" s="5" t="str">
        <f t="shared" si="81"/>
        <v/>
      </c>
      <c r="AN1299" s="5" t="str">
        <f t="shared" si="82"/>
        <v/>
      </c>
      <c r="AO1299" s="18" t="str">
        <f t="shared" si="83"/>
        <v/>
      </c>
      <c r="AP1299" s="19"/>
      <c r="AQ1299" s="20" t="str">
        <f t="shared" si="84"/>
        <v/>
      </c>
      <c r="AR1299" s="21"/>
    </row>
    <row r="1300" spans="2:44" ht="31.5" x14ac:dyDescent="0.5">
      <c r="B1300" s="1"/>
      <c r="C1300" s="15"/>
      <c r="D1300" s="16"/>
      <c r="E1300" s="15"/>
      <c r="F1300" s="17"/>
      <c r="G1300" s="8"/>
      <c r="H1300" s="8"/>
      <c r="I1300" s="8"/>
      <c r="J1300" s="8"/>
      <c r="K1300" s="8"/>
      <c r="L1300" s="8"/>
      <c r="M1300" s="8"/>
      <c r="N1300" s="8"/>
      <c r="O1300" s="8"/>
      <c r="P1300" s="8"/>
      <c r="Q1300" s="8"/>
      <c r="R1300" s="8"/>
      <c r="S1300" s="8"/>
      <c r="T1300" s="8"/>
      <c r="U1300" s="8"/>
      <c r="V1300" s="8"/>
      <c r="W1300" s="8"/>
      <c r="X1300" s="8"/>
      <c r="Y1300" s="8"/>
      <c r="Z1300" s="8"/>
      <c r="AA1300" s="8"/>
      <c r="AB1300" s="8"/>
      <c r="AC1300" s="8"/>
      <c r="AD1300" s="8"/>
      <c r="AE1300" s="8"/>
      <c r="AF1300" s="8"/>
      <c r="AG1300" s="8"/>
      <c r="AH1300" s="8"/>
      <c r="AI1300" s="8"/>
      <c r="AJ1300" s="8"/>
      <c r="AK1300" s="8"/>
      <c r="AL1300" s="4"/>
      <c r="AM1300" s="5" t="str">
        <f t="shared" si="81"/>
        <v/>
      </c>
      <c r="AN1300" s="5" t="str">
        <f t="shared" si="82"/>
        <v/>
      </c>
      <c r="AO1300" s="18" t="str">
        <f t="shared" si="83"/>
        <v/>
      </c>
      <c r="AP1300" s="19"/>
      <c r="AQ1300" s="20" t="str">
        <f t="shared" si="84"/>
        <v/>
      </c>
      <c r="AR1300" s="21"/>
    </row>
    <row r="1301" spans="2:44" ht="31.5" x14ac:dyDescent="0.5">
      <c r="B1301" s="1"/>
      <c r="C1301" s="15"/>
      <c r="D1301" s="16"/>
      <c r="E1301" s="15"/>
      <c r="F1301" s="17"/>
      <c r="G1301" s="8"/>
      <c r="H1301" s="8"/>
      <c r="I1301" s="8"/>
      <c r="J1301" s="8"/>
      <c r="K1301" s="8"/>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4"/>
      <c r="AM1301" s="5" t="str">
        <f t="shared" si="81"/>
        <v/>
      </c>
      <c r="AN1301" s="5" t="str">
        <f t="shared" si="82"/>
        <v/>
      </c>
      <c r="AO1301" s="18" t="str">
        <f t="shared" si="83"/>
        <v/>
      </c>
      <c r="AP1301" s="19"/>
      <c r="AQ1301" s="20" t="str">
        <f t="shared" si="84"/>
        <v/>
      </c>
      <c r="AR1301" s="21"/>
    </row>
    <row r="1302" spans="2:44" ht="31.5" x14ac:dyDescent="0.5">
      <c r="B1302" s="1"/>
      <c r="C1302" s="15"/>
      <c r="D1302" s="16"/>
      <c r="E1302" s="15"/>
      <c r="F1302" s="17"/>
      <c r="G1302" s="8"/>
      <c r="H1302" s="8"/>
      <c r="I1302" s="8"/>
      <c r="J1302" s="8"/>
      <c r="K1302" s="8"/>
      <c r="L1302" s="8"/>
      <c r="M1302" s="8"/>
      <c r="N1302" s="8"/>
      <c r="O1302" s="8"/>
      <c r="P1302" s="8"/>
      <c r="Q1302" s="8"/>
      <c r="R1302" s="8"/>
      <c r="S1302" s="8"/>
      <c r="T1302" s="8"/>
      <c r="U1302" s="8"/>
      <c r="V1302" s="8"/>
      <c r="W1302" s="8"/>
      <c r="X1302" s="8"/>
      <c r="Y1302" s="8"/>
      <c r="Z1302" s="8"/>
      <c r="AA1302" s="8"/>
      <c r="AB1302" s="8"/>
      <c r="AC1302" s="8"/>
      <c r="AD1302" s="8"/>
      <c r="AE1302" s="8"/>
      <c r="AF1302" s="8"/>
      <c r="AG1302" s="8"/>
      <c r="AH1302" s="8"/>
      <c r="AI1302" s="8"/>
      <c r="AJ1302" s="8"/>
      <c r="AK1302" s="8"/>
      <c r="AL1302" s="4"/>
      <c r="AM1302" s="5" t="str">
        <f t="shared" si="81"/>
        <v/>
      </c>
      <c r="AN1302" s="5" t="str">
        <f t="shared" si="82"/>
        <v/>
      </c>
      <c r="AO1302" s="18" t="str">
        <f t="shared" si="83"/>
        <v/>
      </c>
      <c r="AP1302" s="19"/>
      <c r="AQ1302" s="20" t="str">
        <f t="shared" si="84"/>
        <v/>
      </c>
      <c r="AR1302" s="21"/>
    </row>
    <row r="1303" spans="2:44" ht="31.5" x14ac:dyDescent="0.5">
      <c r="B1303" s="1"/>
      <c r="C1303" s="15"/>
      <c r="D1303" s="16"/>
      <c r="E1303" s="15"/>
      <c r="F1303" s="17"/>
      <c r="G1303" s="8"/>
      <c r="H1303" s="8"/>
      <c r="I1303" s="8"/>
      <c r="J1303" s="8"/>
      <c r="K1303" s="8"/>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4"/>
      <c r="AM1303" s="5" t="str">
        <f t="shared" si="81"/>
        <v/>
      </c>
      <c r="AN1303" s="5" t="str">
        <f t="shared" si="82"/>
        <v/>
      </c>
      <c r="AO1303" s="18" t="str">
        <f t="shared" si="83"/>
        <v/>
      </c>
      <c r="AP1303" s="19"/>
      <c r="AQ1303" s="20" t="str">
        <f t="shared" si="84"/>
        <v/>
      </c>
      <c r="AR1303" s="21"/>
    </row>
    <row r="1304" spans="2:44" ht="31.5" x14ac:dyDescent="0.5">
      <c r="B1304" s="1"/>
      <c r="C1304" s="15"/>
      <c r="D1304" s="16"/>
      <c r="E1304" s="15"/>
      <c r="F1304" s="17"/>
      <c r="G1304" s="8"/>
      <c r="H1304" s="8"/>
      <c r="I1304" s="8"/>
      <c r="J1304" s="8"/>
      <c r="K1304" s="8"/>
      <c r="L1304" s="8"/>
      <c r="M1304" s="8"/>
      <c r="N1304" s="8"/>
      <c r="O1304" s="8"/>
      <c r="P1304" s="8"/>
      <c r="Q1304" s="8"/>
      <c r="R1304" s="8"/>
      <c r="S1304" s="8"/>
      <c r="T1304" s="8"/>
      <c r="U1304" s="8"/>
      <c r="V1304" s="8"/>
      <c r="W1304" s="8"/>
      <c r="X1304" s="8"/>
      <c r="Y1304" s="8"/>
      <c r="Z1304" s="8"/>
      <c r="AA1304" s="8"/>
      <c r="AB1304" s="8"/>
      <c r="AC1304" s="8"/>
      <c r="AD1304" s="8"/>
      <c r="AE1304" s="8"/>
      <c r="AF1304" s="8"/>
      <c r="AG1304" s="8"/>
      <c r="AH1304" s="8"/>
      <c r="AI1304" s="8"/>
      <c r="AJ1304" s="8"/>
      <c r="AK1304" s="8"/>
      <c r="AL1304" s="4"/>
      <c r="AM1304" s="5" t="str">
        <f t="shared" si="81"/>
        <v/>
      </c>
      <c r="AN1304" s="5" t="str">
        <f t="shared" si="82"/>
        <v/>
      </c>
      <c r="AO1304" s="18" t="str">
        <f t="shared" si="83"/>
        <v/>
      </c>
      <c r="AP1304" s="19"/>
      <c r="AQ1304" s="20" t="str">
        <f t="shared" si="84"/>
        <v/>
      </c>
      <c r="AR1304" s="21"/>
    </row>
    <row r="1305" spans="2:44" ht="31.5" x14ac:dyDescent="0.5">
      <c r="B1305" s="1"/>
      <c r="C1305" s="15"/>
      <c r="D1305" s="16"/>
      <c r="E1305" s="15"/>
      <c r="F1305" s="17"/>
      <c r="G1305" s="8"/>
      <c r="H1305" s="8"/>
      <c r="I1305" s="8"/>
      <c r="J1305" s="8"/>
      <c r="K1305" s="8"/>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4"/>
      <c r="AM1305" s="5" t="str">
        <f t="shared" si="81"/>
        <v/>
      </c>
      <c r="AN1305" s="5" t="str">
        <f t="shared" si="82"/>
        <v/>
      </c>
      <c r="AO1305" s="18" t="str">
        <f t="shared" si="83"/>
        <v/>
      </c>
      <c r="AP1305" s="19"/>
      <c r="AQ1305" s="20" t="str">
        <f t="shared" si="84"/>
        <v/>
      </c>
      <c r="AR1305" s="21"/>
    </row>
    <row r="1306" spans="2:44" ht="31.5" x14ac:dyDescent="0.5">
      <c r="B1306" s="1"/>
      <c r="C1306" s="15"/>
      <c r="D1306" s="16"/>
      <c r="E1306" s="15"/>
      <c r="F1306" s="17"/>
      <c r="G1306" s="8"/>
      <c r="H1306" s="8"/>
      <c r="I1306" s="8"/>
      <c r="J1306" s="8"/>
      <c r="K1306" s="8"/>
      <c r="L1306" s="8"/>
      <c r="M1306" s="8"/>
      <c r="N1306" s="8"/>
      <c r="O1306" s="8"/>
      <c r="P1306" s="8"/>
      <c r="Q1306" s="8"/>
      <c r="R1306" s="8"/>
      <c r="S1306" s="8"/>
      <c r="T1306" s="8"/>
      <c r="U1306" s="8"/>
      <c r="V1306" s="8"/>
      <c r="W1306" s="8"/>
      <c r="X1306" s="8"/>
      <c r="Y1306" s="8"/>
      <c r="Z1306" s="8"/>
      <c r="AA1306" s="8"/>
      <c r="AB1306" s="8"/>
      <c r="AC1306" s="8"/>
      <c r="AD1306" s="8"/>
      <c r="AE1306" s="8"/>
      <c r="AF1306" s="8"/>
      <c r="AG1306" s="8"/>
      <c r="AH1306" s="8"/>
      <c r="AI1306" s="8"/>
      <c r="AJ1306" s="8"/>
      <c r="AK1306" s="8"/>
      <c r="AL1306" s="4"/>
      <c r="AM1306" s="5" t="str">
        <f t="shared" si="81"/>
        <v/>
      </c>
      <c r="AN1306" s="5" t="str">
        <f t="shared" si="82"/>
        <v/>
      </c>
      <c r="AO1306" s="18" t="str">
        <f t="shared" si="83"/>
        <v/>
      </c>
      <c r="AP1306" s="19"/>
      <c r="AQ1306" s="20" t="str">
        <f t="shared" si="84"/>
        <v/>
      </c>
      <c r="AR1306" s="21"/>
    </row>
    <row r="1307" spans="2:44" ht="31.5" x14ac:dyDescent="0.5">
      <c r="B1307" s="1"/>
      <c r="C1307" s="15"/>
      <c r="D1307" s="16"/>
      <c r="E1307" s="15"/>
      <c r="F1307" s="17"/>
      <c r="G1307" s="8"/>
      <c r="H1307" s="8"/>
      <c r="I1307" s="8"/>
      <c r="J1307" s="8"/>
      <c r="K1307" s="8"/>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4"/>
      <c r="AM1307" s="5" t="str">
        <f t="shared" si="81"/>
        <v/>
      </c>
      <c r="AN1307" s="5" t="str">
        <f t="shared" si="82"/>
        <v/>
      </c>
      <c r="AO1307" s="18" t="str">
        <f t="shared" si="83"/>
        <v/>
      </c>
      <c r="AP1307" s="19"/>
      <c r="AQ1307" s="20" t="str">
        <f t="shared" si="84"/>
        <v/>
      </c>
      <c r="AR1307" s="21"/>
    </row>
    <row r="1308" spans="2:44" ht="31.5" x14ac:dyDescent="0.5">
      <c r="B1308" s="1"/>
      <c r="C1308" s="15"/>
      <c r="D1308" s="16"/>
      <c r="E1308" s="15"/>
      <c r="F1308" s="17"/>
      <c r="G1308" s="8"/>
      <c r="H1308" s="8"/>
      <c r="I1308" s="8"/>
      <c r="J1308" s="8"/>
      <c r="K1308" s="8"/>
      <c r="L1308" s="8"/>
      <c r="M1308" s="8"/>
      <c r="N1308" s="8"/>
      <c r="O1308" s="8"/>
      <c r="P1308" s="8"/>
      <c r="Q1308" s="8"/>
      <c r="R1308" s="8"/>
      <c r="S1308" s="8"/>
      <c r="T1308" s="8"/>
      <c r="U1308" s="8"/>
      <c r="V1308" s="8"/>
      <c r="W1308" s="8"/>
      <c r="X1308" s="8"/>
      <c r="Y1308" s="8"/>
      <c r="Z1308" s="8"/>
      <c r="AA1308" s="8"/>
      <c r="AB1308" s="8"/>
      <c r="AC1308" s="8"/>
      <c r="AD1308" s="8"/>
      <c r="AE1308" s="8"/>
      <c r="AF1308" s="8"/>
      <c r="AG1308" s="8"/>
      <c r="AH1308" s="8"/>
      <c r="AI1308" s="8"/>
      <c r="AJ1308" s="8"/>
      <c r="AK1308" s="8"/>
      <c r="AL1308" s="4"/>
      <c r="AM1308" s="5" t="str">
        <f t="shared" si="81"/>
        <v/>
      </c>
      <c r="AN1308" s="5" t="str">
        <f t="shared" si="82"/>
        <v/>
      </c>
      <c r="AO1308" s="18" t="str">
        <f t="shared" si="83"/>
        <v/>
      </c>
      <c r="AP1308" s="19"/>
      <c r="AQ1308" s="20" t="str">
        <f t="shared" si="84"/>
        <v/>
      </c>
      <c r="AR1308" s="21"/>
    </row>
    <row r="1309" spans="2:44" ht="31.5" x14ac:dyDescent="0.5">
      <c r="B1309" s="1"/>
      <c r="C1309" s="15"/>
      <c r="D1309" s="16"/>
      <c r="E1309" s="15"/>
      <c r="F1309" s="17"/>
      <c r="G1309" s="8"/>
      <c r="H1309" s="8"/>
      <c r="I1309" s="8"/>
      <c r="J1309" s="8"/>
      <c r="K1309" s="8"/>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4"/>
      <c r="AM1309" s="5" t="str">
        <f t="shared" si="81"/>
        <v/>
      </c>
      <c r="AN1309" s="5" t="str">
        <f t="shared" si="82"/>
        <v/>
      </c>
      <c r="AO1309" s="18" t="str">
        <f t="shared" si="83"/>
        <v/>
      </c>
      <c r="AP1309" s="19"/>
      <c r="AQ1309" s="20" t="str">
        <f t="shared" si="84"/>
        <v/>
      </c>
      <c r="AR1309" s="21"/>
    </row>
    <row r="1310" spans="2:44" ht="31.5" x14ac:dyDescent="0.5">
      <c r="B1310" s="1"/>
      <c r="C1310" s="15"/>
      <c r="D1310" s="16"/>
      <c r="E1310" s="15"/>
      <c r="F1310" s="17"/>
      <c r="G1310" s="8"/>
      <c r="H1310" s="8"/>
      <c r="I1310" s="8"/>
      <c r="J1310" s="8"/>
      <c r="K1310" s="8"/>
      <c r="L1310" s="8"/>
      <c r="M1310" s="8"/>
      <c r="N1310" s="8"/>
      <c r="O1310" s="8"/>
      <c r="P1310" s="8"/>
      <c r="Q1310" s="8"/>
      <c r="R1310" s="8"/>
      <c r="S1310" s="8"/>
      <c r="T1310" s="8"/>
      <c r="U1310" s="8"/>
      <c r="V1310" s="8"/>
      <c r="W1310" s="8"/>
      <c r="X1310" s="8"/>
      <c r="Y1310" s="8"/>
      <c r="Z1310" s="8"/>
      <c r="AA1310" s="8"/>
      <c r="AB1310" s="8"/>
      <c r="AC1310" s="8"/>
      <c r="AD1310" s="8"/>
      <c r="AE1310" s="8"/>
      <c r="AF1310" s="8"/>
      <c r="AG1310" s="8"/>
      <c r="AH1310" s="8"/>
      <c r="AI1310" s="8"/>
      <c r="AJ1310" s="8"/>
      <c r="AK1310" s="8"/>
      <c r="AL1310" s="4"/>
      <c r="AM1310" s="5" t="str">
        <f t="shared" si="81"/>
        <v/>
      </c>
      <c r="AN1310" s="5" t="str">
        <f t="shared" si="82"/>
        <v/>
      </c>
      <c r="AO1310" s="18" t="str">
        <f t="shared" si="83"/>
        <v/>
      </c>
      <c r="AP1310" s="19"/>
      <c r="AQ1310" s="20" t="str">
        <f t="shared" si="84"/>
        <v/>
      </c>
      <c r="AR1310" s="21"/>
    </row>
    <row r="1311" spans="2:44" ht="31.5" x14ac:dyDescent="0.5">
      <c r="B1311" s="1"/>
      <c r="C1311" s="15"/>
      <c r="D1311" s="16"/>
      <c r="E1311" s="15"/>
      <c r="F1311" s="17"/>
      <c r="G1311" s="8"/>
      <c r="H1311" s="8"/>
      <c r="I1311" s="8"/>
      <c r="J1311" s="8"/>
      <c r="K1311" s="8"/>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4"/>
      <c r="AM1311" s="5" t="str">
        <f t="shared" si="81"/>
        <v/>
      </c>
      <c r="AN1311" s="5" t="str">
        <f t="shared" si="82"/>
        <v/>
      </c>
      <c r="AO1311" s="18" t="str">
        <f t="shared" si="83"/>
        <v/>
      </c>
      <c r="AP1311" s="19"/>
      <c r="AQ1311" s="20" t="str">
        <f t="shared" si="84"/>
        <v/>
      </c>
      <c r="AR1311" s="21"/>
    </row>
    <row r="1312" spans="2:44" ht="31.5" x14ac:dyDescent="0.5">
      <c r="B1312" s="1"/>
      <c r="C1312" s="15"/>
      <c r="D1312" s="16"/>
      <c r="E1312" s="15"/>
      <c r="F1312" s="17"/>
      <c r="G1312" s="8"/>
      <c r="H1312" s="8"/>
      <c r="I1312" s="8"/>
      <c r="J1312" s="8"/>
      <c r="K1312" s="8"/>
      <c r="L1312" s="8"/>
      <c r="M1312" s="8"/>
      <c r="N1312" s="8"/>
      <c r="O1312" s="8"/>
      <c r="P1312" s="8"/>
      <c r="Q1312" s="8"/>
      <c r="R1312" s="8"/>
      <c r="S1312" s="8"/>
      <c r="T1312" s="8"/>
      <c r="U1312" s="8"/>
      <c r="V1312" s="8"/>
      <c r="W1312" s="8"/>
      <c r="X1312" s="8"/>
      <c r="Y1312" s="8"/>
      <c r="Z1312" s="8"/>
      <c r="AA1312" s="8"/>
      <c r="AB1312" s="8"/>
      <c r="AC1312" s="8"/>
      <c r="AD1312" s="8"/>
      <c r="AE1312" s="8"/>
      <c r="AF1312" s="8"/>
      <c r="AG1312" s="8"/>
      <c r="AH1312" s="8"/>
      <c r="AI1312" s="8"/>
      <c r="AJ1312" s="8"/>
      <c r="AK1312" s="8"/>
      <c r="AL1312" s="4"/>
      <c r="AM1312" s="5" t="str">
        <f t="shared" si="81"/>
        <v/>
      </c>
      <c r="AN1312" s="5" t="str">
        <f t="shared" si="82"/>
        <v/>
      </c>
      <c r="AO1312" s="18" t="str">
        <f t="shared" si="83"/>
        <v/>
      </c>
      <c r="AP1312" s="19"/>
      <c r="AQ1312" s="20" t="str">
        <f t="shared" si="84"/>
        <v/>
      </c>
      <c r="AR1312" s="21"/>
    </row>
    <row r="1313" spans="2:44" ht="31.5" x14ac:dyDescent="0.5">
      <c r="B1313" s="1"/>
      <c r="C1313" s="15"/>
      <c r="D1313" s="16"/>
      <c r="E1313" s="15"/>
      <c r="F1313" s="17"/>
      <c r="G1313" s="8"/>
      <c r="H1313" s="8"/>
      <c r="I1313" s="8"/>
      <c r="J1313" s="8"/>
      <c r="K1313" s="8"/>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4"/>
      <c r="AM1313" s="5" t="str">
        <f t="shared" si="81"/>
        <v/>
      </c>
      <c r="AN1313" s="5" t="str">
        <f t="shared" si="82"/>
        <v/>
      </c>
      <c r="AO1313" s="18" t="str">
        <f t="shared" si="83"/>
        <v/>
      </c>
      <c r="AP1313" s="19"/>
      <c r="AQ1313" s="20" t="str">
        <f t="shared" si="84"/>
        <v/>
      </c>
      <c r="AR1313" s="21"/>
    </row>
    <row r="1314" spans="2:44" ht="31.5" x14ac:dyDescent="0.5">
      <c r="B1314" s="1"/>
      <c r="C1314" s="15"/>
      <c r="D1314" s="16"/>
      <c r="E1314" s="15"/>
      <c r="F1314" s="17"/>
      <c r="G1314" s="8"/>
      <c r="H1314" s="8"/>
      <c r="I1314" s="8"/>
      <c r="J1314" s="8"/>
      <c r="K1314" s="8"/>
      <c r="L1314" s="8"/>
      <c r="M1314" s="8"/>
      <c r="N1314" s="8"/>
      <c r="O1314" s="8"/>
      <c r="P1314" s="8"/>
      <c r="Q1314" s="8"/>
      <c r="R1314" s="8"/>
      <c r="S1314" s="8"/>
      <c r="T1314" s="8"/>
      <c r="U1314" s="8"/>
      <c r="V1314" s="8"/>
      <c r="W1314" s="8"/>
      <c r="X1314" s="8"/>
      <c r="Y1314" s="8"/>
      <c r="Z1314" s="8"/>
      <c r="AA1314" s="8"/>
      <c r="AB1314" s="8"/>
      <c r="AC1314" s="8"/>
      <c r="AD1314" s="8"/>
      <c r="AE1314" s="8"/>
      <c r="AF1314" s="8"/>
      <c r="AG1314" s="8"/>
      <c r="AH1314" s="8"/>
      <c r="AI1314" s="8"/>
      <c r="AJ1314" s="8"/>
      <c r="AK1314" s="8"/>
      <c r="AL1314" s="4"/>
      <c r="AM1314" s="5" t="str">
        <f t="shared" si="81"/>
        <v/>
      </c>
      <c r="AN1314" s="5" t="str">
        <f t="shared" si="82"/>
        <v/>
      </c>
      <c r="AO1314" s="18" t="str">
        <f t="shared" si="83"/>
        <v/>
      </c>
      <c r="AP1314" s="19"/>
      <c r="AQ1314" s="20" t="str">
        <f t="shared" si="84"/>
        <v/>
      </c>
      <c r="AR1314" s="21"/>
    </row>
    <row r="1315" spans="2:44" ht="31.5" x14ac:dyDescent="0.5">
      <c r="B1315" s="1"/>
      <c r="C1315" s="15"/>
      <c r="D1315" s="16"/>
      <c r="E1315" s="15"/>
      <c r="F1315" s="17"/>
      <c r="G1315" s="8"/>
      <c r="H1315" s="8"/>
      <c r="I1315" s="8"/>
      <c r="J1315" s="8"/>
      <c r="K1315" s="8"/>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4"/>
      <c r="AM1315" s="5" t="str">
        <f t="shared" si="81"/>
        <v/>
      </c>
      <c r="AN1315" s="5" t="str">
        <f t="shared" si="82"/>
        <v/>
      </c>
      <c r="AO1315" s="18" t="str">
        <f t="shared" si="83"/>
        <v/>
      </c>
      <c r="AP1315" s="19"/>
      <c r="AQ1315" s="20" t="str">
        <f t="shared" si="84"/>
        <v/>
      </c>
      <c r="AR1315" s="21"/>
    </row>
    <row r="1316" spans="2:44" ht="31.5" x14ac:dyDescent="0.5">
      <c r="B1316" s="1"/>
      <c r="C1316" s="15"/>
      <c r="D1316" s="16"/>
      <c r="E1316" s="15"/>
      <c r="F1316" s="17"/>
      <c r="G1316" s="8"/>
      <c r="H1316" s="8"/>
      <c r="I1316" s="8"/>
      <c r="J1316" s="8"/>
      <c r="K1316" s="8"/>
      <c r="L1316" s="8"/>
      <c r="M1316" s="8"/>
      <c r="N1316" s="8"/>
      <c r="O1316" s="8"/>
      <c r="P1316" s="8"/>
      <c r="Q1316" s="8"/>
      <c r="R1316" s="8"/>
      <c r="S1316" s="8"/>
      <c r="T1316" s="8"/>
      <c r="U1316" s="8"/>
      <c r="V1316" s="8"/>
      <c r="W1316" s="8"/>
      <c r="X1316" s="8"/>
      <c r="Y1316" s="8"/>
      <c r="Z1316" s="8"/>
      <c r="AA1316" s="8"/>
      <c r="AB1316" s="8"/>
      <c r="AC1316" s="8"/>
      <c r="AD1316" s="8"/>
      <c r="AE1316" s="8"/>
      <c r="AF1316" s="8"/>
      <c r="AG1316" s="8"/>
      <c r="AH1316" s="8"/>
      <c r="AI1316" s="8"/>
      <c r="AJ1316" s="8"/>
      <c r="AK1316" s="8"/>
      <c r="AL1316" s="4"/>
      <c r="AM1316" s="5" t="str">
        <f t="shared" si="81"/>
        <v/>
      </c>
      <c r="AN1316" s="5" t="str">
        <f t="shared" si="82"/>
        <v/>
      </c>
      <c r="AO1316" s="18" t="str">
        <f t="shared" si="83"/>
        <v/>
      </c>
      <c r="AP1316" s="19"/>
      <c r="AQ1316" s="20" t="str">
        <f t="shared" si="84"/>
        <v/>
      </c>
      <c r="AR1316" s="21"/>
    </row>
    <row r="1317" spans="2:44" ht="31.5" x14ac:dyDescent="0.5">
      <c r="B1317" s="1"/>
      <c r="C1317" s="15"/>
      <c r="D1317" s="16"/>
      <c r="E1317" s="15"/>
      <c r="F1317" s="17"/>
      <c r="G1317" s="8"/>
      <c r="H1317" s="8"/>
      <c r="I1317" s="8"/>
      <c r="J1317" s="8"/>
      <c r="K1317" s="8"/>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4"/>
      <c r="AM1317" s="5" t="str">
        <f t="shared" si="81"/>
        <v/>
      </c>
      <c r="AN1317" s="5" t="str">
        <f t="shared" si="82"/>
        <v/>
      </c>
      <c r="AO1317" s="18" t="str">
        <f t="shared" si="83"/>
        <v/>
      </c>
      <c r="AP1317" s="19"/>
      <c r="AQ1317" s="20" t="str">
        <f t="shared" si="84"/>
        <v/>
      </c>
      <c r="AR1317" s="21"/>
    </row>
    <row r="1318" spans="2:44" ht="31.5" x14ac:dyDescent="0.5">
      <c r="B1318" s="1"/>
      <c r="C1318" s="15"/>
      <c r="D1318" s="16"/>
      <c r="E1318" s="15"/>
      <c r="F1318" s="17"/>
      <c r="G1318" s="8"/>
      <c r="H1318" s="8"/>
      <c r="I1318" s="8"/>
      <c r="J1318" s="8"/>
      <c r="K1318" s="8"/>
      <c r="L1318" s="8"/>
      <c r="M1318" s="8"/>
      <c r="N1318" s="8"/>
      <c r="O1318" s="8"/>
      <c r="P1318" s="8"/>
      <c r="Q1318" s="8"/>
      <c r="R1318" s="8"/>
      <c r="S1318" s="8"/>
      <c r="T1318" s="8"/>
      <c r="U1318" s="8"/>
      <c r="V1318" s="8"/>
      <c r="W1318" s="8"/>
      <c r="X1318" s="8"/>
      <c r="Y1318" s="8"/>
      <c r="Z1318" s="8"/>
      <c r="AA1318" s="8"/>
      <c r="AB1318" s="8"/>
      <c r="AC1318" s="8"/>
      <c r="AD1318" s="8"/>
      <c r="AE1318" s="8"/>
      <c r="AF1318" s="8"/>
      <c r="AG1318" s="8"/>
      <c r="AH1318" s="8"/>
      <c r="AI1318" s="8"/>
      <c r="AJ1318" s="8"/>
      <c r="AK1318" s="8"/>
      <c r="AL1318" s="4"/>
      <c r="AM1318" s="5" t="str">
        <f t="shared" si="81"/>
        <v/>
      </c>
      <c r="AN1318" s="5" t="str">
        <f t="shared" si="82"/>
        <v/>
      </c>
      <c r="AO1318" s="18" t="str">
        <f t="shared" si="83"/>
        <v/>
      </c>
      <c r="AP1318" s="19"/>
      <c r="AQ1318" s="20" t="str">
        <f t="shared" si="84"/>
        <v/>
      </c>
      <c r="AR1318" s="21"/>
    </row>
    <row r="1319" spans="2:44" ht="31.5" x14ac:dyDescent="0.5">
      <c r="B1319" s="1"/>
      <c r="C1319" s="15"/>
      <c r="D1319" s="16"/>
      <c r="E1319" s="15"/>
      <c r="F1319" s="17"/>
      <c r="G1319" s="8"/>
      <c r="H1319" s="8"/>
      <c r="I1319" s="8"/>
      <c r="J1319" s="8"/>
      <c r="K1319" s="8"/>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4"/>
      <c r="AM1319" s="5" t="str">
        <f t="shared" si="81"/>
        <v/>
      </c>
      <c r="AN1319" s="5" t="str">
        <f t="shared" si="82"/>
        <v/>
      </c>
      <c r="AO1319" s="18" t="str">
        <f t="shared" si="83"/>
        <v/>
      </c>
      <c r="AP1319" s="19"/>
      <c r="AQ1319" s="20" t="str">
        <f t="shared" si="84"/>
        <v/>
      </c>
      <c r="AR1319" s="21"/>
    </row>
    <row r="1320" spans="2:44" ht="31.5" x14ac:dyDescent="0.5">
      <c r="B1320" s="1"/>
      <c r="C1320" s="15"/>
      <c r="D1320" s="16"/>
      <c r="E1320" s="15"/>
      <c r="F1320" s="17"/>
      <c r="G1320" s="8"/>
      <c r="H1320" s="8"/>
      <c r="I1320" s="8"/>
      <c r="J1320" s="8"/>
      <c r="K1320" s="8"/>
      <c r="L1320" s="8"/>
      <c r="M1320" s="8"/>
      <c r="N1320" s="8"/>
      <c r="O1320" s="8"/>
      <c r="P1320" s="8"/>
      <c r="Q1320" s="8"/>
      <c r="R1320" s="8"/>
      <c r="S1320" s="8"/>
      <c r="T1320" s="8"/>
      <c r="U1320" s="8"/>
      <c r="V1320" s="8"/>
      <c r="W1320" s="8"/>
      <c r="X1320" s="8"/>
      <c r="Y1320" s="8"/>
      <c r="Z1320" s="8"/>
      <c r="AA1320" s="8"/>
      <c r="AB1320" s="8"/>
      <c r="AC1320" s="8"/>
      <c r="AD1320" s="8"/>
      <c r="AE1320" s="8"/>
      <c r="AF1320" s="8"/>
      <c r="AG1320" s="8"/>
      <c r="AH1320" s="8"/>
      <c r="AI1320" s="8"/>
      <c r="AJ1320" s="8"/>
      <c r="AK1320" s="8"/>
      <c r="AL1320" s="4"/>
      <c r="AM1320" s="5" t="str">
        <f t="shared" si="81"/>
        <v/>
      </c>
      <c r="AN1320" s="5" t="str">
        <f t="shared" si="82"/>
        <v/>
      </c>
      <c r="AO1320" s="18" t="str">
        <f t="shared" si="83"/>
        <v/>
      </c>
      <c r="AP1320" s="19"/>
      <c r="AQ1320" s="20" t="str">
        <f t="shared" si="84"/>
        <v/>
      </c>
      <c r="AR1320" s="21"/>
    </row>
    <row r="1321" spans="2:44" ht="31.5" x14ac:dyDescent="0.5">
      <c r="B1321" s="1"/>
      <c r="C1321" s="15"/>
      <c r="D1321" s="16"/>
      <c r="E1321" s="15"/>
      <c r="F1321" s="17"/>
      <c r="G1321" s="8"/>
      <c r="H1321" s="8"/>
      <c r="I1321" s="8"/>
      <c r="J1321" s="8"/>
      <c r="K1321" s="8"/>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4"/>
      <c r="AM1321" s="5" t="str">
        <f t="shared" si="81"/>
        <v/>
      </c>
      <c r="AN1321" s="5" t="str">
        <f t="shared" si="82"/>
        <v/>
      </c>
      <c r="AO1321" s="18" t="str">
        <f t="shared" si="83"/>
        <v/>
      </c>
      <c r="AP1321" s="19"/>
      <c r="AQ1321" s="20" t="str">
        <f t="shared" si="84"/>
        <v/>
      </c>
      <c r="AR1321" s="21"/>
    </row>
    <row r="1322" spans="2:44" ht="31.5" x14ac:dyDescent="0.5">
      <c r="B1322" s="1"/>
      <c r="C1322" s="15"/>
      <c r="D1322" s="16"/>
      <c r="E1322" s="15"/>
      <c r="F1322" s="17"/>
      <c r="G1322" s="8"/>
      <c r="H1322" s="8"/>
      <c r="I1322" s="8"/>
      <c r="J1322" s="8"/>
      <c r="K1322" s="8"/>
      <c r="L1322" s="8"/>
      <c r="M1322" s="8"/>
      <c r="N1322" s="8"/>
      <c r="O1322" s="8"/>
      <c r="P1322" s="8"/>
      <c r="Q1322" s="8"/>
      <c r="R1322" s="8"/>
      <c r="S1322" s="8"/>
      <c r="T1322" s="8"/>
      <c r="U1322" s="8"/>
      <c r="V1322" s="8"/>
      <c r="W1322" s="8"/>
      <c r="X1322" s="8"/>
      <c r="Y1322" s="8"/>
      <c r="Z1322" s="8"/>
      <c r="AA1322" s="8"/>
      <c r="AB1322" s="8"/>
      <c r="AC1322" s="8"/>
      <c r="AD1322" s="8"/>
      <c r="AE1322" s="8"/>
      <c r="AF1322" s="8"/>
      <c r="AG1322" s="8"/>
      <c r="AH1322" s="8"/>
      <c r="AI1322" s="8"/>
      <c r="AJ1322" s="8"/>
      <c r="AK1322" s="8"/>
      <c r="AL1322" s="4"/>
      <c r="AM1322" s="5" t="str">
        <f t="shared" si="81"/>
        <v/>
      </c>
      <c r="AN1322" s="5" t="str">
        <f t="shared" si="82"/>
        <v/>
      </c>
      <c r="AO1322" s="18" t="str">
        <f t="shared" si="83"/>
        <v/>
      </c>
      <c r="AP1322" s="19"/>
      <c r="AQ1322" s="20" t="str">
        <f t="shared" si="84"/>
        <v/>
      </c>
      <c r="AR1322" s="21"/>
    </row>
    <row r="1323" spans="2:44" ht="31.5" x14ac:dyDescent="0.5">
      <c r="B1323" s="1"/>
      <c r="C1323" s="15"/>
      <c r="D1323" s="16"/>
      <c r="E1323" s="15"/>
      <c r="F1323" s="17"/>
      <c r="G1323" s="8"/>
      <c r="H1323" s="8"/>
      <c r="I1323" s="8"/>
      <c r="J1323" s="8"/>
      <c r="K1323" s="8"/>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4"/>
      <c r="AM1323" s="5" t="str">
        <f t="shared" si="81"/>
        <v/>
      </c>
      <c r="AN1323" s="5" t="str">
        <f t="shared" si="82"/>
        <v/>
      </c>
      <c r="AO1323" s="18" t="str">
        <f t="shared" si="83"/>
        <v/>
      </c>
      <c r="AP1323" s="19"/>
      <c r="AQ1323" s="20" t="str">
        <f t="shared" si="84"/>
        <v/>
      </c>
      <c r="AR1323" s="21"/>
    </row>
    <row r="1324" spans="2:44" ht="31.5" x14ac:dyDescent="0.5">
      <c r="B1324" s="1"/>
      <c r="C1324" s="15"/>
      <c r="D1324" s="16"/>
      <c r="E1324" s="15"/>
      <c r="F1324" s="17"/>
      <c r="G1324" s="8"/>
      <c r="H1324" s="8"/>
      <c r="I1324" s="8"/>
      <c r="J1324" s="8"/>
      <c r="K1324" s="8"/>
      <c r="L1324" s="8"/>
      <c r="M1324" s="8"/>
      <c r="N1324" s="8"/>
      <c r="O1324" s="8"/>
      <c r="P1324" s="8"/>
      <c r="Q1324" s="8"/>
      <c r="R1324" s="8"/>
      <c r="S1324" s="8"/>
      <c r="T1324" s="8"/>
      <c r="U1324" s="8"/>
      <c r="V1324" s="8"/>
      <c r="W1324" s="8"/>
      <c r="X1324" s="8"/>
      <c r="Y1324" s="8"/>
      <c r="Z1324" s="8"/>
      <c r="AA1324" s="8"/>
      <c r="AB1324" s="8"/>
      <c r="AC1324" s="8"/>
      <c r="AD1324" s="8"/>
      <c r="AE1324" s="8"/>
      <c r="AF1324" s="8"/>
      <c r="AG1324" s="8"/>
      <c r="AH1324" s="8"/>
      <c r="AI1324" s="8"/>
      <c r="AJ1324" s="8"/>
      <c r="AK1324" s="8"/>
      <c r="AL1324" s="4"/>
      <c r="AM1324" s="5" t="str">
        <f t="shared" si="81"/>
        <v/>
      </c>
      <c r="AN1324" s="5" t="str">
        <f t="shared" si="82"/>
        <v/>
      </c>
      <c r="AO1324" s="18" t="str">
        <f t="shared" si="83"/>
        <v/>
      </c>
      <c r="AP1324" s="19"/>
      <c r="AQ1324" s="20" t="str">
        <f t="shared" si="84"/>
        <v/>
      </c>
      <c r="AR1324" s="21"/>
    </row>
    <row r="1325" spans="2:44" ht="31.5" x14ac:dyDescent="0.5">
      <c r="B1325" s="1"/>
      <c r="C1325" s="15"/>
      <c r="D1325" s="16"/>
      <c r="E1325" s="15"/>
      <c r="F1325" s="17"/>
      <c r="G1325" s="8"/>
      <c r="H1325" s="8"/>
      <c r="I1325" s="8"/>
      <c r="J1325" s="8"/>
      <c r="K1325" s="8"/>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4"/>
      <c r="AM1325" s="5" t="str">
        <f t="shared" si="81"/>
        <v/>
      </c>
      <c r="AN1325" s="5" t="str">
        <f t="shared" si="82"/>
        <v/>
      </c>
      <c r="AO1325" s="18" t="str">
        <f t="shared" si="83"/>
        <v/>
      </c>
      <c r="AP1325" s="19"/>
      <c r="AQ1325" s="20" t="str">
        <f t="shared" si="84"/>
        <v/>
      </c>
      <c r="AR1325" s="21"/>
    </row>
    <row r="1326" spans="2:44" ht="31.5" x14ac:dyDescent="0.5">
      <c r="B1326" s="1"/>
      <c r="C1326" s="15"/>
      <c r="D1326" s="16"/>
      <c r="E1326" s="15"/>
      <c r="F1326" s="17"/>
      <c r="G1326" s="8"/>
      <c r="H1326" s="8"/>
      <c r="I1326" s="8"/>
      <c r="J1326" s="8"/>
      <c r="K1326" s="8"/>
      <c r="L1326" s="8"/>
      <c r="M1326" s="8"/>
      <c r="N1326" s="8"/>
      <c r="O1326" s="8"/>
      <c r="P1326" s="8"/>
      <c r="Q1326" s="8"/>
      <c r="R1326" s="8"/>
      <c r="S1326" s="8"/>
      <c r="T1326" s="8"/>
      <c r="U1326" s="8"/>
      <c r="V1326" s="8"/>
      <c r="W1326" s="8"/>
      <c r="X1326" s="8"/>
      <c r="Y1326" s="8"/>
      <c r="Z1326" s="8"/>
      <c r="AA1326" s="8"/>
      <c r="AB1326" s="8"/>
      <c r="AC1326" s="8"/>
      <c r="AD1326" s="8"/>
      <c r="AE1326" s="8"/>
      <c r="AF1326" s="8"/>
      <c r="AG1326" s="8"/>
      <c r="AH1326" s="8"/>
      <c r="AI1326" s="8"/>
      <c r="AJ1326" s="8"/>
      <c r="AK1326" s="8"/>
      <c r="AL1326" s="4"/>
      <c r="AM1326" s="5" t="str">
        <f t="shared" si="81"/>
        <v/>
      </c>
      <c r="AN1326" s="5" t="str">
        <f t="shared" si="82"/>
        <v/>
      </c>
      <c r="AO1326" s="18" t="str">
        <f t="shared" si="83"/>
        <v/>
      </c>
      <c r="AP1326" s="19"/>
      <c r="AQ1326" s="20" t="str">
        <f t="shared" si="84"/>
        <v/>
      </c>
      <c r="AR1326" s="21"/>
    </row>
    <row r="1327" spans="2:44" ht="31.5" x14ac:dyDescent="0.5">
      <c r="B1327" s="1"/>
      <c r="C1327" s="15"/>
      <c r="D1327" s="16"/>
      <c r="E1327" s="15"/>
      <c r="F1327" s="17"/>
      <c r="G1327" s="8"/>
      <c r="H1327" s="8"/>
      <c r="I1327" s="8"/>
      <c r="J1327" s="8"/>
      <c r="K1327" s="8"/>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4"/>
      <c r="AM1327" s="5" t="str">
        <f t="shared" si="81"/>
        <v/>
      </c>
      <c r="AN1327" s="5" t="str">
        <f t="shared" si="82"/>
        <v/>
      </c>
      <c r="AO1327" s="18" t="str">
        <f t="shared" si="83"/>
        <v/>
      </c>
      <c r="AP1327" s="19"/>
      <c r="AQ1327" s="20" t="str">
        <f t="shared" si="84"/>
        <v/>
      </c>
      <c r="AR1327" s="21"/>
    </row>
    <row r="1328" spans="2:44" ht="31.5" x14ac:dyDescent="0.5">
      <c r="B1328" s="1"/>
      <c r="C1328" s="15"/>
      <c r="D1328" s="16"/>
      <c r="E1328" s="15"/>
      <c r="F1328" s="17"/>
      <c r="G1328" s="8"/>
      <c r="H1328" s="8"/>
      <c r="I1328" s="8"/>
      <c r="J1328" s="8"/>
      <c r="K1328" s="8"/>
      <c r="L1328" s="8"/>
      <c r="M1328" s="8"/>
      <c r="N1328" s="8"/>
      <c r="O1328" s="8"/>
      <c r="P1328" s="8"/>
      <c r="Q1328" s="8"/>
      <c r="R1328" s="8"/>
      <c r="S1328" s="8"/>
      <c r="T1328" s="8"/>
      <c r="U1328" s="8"/>
      <c r="V1328" s="8"/>
      <c r="W1328" s="8"/>
      <c r="X1328" s="8"/>
      <c r="Y1328" s="8"/>
      <c r="Z1328" s="8"/>
      <c r="AA1328" s="8"/>
      <c r="AB1328" s="8"/>
      <c r="AC1328" s="8"/>
      <c r="AD1328" s="8"/>
      <c r="AE1328" s="8"/>
      <c r="AF1328" s="8"/>
      <c r="AG1328" s="8"/>
      <c r="AH1328" s="8"/>
      <c r="AI1328" s="8"/>
      <c r="AJ1328" s="8"/>
      <c r="AK1328" s="8"/>
      <c r="AL1328" s="4"/>
      <c r="AM1328" s="5" t="str">
        <f t="shared" si="81"/>
        <v/>
      </c>
      <c r="AN1328" s="5" t="str">
        <f t="shared" si="82"/>
        <v/>
      </c>
      <c r="AO1328" s="18" t="str">
        <f t="shared" si="83"/>
        <v/>
      </c>
      <c r="AP1328" s="19"/>
      <c r="AQ1328" s="20" t="str">
        <f t="shared" si="84"/>
        <v/>
      </c>
      <c r="AR1328" s="21"/>
    </row>
    <row r="1329" spans="2:44" ht="31.5" x14ac:dyDescent="0.5">
      <c r="B1329" s="1"/>
      <c r="C1329" s="15"/>
      <c r="D1329" s="16"/>
      <c r="E1329" s="15"/>
      <c r="F1329" s="17"/>
      <c r="G1329" s="8"/>
      <c r="H1329" s="8"/>
      <c r="I1329" s="8"/>
      <c r="J1329" s="8"/>
      <c r="K1329" s="8"/>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4"/>
      <c r="AM1329" s="5" t="str">
        <f t="shared" si="81"/>
        <v/>
      </c>
      <c r="AN1329" s="5" t="str">
        <f t="shared" si="82"/>
        <v/>
      </c>
      <c r="AO1329" s="18" t="str">
        <f t="shared" si="83"/>
        <v/>
      </c>
      <c r="AP1329" s="19"/>
      <c r="AQ1329" s="20" t="str">
        <f t="shared" si="84"/>
        <v/>
      </c>
      <c r="AR1329" s="21"/>
    </row>
    <row r="1330" spans="2:44" ht="31.5" x14ac:dyDescent="0.5">
      <c r="B1330" s="1"/>
      <c r="C1330" s="15"/>
      <c r="D1330" s="16"/>
      <c r="E1330" s="15"/>
      <c r="F1330" s="17"/>
      <c r="G1330" s="8"/>
      <c r="H1330" s="8"/>
      <c r="I1330" s="8"/>
      <c r="J1330" s="8"/>
      <c r="K1330" s="8"/>
      <c r="L1330" s="8"/>
      <c r="M1330" s="8"/>
      <c r="N1330" s="8"/>
      <c r="O1330" s="8"/>
      <c r="P1330" s="8"/>
      <c r="Q1330" s="8"/>
      <c r="R1330" s="8"/>
      <c r="S1330" s="8"/>
      <c r="T1330" s="8"/>
      <c r="U1330" s="8"/>
      <c r="V1330" s="8"/>
      <c r="W1330" s="8"/>
      <c r="X1330" s="8"/>
      <c r="Y1330" s="8"/>
      <c r="Z1330" s="8"/>
      <c r="AA1330" s="8"/>
      <c r="AB1330" s="8"/>
      <c r="AC1330" s="8"/>
      <c r="AD1330" s="8"/>
      <c r="AE1330" s="8"/>
      <c r="AF1330" s="8"/>
      <c r="AG1330" s="8"/>
      <c r="AH1330" s="8"/>
      <c r="AI1330" s="8"/>
      <c r="AJ1330" s="8"/>
      <c r="AK1330" s="8"/>
      <c r="AL1330" s="4"/>
      <c r="AM1330" s="5" t="str">
        <f t="shared" si="81"/>
        <v/>
      </c>
      <c r="AN1330" s="5" t="str">
        <f t="shared" si="82"/>
        <v/>
      </c>
      <c r="AO1330" s="18" t="str">
        <f t="shared" si="83"/>
        <v/>
      </c>
      <c r="AP1330" s="19"/>
      <c r="AQ1330" s="20" t="str">
        <f t="shared" si="84"/>
        <v/>
      </c>
      <c r="AR1330" s="21"/>
    </row>
    <row r="1331" spans="2:44" ht="31.5" x14ac:dyDescent="0.5">
      <c r="B1331" s="1"/>
      <c r="C1331" s="15"/>
      <c r="D1331" s="16"/>
      <c r="E1331" s="15"/>
      <c r="F1331" s="17"/>
      <c r="G1331" s="8"/>
      <c r="H1331" s="8"/>
      <c r="I1331" s="8"/>
      <c r="J1331" s="8"/>
      <c r="K1331" s="8"/>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4"/>
      <c r="AM1331" s="5" t="str">
        <f t="shared" ref="AM1331:AM1394" si="85">IF($B1331="","",COUNTIF($G1331:$AK1331,"P"))</f>
        <v/>
      </c>
      <c r="AN1331" s="5" t="str">
        <f t="shared" ref="AN1331:AN1394" si="86">IF($B1331="","",COUNTIF($G1331:$AK1331,"AB"))</f>
        <v/>
      </c>
      <c r="AO1331" s="18" t="str">
        <f t="shared" ref="AO1331:AO1394" si="87">IF($B1331="","",SUMPRODUCT(--($G$11:$AK$11&lt;&gt;""),--($G$12:$AK$12&lt;&gt;"Sun")))</f>
        <v/>
      </c>
      <c r="AP1331" s="19"/>
      <c r="AQ1331" s="20" t="str">
        <f t="shared" ref="AQ1331:AQ1394" si="88">IF($B1331="","",IF(AO1331=0,"",AM1331/AO1331))</f>
        <v/>
      </c>
      <c r="AR1331" s="21"/>
    </row>
    <row r="1332" spans="2:44" ht="31.5" x14ac:dyDescent="0.5">
      <c r="B1332" s="1"/>
      <c r="C1332" s="15"/>
      <c r="D1332" s="16"/>
      <c r="E1332" s="15"/>
      <c r="F1332" s="17"/>
      <c r="G1332" s="8"/>
      <c r="H1332" s="8"/>
      <c r="I1332" s="8"/>
      <c r="J1332" s="8"/>
      <c r="K1332" s="8"/>
      <c r="L1332" s="8"/>
      <c r="M1332" s="8"/>
      <c r="N1332" s="8"/>
      <c r="O1332" s="8"/>
      <c r="P1332" s="8"/>
      <c r="Q1332" s="8"/>
      <c r="R1332" s="8"/>
      <c r="S1332" s="8"/>
      <c r="T1332" s="8"/>
      <c r="U1332" s="8"/>
      <c r="V1332" s="8"/>
      <c r="W1332" s="8"/>
      <c r="X1332" s="8"/>
      <c r="Y1332" s="8"/>
      <c r="Z1332" s="8"/>
      <c r="AA1332" s="8"/>
      <c r="AB1332" s="8"/>
      <c r="AC1332" s="8"/>
      <c r="AD1332" s="8"/>
      <c r="AE1332" s="8"/>
      <c r="AF1332" s="8"/>
      <c r="AG1332" s="8"/>
      <c r="AH1332" s="8"/>
      <c r="AI1332" s="8"/>
      <c r="AJ1332" s="8"/>
      <c r="AK1332" s="8"/>
      <c r="AL1332" s="4"/>
      <c r="AM1332" s="5" t="str">
        <f t="shared" si="85"/>
        <v/>
      </c>
      <c r="AN1332" s="5" t="str">
        <f t="shared" si="86"/>
        <v/>
      </c>
      <c r="AO1332" s="18" t="str">
        <f t="shared" si="87"/>
        <v/>
      </c>
      <c r="AP1332" s="19"/>
      <c r="AQ1332" s="20" t="str">
        <f t="shared" si="88"/>
        <v/>
      </c>
      <c r="AR1332" s="21"/>
    </row>
    <row r="1333" spans="2:44" ht="31.5" x14ac:dyDescent="0.5">
      <c r="B1333" s="1"/>
      <c r="C1333" s="15"/>
      <c r="D1333" s="16"/>
      <c r="E1333" s="15"/>
      <c r="F1333" s="17"/>
      <c r="G1333" s="8"/>
      <c r="H1333" s="8"/>
      <c r="I1333" s="8"/>
      <c r="J1333" s="8"/>
      <c r="K1333" s="8"/>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4"/>
      <c r="AM1333" s="5" t="str">
        <f t="shared" si="85"/>
        <v/>
      </c>
      <c r="AN1333" s="5" t="str">
        <f t="shared" si="86"/>
        <v/>
      </c>
      <c r="AO1333" s="18" t="str">
        <f t="shared" si="87"/>
        <v/>
      </c>
      <c r="AP1333" s="19"/>
      <c r="AQ1333" s="20" t="str">
        <f t="shared" si="88"/>
        <v/>
      </c>
      <c r="AR1333" s="21"/>
    </row>
    <row r="1334" spans="2:44" ht="31.5" x14ac:dyDescent="0.5">
      <c r="B1334" s="1"/>
      <c r="C1334" s="15"/>
      <c r="D1334" s="16"/>
      <c r="E1334" s="15"/>
      <c r="F1334" s="17"/>
      <c r="G1334" s="8"/>
      <c r="H1334" s="8"/>
      <c r="I1334" s="8"/>
      <c r="J1334" s="8"/>
      <c r="K1334" s="8"/>
      <c r="L1334" s="8"/>
      <c r="M1334" s="8"/>
      <c r="N1334" s="8"/>
      <c r="O1334" s="8"/>
      <c r="P1334" s="8"/>
      <c r="Q1334" s="8"/>
      <c r="R1334" s="8"/>
      <c r="S1334" s="8"/>
      <c r="T1334" s="8"/>
      <c r="U1334" s="8"/>
      <c r="V1334" s="8"/>
      <c r="W1334" s="8"/>
      <c r="X1334" s="8"/>
      <c r="Y1334" s="8"/>
      <c r="Z1334" s="8"/>
      <c r="AA1334" s="8"/>
      <c r="AB1334" s="8"/>
      <c r="AC1334" s="8"/>
      <c r="AD1334" s="8"/>
      <c r="AE1334" s="8"/>
      <c r="AF1334" s="8"/>
      <c r="AG1334" s="8"/>
      <c r="AH1334" s="8"/>
      <c r="AI1334" s="8"/>
      <c r="AJ1334" s="8"/>
      <c r="AK1334" s="8"/>
      <c r="AL1334" s="4"/>
      <c r="AM1334" s="5" t="str">
        <f t="shared" si="85"/>
        <v/>
      </c>
      <c r="AN1334" s="5" t="str">
        <f t="shared" si="86"/>
        <v/>
      </c>
      <c r="AO1334" s="18" t="str">
        <f t="shared" si="87"/>
        <v/>
      </c>
      <c r="AP1334" s="19"/>
      <c r="AQ1334" s="20" t="str">
        <f t="shared" si="88"/>
        <v/>
      </c>
      <c r="AR1334" s="21"/>
    </row>
    <row r="1335" spans="2:44" ht="31.5" x14ac:dyDescent="0.5">
      <c r="B1335" s="1"/>
      <c r="C1335" s="15"/>
      <c r="D1335" s="16"/>
      <c r="E1335" s="15"/>
      <c r="F1335" s="17"/>
      <c r="G1335" s="8"/>
      <c r="H1335" s="8"/>
      <c r="I1335" s="8"/>
      <c r="J1335" s="8"/>
      <c r="K1335" s="8"/>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4"/>
      <c r="AM1335" s="5" t="str">
        <f t="shared" si="85"/>
        <v/>
      </c>
      <c r="AN1335" s="5" t="str">
        <f t="shared" si="86"/>
        <v/>
      </c>
      <c r="AO1335" s="18" t="str">
        <f t="shared" si="87"/>
        <v/>
      </c>
      <c r="AP1335" s="19"/>
      <c r="AQ1335" s="20" t="str">
        <f t="shared" si="88"/>
        <v/>
      </c>
      <c r="AR1335" s="21"/>
    </row>
    <row r="1336" spans="2:44" ht="31.5" x14ac:dyDescent="0.5">
      <c r="B1336" s="1"/>
      <c r="C1336" s="15"/>
      <c r="D1336" s="16"/>
      <c r="E1336" s="15"/>
      <c r="F1336" s="17"/>
      <c r="G1336" s="8"/>
      <c r="H1336" s="8"/>
      <c r="I1336" s="8"/>
      <c r="J1336" s="8"/>
      <c r="K1336" s="8"/>
      <c r="L1336" s="8"/>
      <c r="M1336" s="8"/>
      <c r="N1336" s="8"/>
      <c r="O1336" s="8"/>
      <c r="P1336" s="8"/>
      <c r="Q1336" s="8"/>
      <c r="R1336" s="8"/>
      <c r="S1336" s="8"/>
      <c r="T1336" s="8"/>
      <c r="U1336" s="8"/>
      <c r="V1336" s="8"/>
      <c r="W1336" s="8"/>
      <c r="X1336" s="8"/>
      <c r="Y1336" s="8"/>
      <c r="Z1336" s="8"/>
      <c r="AA1336" s="8"/>
      <c r="AB1336" s="8"/>
      <c r="AC1336" s="8"/>
      <c r="AD1336" s="8"/>
      <c r="AE1336" s="8"/>
      <c r="AF1336" s="8"/>
      <c r="AG1336" s="8"/>
      <c r="AH1336" s="8"/>
      <c r="AI1336" s="8"/>
      <c r="AJ1336" s="8"/>
      <c r="AK1336" s="8"/>
      <c r="AL1336" s="4"/>
      <c r="AM1336" s="5" t="str">
        <f t="shared" si="85"/>
        <v/>
      </c>
      <c r="AN1336" s="5" t="str">
        <f t="shared" si="86"/>
        <v/>
      </c>
      <c r="AO1336" s="18" t="str">
        <f t="shared" si="87"/>
        <v/>
      </c>
      <c r="AP1336" s="19"/>
      <c r="AQ1336" s="20" t="str">
        <f t="shared" si="88"/>
        <v/>
      </c>
      <c r="AR1336" s="21"/>
    </row>
    <row r="1337" spans="2:44" ht="31.5" x14ac:dyDescent="0.5">
      <c r="B1337" s="1"/>
      <c r="C1337" s="15"/>
      <c r="D1337" s="16"/>
      <c r="E1337" s="15"/>
      <c r="F1337" s="17"/>
      <c r="G1337" s="8"/>
      <c r="H1337" s="8"/>
      <c r="I1337" s="8"/>
      <c r="J1337" s="8"/>
      <c r="K1337" s="8"/>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4"/>
      <c r="AM1337" s="5" t="str">
        <f t="shared" si="85"/>
        <v/>
      </c>
      <c r="AN1337" s="5" t="str">
        <f t="shared" si="86"/>
        <v/>
      </c>
      <c r="AO1337" s="18" t="str">
        <f t="shared" si="87"/>
        <v/>
      </c>
      <c r="AP1337" s="19"/>
      <c r="AQ1337" s="20" t="str">
        <f t="shared" si="88"/>
        <v/>
      </c>
      <c r="AR1337" s="21"/>
    </row>
    <row r="1338" spans="2:44" ht="31.5" x14ac:dyDescent="0.5">
      <c r="B1338" s="1"/>
      <c r="C1338" s="15"/>
      <c r="D1338" s="16"/>
      <c r="E1338" s="15"/>
      <c r="F1338" s="17"/>
      <c r="G1338" s="8"/>
      <c r="H1338" s="8"/>
      <c r="I1338" s="8"/>
      <c r="J1338" s="8"/>
      <c r="K1338" s="8"/>
      <c r="L1338" s="8"/>
      <c r="M1338" s="8"/>
      <c r="N1338" s="8"/>
      <c r="O1338" s="8"/>
      <c r="P1338" s="8"/>
      <c r="Q1338" s="8"/>
      <c r="R1338" s="8"/>
      <c r="S1338" s="8"/>
      <c r="T1338" s="8"/>
      <c r="U1338" s="8"/>
      <c r="V1338" s="8"/>
      <c r="W1338" s="8"/>
      <c r="X1338" s="8"/>
      <c r="Y1338" s="8"/>
      <c r="Z1338" s="8"/>
      <c r="AA1338" s="8"/>
      <c r="AB1338" s="8"/>
      <c r="AC1338" s="8"/>
      <c r="AD1338" s="8"/>
      <c r="AE1338" s="8"/>
      <c r="AF1338" s="8"/>
      <c r="AG1338" s="8"/>
      <c r="AH1338" s="8"/>
      <c r="AI1338" s="8"/>
      <c r="AJ1338" s="8"/>
      <c r="AK1338" s="8"/>
      <c r="AL1338" s="4"/>
      <c r="AM1338" s="5" t="str">
        <f t="shared" si="85"/>
        <v/>
      </c>
      <c r="AN1338" s="5" t="str">
        <f t="shared" si="86"/>
        <v/>
      </c>
      <c r="AO1338" s="18" t="str">
        <f t="shared" si="87"/>
        <v/>
      </c>
      <c r="AP1338" s="19"/>
      <c r="AQ1338" s="20" t="str">
        <f t="shared" si="88"/>
        <v/>
      </c>
      <c r="AR1338" s="21"/>
    </row>
    <row r="1339" spans="2:44" ht="31.5" x14ac:dyDescent="0.5">
      <c r="B1339" s="1"/>
      <c r="C1339" s="15"/>
      <c r="D1339" s="16"/>
      <c r="E1339" s="15"/>
      <c r="F1339" s="17"/>
      <c r="G1339" s="8"/>
      <c r="H1339" s="8"/>
      <c r="I1339" s="8"/>
      <c r="J1339" s="8"/>
      <c r="K1339" s="8"/>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4"/>
      <c r="AM1339" s="5" t="str">
        <f t="shared" si="85"/>
        <v/>
      </c>
      <c r="AN1339" s="5" t="str">
        <f t="shared" si="86"/>
        <v/>
      </c>
      <c r="AO1339" s="18" t="str">
        <f t="shared" si="87"/>
        <v/>
      </c>
      <c r="AP1339" s="19"/>
      <c r="AQ1339" s="20" t="str">
        <f t="shared" si="88"/>
        <v/>
      </c>
      <c r="AR1339" s="21"/>
    </row>
    <row r="1340" spans="2:44" ht="31.5" x14ac:dyDescent="0.5">
      <c r="B1340" s="1"/>
      <c r="C1340" s="15"/>
      <c r="D1340" s="16"/>
      <c r="E1340" s="15"/>
      <c r="F1340" s="17"/>
      <c r="G1340" s="8"/>
      <c r="H1340" s="8"/>
      <c r="I1340" s="8"/>
      <c r="J1340" s="8"/>
      <c r="K1340" s="8"/>
      <c r="L1340" s="8"/>
      <c r="M1340" s="8"/>
      <c r="N1340" s="8"/>
      <c r="O1340" s="8"/>
      <c r="P1340" s="8"/>
      <c r="Q1340" s="8"/>
      <c r="R1340" s="8"/>
      <c r="S1340" s="8"/>
      <c r="T1340" s="8"/>
      <c r="U1340" s="8"/>
      <c r="V1340" s="8"/>
      <c r="W1340" s="8"/>
      <c r="X1340" s="8"/>
      <c r="Y1340" s="8"/>
      <c r="Z1340" s="8"/>
      <c r="AA1340" s="8"/>
      <c r="AB1340" s="8"/>
      <c r="AC1340" s="8"/>
      <c r="AD1340" s="8"/>
      <c r="AE1340" s="8"/>
      <c r="AF1340" s="8"/>
      <c r="AG1340" s="8"/>
      <c r="AH1340" s="8"/>
      <c r="AI1340" s="8"/>
      <c r="AJ1340" s="8"/>
      <c r="AK1340" s="8"/>
      <c r="AL1340" s="4"/>
      <c r="AM1340" s="5" t="str">
        <f t="shared" si="85"/>
        <v/>
      </c>
      <c r="AN1340" s="5" t="str">
        <f t="shared" si="86"/>
        <v/>
      </c>
      <c r="AO1340" s="18" t="str">
        <f t="shared" si="87"/>
        <v/>
      </c>
      <c r="AP1340" s="19"/>
      <c r="AQ1340" s="20" t="str">
        <f t="shared" si="88"/>
        <v/>
      </c>
      <c r="AR1340" s="21"/>
    </row>
    <row r="1341" spans="2:44" ht="31.5" x14ac:dyDescent="0.5">
      <c r="B1341" s="1"/>
      <c r="C1341" s="15"/>
      <c r="D1341" s="16"/>
      <c r="E1341" s="15"/>
      <c r="F1341" s="17"/>
      <c r="G1341" s="8"/>
      <c r="H1341" s="8"/>
      <c r="I1341" s="8"/>
      <c r="J1341" s="8"/>
      <c r="K1341" s="8"/>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4"/>
      <c r="AM1341" s="5" t="str">
        <f t="shared" si="85"/>
        <v/>
      </c>
      <c r="AN1341" s="5" t="str">
        <f t="shared" si="86"/>
        <v/>
      </c>
      <c r="AO1341" s="18" t="str">
        <f t="shared" si="87"/>
        <v/>
      </c>
      <c r="AP1341" s="19"/>
      <c r="AQ1341" s="20" t="str">
        <f t="shared" si="88"/>
        <v/>
      </c>
      <c r="AR1341" s="21"/>
    </row>
    <row r="1342" spans="2:44" ht="31.5" x14ac:dyDescent="0.5">
      <c r="B1342" s="1"/>
      <c r="C1342" s="15"/>
      <c r="D1342" s="16"/>
      <c r="E1342" s="15"/>
      <c r="F1342" s="17"/>
      <c r="G1342" s="8"/>
      <c r="H1342" s="8"/>
      <c r="I1342" s="8"/>
      <c r="J1342" s="8"/>
      <c r="K1342" s="8"/>
      <c r="L1342" s="8"/>
      <c r="M1342" s="8"/>
      <c r="N1342" s="8"/>
      <c r="O1342" s="8"/>
      <c r="P1342" s="8"/>
      <c r="Q1342" s="8"/>
      <c r="R1342" s="8"/>
      <c r="S1342" s="8"/>
      <c r="T1342" s="8"/>
      <c r="U1342" s="8"/>
      <c r="V1342" s="8"/>
      <c r="W1342" s="8"/>
      <c r="X1342" s="8"/>
      <c r="Y1342" s="8"/>
      <c r="Z1342" s="8"/>
      <c r="AA1342" s="8"/>
      <c r="AB1342" s="8"/>
      <c r="AC1342" s="8"/>
      <c r="AD1342" s="8"/>
      <c r="AE1342" s="8"/>
      <c r="AF1342" s="8"/>
      <c r="AG1342" s="8"/>
      <c r="AH1342" s="8"/>
      <c r="AI1342" s="8"/>
      <c r="AJ1342" s="8"/>
      <c r="AK1342" s="8"/>
      <c r="AL1342" s="4"/>
      <c r="AM1342" s="5" t="str">
        <f t="shared" si="85"/>
        <v/>
      </c>
      <c r="AN1342" s="5" t="str">
        <f t="shared" si="86"/>
        <v/>
      </c>
      <c r="AO1342" s="18" t="str">
        <f t="shared" si="87"/>
        <v/>
      </c>
      <c r="AP1342" s="19"/>
      <c r="AQ1342" s="20" t="str">
        <f t="shared" si="88"/>
        <v/>
      </c>
      <c r="AR1342" s="21"/>
    </row>
    <row r="1343" spans="2:44" ht="31.5" x14ac:dyDescent="0.5">
      <c r="B1343" s="1"/>
      <c r="C1343" s="15"/>
      <c r="D1343" s="16"/>
      <c r="E1343" s="15"/>
      <c r="F1343" s="17"/>
      <c r="G1343" s="8"/>
      <c r="H1343" s="8"/>
      <c r="I1343" s="8"/>
      <c r="J1343" s="8"/>
      <c r="K1343" s="8"/>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4"/>
      <c r="AM1343" s="5" t="str">
        <f t="shared" si="85"/>
        <v/>
      </c>
      <c r="AN1343" s="5" t="str">
        <f t="shared" si="86"/>
        <v/>
      </c>
      <c r="AO1343" s="18" t="str">
        <f t="shared" si="87"/>
        <v/>
      </c>
      <c r="AP1343" s="19"/>
      <c r="AQ1343" s="20" t="str">
        <f t="shared" si="88"/>
        <v/>
      </c>
      <c r="AR1343" s="21"/>
    </row>
    <row r="1344" spans="2:44" ht="31.5" x14ac:dyDescent="0.5">
      <c r="B1344" s="1"/>
      <c r="C1344" s="15"/>
      <c r="D1344" s="16"/>
      <c r="E1344" s="15"/>
      <c r="F1344" s="17"/>
      <c r="G1344" s="8"/>
      <c r="H1344" s="8"/>
      <c r="I1344" s="8"/>
      <c r="J1344" s="8"/>
      <c r="K1344" s="8"/>
      <c r="L1344" s="8"/>
      <c r="M1344" s="8"/>
      <c r="N1344" s="8"/>
      <c r="O1344" s="8"/>
      <c r="P1344" s="8"/>
      <c r="Q1344" s="8"/>
      <c r="R1344" s="8"/>
      <c r="S1344" s="8"/>
      <c r="T1344" s="8"/>
      <c r="U1344" s="8"/>
      <c r="V1344" s="8"/>
      <c r="W1344" s="8"/>
      <c r="X1344" s="8"/>
      <c r="Y1344" s="8"/>
      <c r="Z1344" s="8"/>
      <c r="AA1344" s="8"/>
      <c r="AB1344" s="8"/>
      <c r="AC1344" s="8"/>
      <c r="AD1344" s="8"/>
      <c r="AE1344" s="8"/>
      <c r="AF1344" s="8"/>
      <c r="AG1344" s="8"/>
      <c r="AH1344" s="8"/>
      <c r="AI1344" s="8"/>
      <c r="AJ1344" s="8"/>
      <c r="AK1344" s="8"/>
      <c r="AL1344" s="4"/>
      <c r="AM1344" s="5" t="str">
        <f t="shared" si="85"/>
        <v/>
      </c>
      <c r="AN1344" s="5" t="str">
        <f t="shared" si="86"/>
        <v/>
      </c>
      <c r="AO1344" s="18" t="str">
        <f t="shared" si="87"/>
        <v/>
      </c>
      <c r="AP1344" s="19"/>
      <c r="AQ1344" s="20" t="str">
        <f t="shared" si="88"/>
        <v/>
      </c>
      <c r="AR1344" s="21"/>
    </row>
    <row r="1345" spans="2:44" ht="31.5" x14ac:dyDescent="0.5">
      <c r="B1345" s="1"/>
      <c r="C1345" s="15"/>
      <c r="D1345" s="16"/>
      <c r="E1345" s="15"/>
      <c r="F1345" s="17"/>
      <c r="G1345" s="8"/>
      <c r="H1345" s="8"/>
      <c r="I1345" s="8"/>
      <c r="J1345" s="8"/>
      <c r="K1345" s="8"/>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4"/>
      <c r="AM1345" s="5" t="str">
        <f t="shared" si="85"/>
        <v/>
      </c>
      <c r="AN1345" s="5" t="str">
        <f t="shared" si="86"/>
        <v/>
      </c>
      <c r="AO1345" s="18" t="str">
        <f t="shared" si="87"/>
        <v/>
      </c>
      <c r="AP1345" s="19"/>
      <c r="AQ1345" s="20" t="str">
        <f t="shared" si="88"/>
        <v/>
      </c>
      <c r="AR1345" s="21"/>
    </row>
    <row r="1346" spans="2:44" ht="31.5" x14ac:dyDescent="0.5">
      <c r="B1346" s="1"/>
      <c r="C1346" s="15"/>
      <c r="D1346" s="16"/>
      <c r="E1346" s="15"/>
      <c r="F1346" s="17"/>
      <c r="G1346" s="8"/>
      <c r="H1346" s="8"/>
      <c r="I1346" s="8"/>
      <c r="J1346" s="8"/>
      <c r="K1346" s="8"/>
      <c r="L1346" s="8"/>
      <c r="M1346" s="8"/>
      <c r="N1346" s="8"/>
      <c r="O1346" s="8"/>
      <c r="P1346" s="8"/>
      <c r="Q1346" s="8"/>
      <c r="R1346" s="8"/>
      <c r="S1346" s="8"/>
      <c r="T1346" s="8"/>
      <c r="U1346" s="8"/>
      <c r="V1346" s="8"/>
      <c r="W1346" s="8"/>
      <c r="X1346" s="8"/>
      <c r="Y1346" s="8"/>
      <c r="Z1346" s="8"/>
      <c r="AA1346" s="8"/>
      <c r="AB1346" s="8"/>
      <c r="AC1346" s="8"/>
      <c r="AD1346" s="8"/>
      <c r="AE1346" s="8"/>
      <c r="AF1346" s="8"/>
      <c r="AG1346" s="8"/>
      <c r="AH1346" s="8"/>
      <c r="AI1346" s="8"/>
      <c r="AJ1346" s="8"/>
      <c r="AK1346" s="8"/>
      <c r="AL1346" s="4"/>
      <c r="AM1346" s="5" t="str">
        <f t="shared" si="85"/>
        <v/>
      </c>
      <c r="AN1346" s="5" t="str">
        <f t="shared" si="86"/>
        <v/>
      </c>
      <c r="AO1346" s="18" t="str">
        <f t="shared" si="87"/>
        <v/>
      </c>
      <c r="AP1346" s="19"/>
      <c r="AQ1346" s="20" t="str">
        <f t="shared" si="88"/>
        <v/>
      </c>
      <c r="AR1346" s="21"/>
    </row>
    <row r="1347" spans="2:44" ht="31.5" x14ac:dyDescent="0.5">
      <c r="B1347" s="1"/>
      <c r="C1347" s="15"/>
      <c r="D1347" s="16"/>
      <c r="E1347" s="15"/>
      <c r="F1347" s="17"/>
      <c r="G1347" s="8"/>
      <c r="H1347" s="8"/>
      <c r="I1347" s="8"/>
      <c r="J1347" s="8"/>
      <c r="K1347" s="8"/>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4"/>
      <c r="AM1347" s="5" t="str">
        <f t="shared" si="85"/>
        <v/>
      </c>
      <c r="AN1347" s="5" t="str">
        <f t="shared" si="86"/>
        <v/>
      </c>
      <c r="AO1347" s="18" t="str">
        <f t="shared" si="87"/>
        <v/>
      </c>
      <c r="AP1347" s="19"/>
      <c r="AQ1347" s="20" t="str">
        <f t="shared" si="88"/>
        <v/>
      </c>
      <c r="AR1347" s="21"/>
    </row>
    <row r="1348" spans="2:44" ht="31.5" x14ac:dyDescent="0.5">
      <c r="B1348" s="1"/>
      <c r="C1348" s="15"/>
      <c r="D1348" s="16"/>
      <c r="E1348" s="15"/>
      <c r="F1348" s="17"/>
      <c r="G1348" s="8"/>
      <c r="H1348" s="8"/>
      <c r="I1348" s="8"/>
      <c r="J1348" s="8"/>
      <c r="K1348" s="8"/>
      <c r="L1348" s="8"/>
      <c r="M1348" s="8"/>
      <c r="N1348" s="8"/>
      <c r="O1348" s="8"/>
      <c r="P1348" s="8"/>
      <c r="Q1348" s="8"/>
      <c r="R1348" s="8"/>
      <c r="S1348" s="8"/>
      <c r="T1348" s="8"/>
      <c r="U1348" s="8"/>
      <c r="V1348" s="8"/>
      <c r="W1348" s="8"/>
      <c r="X1348" s="8"/>
      <c r="Y1348" s="8"/>
      <c r="Z1348" s="8"/>
      <c r="AA1348" s="8"/>
      <c r="AB1348" s="8"/>
      <c r="AC1348" s="8"/>
      <c r="AD1348" s="8"/>
      <c r="AE1348" s="8"/>
      <c r="AF1348" s="8"/>
      <c r="AG1348" s="8"/>
      <c r="AH1348" s="8"/>
      <c r="AI1348" s="8"/>
      <c r="AJ1348" s="8"/>
      <c r="AK1348" s="8"/>
      <c r="AL1348" s="4"/>
      <c r="AM1348" s="5" t="str">
        <f t="shared" si="85"/>
        <v/>
      </c>
      <c r="AN1348" s="5" t="str">
        <f t="shared" si="86"/>
        <v/>
      </c>
      <c r="AO1348" s="18" t="str">
        <f t="shared" si="87"/>
        <v/>
      </c>
      <c r="AP1348" s="19"/>
      <c r="AQ1348" s="20" t="str">
        <f t="shared" si="88"/>
        <v/>
      </c>
      <c r="AR1348" s="21"/>
    </row>
    <row r="1349" spans="2:44" ht="31.5" x14ac:dyDescent="0.5">
      <c r="B1349" s="1"/>
      <c r="C1349" s="15"/>
      <c r="D1349" s="16"/>
      <c r="E1349" s="15"/>
      <c r="F1349" s="17"/>
      <c r="G1349" s="8"/>
      <c r="H1349" s="8"/>
      <c r="I1349" s="8"/>
      <c r="J1349" s="8"/>
      <c r="K1349" s="8"/>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4"/>
      <c r="AM1349" s="5" t="str">
        <f t="shared" si="85"/>
        <v/>
      </c>
      <c r="AN1349" s="5" t="str">
        <f t="shared" si="86"/>
        <v/>
      </c>
      <c r="AO1349" s="18" t="str">
        <f t="shared" si="87"/>
        <v/>
      </c>
      <c r="AP1349" s="19"/>
      <c r="AQ1349" s="20" t="str">
        <f t="shared" si="88"/>
        <v/>
      </c>
      <c r="AR1349" s="21"/>
    </row>
    <row r="1350" spans="2:44" ht="31.5" x14ac:dyDescent="0.5">
      <c r="B1350" s="1"/>
      <c r="C1350" s="15"/>
      <c r="D1350" s="16"/>
      <c r="E1350" s="15"/>
      <c r="F1350" s="17"/>
      <c r="G1350" s="8"/>
      <c r="H1350" s="8"/>
      <c r="I1350" s="8"/>
      <c r="J1350" s="8"/>
      <c r="K1350" s="8"/>
      <c r="L1350" s="8"/>
      <c r="M1350" s="8"/>
      <c r="N1350" s="8"/>
      <c r="O1350" s="8"/>
      <c r="P1350" s="8"/>
      <c r="Q1350" s="8"/>
      <c r="R1350" s="8"/>
      <c r="S1350" s="8"/>
      <c r="T1350" s="8"/>
      <c r="U1350" s="8"/>
      <c r="V1350" s="8"/>
      <c r="W1350" s="8"/>
      <c r="X1350" s="8"/>
      <c r="Y1350" s="8"/>
      <c r="Z1350" s="8"/>
      <c r="AA1350" s="8"/>
      <c r="AB1350" s="8"/>
      <c r="AC1350" s="8"/>
      <c r="AD1350" s="8"/>
      <c r="AE1350" s="8"/>
      <c r="AF1350" s="8"/>
      <c r="AG1350" s="8"/>
      <c r="AH1350" s="8"/>
      <c r="AI1350" s="8"/>
      <c r="AJ1350" s="8"/>
      <c r="AK1350" s="8"/>
      <c r="AL1350" s="4"/>
      <c r="AM1350" s="5" t="str">
        <f t="shared" si="85"/>
        <v/>
      </c>
      <c r="AN1350" s="5" t="str">
        <f t="shared" si="86"/>
        <v/>
      </c>
      <c r="AO1350" s="18" t="str">
        <f t="shared" si="87"/>
        <v/>
      </c>
      <c r="AP1350" s="19"/>
      <c r="AQ1350" s="20" t="str">
        <f t="shared" si="88"/>
        <v/>
      </c>
      <c r="AR1350" s="21"/>
    </row>
    <row r="1351" spans="2:44" ht="31.5" x14ac:dyDescent="0.5">
      <c r="B1351" s="1"/>
      <c r="C1351" s="15"/>
      <c r="D1351" s="16"/>
      <c r="E1351" s="15"/>
      <c r="F1351" s="17"/>
      <c r="G1351" s="8"/>
      <c r="H1351" s="8"/>
      <c r="I1351" s="8"/>
      <c r="J1351" s="8"/>
      <c r="K1351" s="8"/>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4"/>
      <c r="AM1351" s="5" t="str">
        <f t="shared" si="85"/>
        <v/>
      </c>
      <c r="AN1351" s="5" t="str">
        <f t="shared" si="86"/>
        <v/>
      </c>
      <c r="AO1351" s="18" t="str">
        <f t="shared" si="87"/>
        <v/>
      </c>
      <c r="AP1351" s="19"/>
      <c r="AQ1351" s="20" t="str">
        <f t="shared" si="88"/>
        <v/>
      </c>
      <c r="AR1351" s="21"/>
    </row>
    <row r="1352" spans="2:44" ht="31.5" x14ac:dyDescent="0.5">
      <c r="B1352" s="1"/>
      <c r="C1352" s="15"/>
      <c r="D1352" s="16"/>
      <c r="E1352" s="15"/>
      <c r="F1352" s="17"/>
      <c r="G1352" s="8"/>
      <c r="H1352" s="8"/>
      <c r="I1352" s="8"/>
      <c r="J1352" s="8"/>
      <c r="K1352" s="8"/>
      <c r="L1352" s="8"/>
      <c r="M1352" s="8"/>
      <c r="N1352" s="8"/>
      <c r="O1352" s="8"/>
      <c r="P1352" s="8"/>
      <c r="Q1352" s="8"/>
      <c r="R1352" s="8"/>
      <c r="S1352" s="8"/>
      <c r="T1352" s="8"/>
      <c r="U1352" s="8"/>
      <c r="V1352" s="8"/>
      <c r="W1352" s="8"/>
      <c r="X1352" s="8"/>
      <c r="Y1352" s="8"/>
      <c r="Z1352" s="8"/>
      <c r="AA1352" s="8"/>
      <c r="AB1352" s="8"/>
      <c r="AC1352" s="8"/>
      <c r="AD1352" s="8"/>
      <c r="AE1352" s="8"/>
      <c r="AF1352" s="8"/>
      <c r="AG1352" s="8"/>
      <c r="AH1352" s="8"/>
      <c r="AI1352" s="8"/>
      <c r="AJ1352" s="8"/>
      <c r="AK1352" s="8"/>
      <c r="AL1352" s="4"/>
      <c r="AM1352" s="5" t="str">
        <f t="shared" si="85"/>
        <v/>
      </c>
      <c r="AN1352" s="5" t="str">
        <f t="shared" si="86"/>
        <v/>
      </c>
      <c r="AO1352" s="18" t="str">
        <f t="shared" si="87"/>
        <v/>
      </c>
      <c r="AP1352" s="19"/>
      <c r="AQ1352" s="20" t="str">
        <f t="shared" si="88"/>
        <v/>
      </c>
      <c r="AR1352" s="21"/>
    </row>
    <row r="1353" spans="2:44" ht="31.5" x14ac:dyDescent="0.5">
      <c r="B1353" s="1"/>
      <c r="C1353" s="15"/>
      <c r="D1353" s="16"/>
      <c r="E1353" s="15"/>
      <c r="F1353" s="17"/>
      <c r="G1353" s="8"/>
      <c r="H1353" s="8"/>
      <c r="I1353" s="8"/>
      <c r="J1353" s="8"/>
      <c r="K1353" s="8"/>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4"/>
      <c r="AM1353" s="5" t="str">
        <f t="shared" si="85"/>
        <v/>
      </c>
      <c r="AN1353" s="5" t="str">
        <f t="shared" si="86"/>
        <v/>
      </c>
      <c r="AO1353" s="18" t="str">
        <f t="shared" si="87"/>
        <v/>
      </c>
      <c r="AP1353" s="19"/>
      <c r="AQ1353" s="20" t="str">
        <f t="shared" si="88"/>
        <v/>
      </c>
      <c r="AR1353" s="21"/>
    </row>
    <row r="1354" spans="2:44" ht="31.5" x14ac:dyDescent="0.5">
      <c r="B1354" s="1"/>
      <c r="C1354" s="15"/>
      <c r="D1354" s="16"/>
      <c r="E1354" s="15"/>
      <c r="F1354" s="17"/>
      <c r="G1354" s="8"/>
      <c r="H1354" s="8"/>
      <c r="I1354" s="8"/>
      <c r="J1354" s="8"/>
      <c r="K1354" s="8"/>
      <c r="L1354" s="8"/>
      <c r="M1354" s="8"/>
      <c r="N1354" s="8"/>
      <c r="O1354" s="8"/>
      <c r="P1354" s="8"/>
      <c r="Q1354" s="8"/>
      <c r="R1354" s="8"/>
      <c r="S1354" s="8"/>
      <c r="T1354" s="8"/>
      <c r="U1354" s="8"/>
      <c r="V1354" s="8"/>
      <c r="W1354" s="8"/>
      <c r="X1354" s="8"/>
      <c r="Y1354" s="8"/>
      <c r="Z1354" s="8"/>
      <c r="AA1354" s="8"/>
      <c r="AB1354" s="8"/>
      <c r="AC1354" s="8"/>
      <c r="AD1354" s="8"/>
      <c r="AE1354" s="8"/>
      <c r="AF1354" s="8"/>
      <c r="AG1354" s="8"/>
      <c r="AH1354" s="8"/>
      <c r="AI1354" s="8"/>
      <c r="AJ1354" s="8"/>
      <c r="AK1354" s="8"/>
      <c r="AL1354" s="4"/>
      <c r="AM1354" s="5" t="str">
        <f t="shared" si="85"/>
        <v/>
      </c>
      <c r="AN1354" s="5" t="str">
        <f t="shared" si="86"/>
        <v/>
      </c>
      <c r="AO1354" s="18" t="str">
        <f t="shared" si="87"/>
        <v/>
      </c>
      <c r="AP1354" s="19"/>
      <c r="AQ1354" s="20" t="str">
        <f t="shared" si="88"/>
        <v/>
      </c>
      <c r="AR1354" s="21"/>
    </row>
    <row r="1355" spans="2:44" ht="31.5" x14ac:dyDescent="0.5">
      <c r="B1355" s="1"/>
      <c r="C1355" s="15"/>
      <c r="D1355" s="16"/>
      <c r="E1355" s="15"/>
      <c r="F1355" s="17"/>
      <c r="G1355" s="8"/>
      <c r="H1355" s="8"/>
      <c r="I1355" s="8"/>
      <c r="J1355" s="8"/>
      <c r="K1355" s="8"/>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4"/>
      <c r="AM1355" s="5" t="str">
        <f t="shared" si="85"/>
        <v/>
      </c>
      <c r="AN1355" s="5" t="str">
        <f t="shared" si="86"/>
        <v/>
      </c>
      <c r="AO1355" s="18" t="str">
        <f t="shared" si="87"/>
        <v/>
      </c>
      <c r="AP1355" s="19"/>
      <c r="AQ1355" s="20" t="str">
        <f t="shared" si="88"/>
        <v/>
      </c>
      <c r="AR1355" s="21"/>
    </row>
    <row r="1356" spans="2:44" ht="31.5" x14ac:dyDescent="0.5">
      <c r="B1356" s="1"/>
      <c r="C1356" s="15"/>
      <c r="D1356" s="16"/>
      <c r="E1356" s="15"/>
      <c r="F1356" s="17"/>
      <c r="G1356" s="8"/>
      <c r="H1356" s="8"/>
      <c r="I1356" s="8"/>
      <c r="J1356" s="8"/>
      <c r="K1356" s="8"/>
      <c r="L1356" s="8"/>
      <c r="M1356" s="8"/>
      <c r="N1356" s="8"/>
      <c r="O1356" s="8"/>
      <c r="P1356" s="8"/>
      <c r="Q1356" s="8"/>
      <c r="R1356" s="8"/>
      <c r="S1356" s="8"/>
      <c r="T1356" s="8"/>
      <c r="U1356" s="8"/>
      <c r="V1356" s="8"/>
      <c r="W1356" s="8"/>
      <c r="X1356" s="8"/>
      <c r="Y1356" s="8"/>
      <c r="Z1356" s="8"/>
      <c r="AA1356" s="8"/>
      <c r="AB1356" s="8"/>
      <c r="AC1356" s="8"/>
      <c r="AD1356" s="8"/>
      <c r="AE1356" s="8"/>
      <c r="AF1356" s="8"/>
      <c r="AG1356" s="8"/>
      <c r="AH1356" s="8"/>
      <c r="AI1356" s="8"/>
      <c r="AJ1356" s="8"/>
      <c r="AK1356" s="8"/>
      <c r="AL1356" s="4"/>
      <c r="AM1356" s="5" t="str">
        <f t="shared" si="85"/>
        <v/>
      </c>
      <c r="AN1356" s="5" t="str">
        <f t="shared" si="86"/>
        <v/>
      </c>
      <c r="AO1356" s="18" t="str">
        <f t="shared" si="87"/>
        <v/>
      </c>
      <c r="AP1356" s="19"/>
      <c r="AQ1356" s="20" t="str">
        <f t="shared" si="88"/>
        <v/>
      </c>
      <c r="AR1356" s="21"/>
    </row>
    <row r="1357" spans="2:44" ht="31.5" x14ac:dyDescent="0.5">
      <c r="B1357" s="1"/>
      <c r="C1357" s="15"/>
      <c r="D1357" s="16"/>
      <c r="E1357" s="15"/>
      <c r="F1357" s="17"/>
      <c r="G1357" s="8"/>
      <c r="H1357" s="8"/>
      <c r="I1357" s="8"/>
      <c r="J1357" s="8"/>
      <c r="K1357" s="8"/>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4"/>
      <c r="AM1357" s="5" t="str">
        <f t="shared" si="85"/>
        <v/>
      </c>
      <c r="AN1357" s="5" t="str">
        <f t="shared" si="86"/>
        <v/>
      </c>
      <c r="AO1357" s="18" t="str">
        <f t="shared" si="87"/>
        <v/>
      </c>
      <c r="AP1357" s="19"/>
      <c r="AQ1357" s="20" t="str">
        <f t="shared" si="88"/>
        <v/>
      </c>
      <c r="AR1357" s="21"/>
    </row>
    <row r="1358" spans="2:44" ht="31.5" x14ac:dyDescent="0.5">
      <c r="B1358" s="1"/>
      <c r="C1358" s="15"/>
      <c r="D1358" s="16"/>
      <c r="E1358" s="15"/>
      <c r="F1358" s="17"/>
      <c r="G1358" s="8"/>
      <c r="H1358" s="8"/>
      <c r="I1358" s="8"/>
      <c r="J1358" s="8"/>
      <c r="K1358" s="8"/>
      <c r="L1358" s="8"/>
      <c r="M1358" s="8"/>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4"/>
      <c r="AM1358" s="5" t="str">
        <f t="shared" si="85"/>
        <v/>
      </c>
      <c r="AN1358" s="5" t="str">
        <f t="shared" si="86"/>
        <v/>
      </c>
      <c r="AO1358" s="18" t="str">
        <f t="shared" si="87"/>
        <v/>
      </c>
      <c r="AP1358" s="19"/>
      <c r="AQ1358" s="20" t="str">
        <f t="shared" si="88"/>
        <v/>
      </c>
      <c r="AR1358" s="21"/>
    </row>
    <row r="1359" spans="2:44" ht="31.5" x14ac:dyDescent="0.5">
      <c r="B1359" s="1"/>
      <c r="C1359" s="15"/>
      <c r="D1359" s="16"/>
      <c r="E1359" s="15"/>
      <c r="F1359" s="17"/>
      <c r="G1359" s="8"/>
      <c r="H1359" s="8"/>
      <c r="I1359" s="8"/>
      <c r="J1359" s="8"/>
      <c r="K1359" s="8"/>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4"/>
      <c r="AM1359" s="5" t="str">
        <f t="shared" si="85"/>
        <v/>
      </c>
      <c r="AN1359" s="5" t="str">
        <f t="shared" si="86"/>
        <v/>
      </c>
      <c r="AO1359" s="18" t="str">
        <f t="shared" si="87"/>
        <v/>
      </c>
      <c r="AP1359" s="19"/>
      <c r="AQ1359" s="20" t="str">
        <f t="shared" si="88"/>
        <v/>
      </c>
      <c r="AR1359" s="21"/>
    </row>
    <row r="1360" spans="2:44" ht="31.5" x14ac:dyDescent="0.5">
      <c r="B1360" s="1"/>
      <c r="C1360" s="15"/>
      <c r="D1360" s="16"/>
      <c r="E1360" s="15"/>
      <c r="F1360" s="17"/>
      <c r="G1360" s="8"/>
      <c r="H1360" s="8"/>
      <c r="I1360" s="8"/>
      <c r="J1360" s="8"/>
      <c r="K1360" s="8"/>
      <c r="L1360" s="8"/>
      <c r="M1360" s="8"/>
      <c r="N1360" s="8"/>
      <c r="O1360" s="8"/>
      <c r="P1360" s="8"/>
      <c r="Q1360" s="8"/>
      <c r="R1360" s="8"/>
      <c r="S1360" s="8"/>
      <c r="T1360" s="8"/>
      <c r="U1360" s="8"/>
      <c r="V1360" s="8"/>
      <c r="W1360" s="8"/>
      <c r="X1360" s="8"/>
      <c r="Y1360" s="8"/>
      <c r="Z1360" s="8"/>
      <c r="AA1360" s="8"/>
      <c r="AB1360" s="8"/>
      <c r="AC1360" s="8"/>
      <c r="AD1360" s="8"/>
      <c r="AE1360" s="8"/>
      <c r="AF1360" s="8"/>
      <c r="AG1360" s="8"/>
      <c r="AH1360" s="8"/>
      <c r="AI1360" s="8"/>
      <c r="AJ1360" s="8"/>
      <c r="AK1360" s="8"/>
      <c r="AL1360" s="4"/>
      <c r="AM1360" s="5" t="str">
        <f t="shared" si="85"/>
        <v/>
      </c>
      <c r="AN1360" s="5" t="str">
        <f t="shared" si="86"/>
        <v/>
      </c>
      <c r="AO1360" s="18" t="str">
        <f t="shared" si="87"/>
        <v/>
      </c>
      <c r="AP1360" s="19"/>
      <c r="AQ1360" s="20" t="str">
        <f t="shared" si="88"/>
        <v/>
      </c>
      <c r="AR1360" s="21"/>
    </row>
    <row r="1361" spans="2:44" ht="31.5" x14ac:dyDescent="0.5">
      <c r="B1361" s="1"/>
      <c r="C1361" s="15"/>
      <c r="D1361" s="16"/>
      <c r="E1361" s="15"/>
      <c r="F1361" s="17"/>
      <c r="G1361" s="8"/>
      <c r="H1361" s="8"/>
      <c r="I1361" s="8"/>
      <c r="J1361" s="8"/>
      <c r="K1361" s="8"/>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4"/>
      <c r="AM1361" s="5" t="str">
        <f t="shared" si="85"/>
        <v/>
      </c>
      <c r="AN1361" s="5" t="str">
        <f t="shared" si="86"/>
        <v/>
      </c>
      <c r="AO1361" s="18" t="str">
        <f t="shared" si="87"/>
        <v/>
      </c>
      <c r="AP1361" s="19"/>
      <c r="AQ1361" s="20" t="str">
        <f t="shared" si="88"/>
        <v/>
      </c>
      <c r="AR1361" s="21"/>
    </row>
    <row r="1362" spans="2:44" ht="31.5" x14ac:dyDescent="0.5">
      <c r="B1362" s="1"/>
      <c r="C1362" s="15"/>
      <c r="D1362" s="16"/>
      <c r="E1362" s="15"/>
      <c r="F1362" s="17"/>
      <c r="G1362" s="8"/>
      <c r="H1362" s="8"/>
      <c r="I1362" s="8"/>
      <c r="J1362" s="8"/>
      <c r="K1362" s="8"/>
      <c r="L1362" s="8"/>
      <c r="M1362" s="8"/>
      <c r="N1362" s="8"/>
      <c r="O1362" s="8"/>
      <c r="P1362" s="8"/>
      <c r="Q1362" s="8"/>
      <c r="R1362" s="8"/>
      <c r="S1362" s="8"/>
      <c r="T1362" s="8"/>
      <c r="U1362" s="8"/>
      <c r="V1362" s="8"/>
      <c r="W1362" s="8"/>
      <c r="X1362" s="8"/>
      <c r="Y1362" s="8"/>
      <c r="Z1362" s="8"/>
      <c r="AA1362" s="8"/>
      <c r="AB1362" s="8"/>
      <c r="AC1362" s="8"/>
      <c r="AD1362" s="8"/>
      <c r="AE1362" s="8"/>
      <c r="AF1362" s="8"/>
      <c r="AG1362" s="8"/>
      <c r="AH1362" s="8"/>
      <c r="AI1362" s="8"/>
      <c r="AJ1362" s="8"/>
      <c r="AK1362" s="8"/>
      <c r="AL1362" s="4"/>
      <c r="AM1362" s="5" t="str">
        <f t="shared" si="85"/>
        <v/>
      </c>
      <c r="AN1362" s="5" t="str">
        <f t="shared" si="86"/>
        <v/>
      </c>
      <c r="AO1362" s="18" t="str">
        <f t="shared" si="87"/>
        <v/>
      </c>
      <c r="AP1362" s="19"/>
      <c r="AQ1362" s="20" t="str">
        <f t="shared" si="88"/>
        <v/>
      </c>
      <c r="AR1362" s="21"/>
    </row>
    <row r="1363" spans="2:44" ht="31.5" x14ac:dyDescent="0.5">
      <c r="B1363" s="1"/>
      <c r="C1363" s="15"/>
      <c r="D1363" s="16"/>
      <c r="E1363" s="15"/>
      <c r="F1363" s="17"/>
      <c r="G1363" s="8"/>
      <c r="H1363" s="8"/>
      <c r="I1363" s="8"/>
      <c r="J1363" s="8"/>
      <c r="K1363" s="8"/>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4"/>
      <c r="AM1363" s="5" t="str">
        <f t="shared" si="85"/>
        <v/>
      </c>
      <c r="AN1363" s="5" t="str">
        <f t="shared" si="86"/>
        <v/>
      </c>
      <c r="AO1363" s="18" t="str">
        <f t="shared" si="87"/>
        <v/>
      </c>
      <c r="AP1363" s="19"/>
      <c r="AQ1363" s="20" t="str">
        <f t="shared" si="88"/>
        <v/>
      </c>
      <c r="AR1363" s="21"/>
    </row>
    <row r="1364" spans="2:44" ht="31.5" x14ac:dyDescent="0.5">
      <c r="B1364" s="1"/>
      <c r="C1364" s="15"/>
      <c r="D1364" s="16"/>
      <c r="E1364" s="15"/>
      <c r="F1364" s="17"/>
      <c r="G1364" s="8"/>
      <c r="H1364" s="8"/>
      <c r="I1364" s="8"/>
      <c r="J1364" s="8"/>
      <c r="K1364" s="8"/>
      <c r="L1364" s="8"/>
      <c r="M1364" s="8"/>
      <c r="N1364" s="8"/>
      <c r="O1364" s="8"/>
      <c r="P1364" s="8"/>
      <c r="Q1364" s="8"/>
      <c r="R1364" s="8"/>
      <c r="S1364" s="8"/>
      <c r="T1364" s="8"/>
      <c r="U1364" s="8"/>
      <c r="V1364" s="8"/>
      <c r="W1364" s="8"/>
      <c r="X1364" s="8"/>
      <c r="Y1364" s="8"/>
      <c r="Z1364" s="8"/>
      <c r="AA1364" s="8"/>
      <c r="AB1364" s="8"/>
      <c r="AC1364" s="8"/>
      <c r="AD1364" s="8"/>
      <c r="AE1364" s="8"/>
      <c r="AF1364" s="8"/>
      <c r="AG1364" s="8"/>
      <c r="AH1364" s="8"/>
      <c r="AI1364" s="8"/>
      <c r="AJ1364" s="8"/>
      <c r="AK1364" s="8"/>
      <c r="AL1364" s="4"/>
      <c r="AM1364" s="5" t="str">
        <f t="shared" si="85"/>
        <v/>
      </c>
      <c r="AN1364" s="5" t="str">
        <f t="shared" si="86"/>
        <v/>
      </c>
      <c r="AO1364" s="18" t="str">
        <f t="shared" si="87"/>
        <v/>
      </c>
      <c r="AP1364" s="19"/>
      <c r="AQ1364" s="20" t="str">
        <f t="shared" si="88"/>
        <v/>
      </c>
      <c r="AR1364" s="21"/>
    </row>
    <row r="1365" spans="2:44" ht="31.5" x14ac:dyDescent="0.5">
      <c r="B1365" s="1"/>
      <c r="C1365" s="15"/>
      <c r="D1365" s="16"/>
      <c r="E1365" s="15"/>
      <c r="F1365" s="17"/>
      <c r="G1365" s="8"/>
      <c r="H1365" s="8"/>
      <c r="I1365" s="8"/>
      <c r="J1365" s="8"/>
      <c r="K1365" s="8"/>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4"/>
      <c r="AM1365" s="5" t="str">
        <f t="shared" si="85"/>
        <v/>
      </c>
      <c r="AN1365" s="5" t="str">
        <f t="shared" si="86"/>
        <v/>
      </c>
      <c r="AO1365" s="18" t="str">
        <f t="shared" si="87"/>
        <v/>
      </c>
      <c r="AP1365" s="19"/>
      <c r="AQ1365" s="20" t="str">
        <f t="shared" si="88"/>
        <v/>
      </c>
      <c r="AR1365" s="21"/>
    </row>
    <row r="1366" spans="2:44" ht="31.5" x14ac:dyDescent="0.5">
      <c r="B1366" s="1"/>
      <c r="C1366" s="15"/>
      <c r="D1366" s="16"/>
      <c r="E1366" s="15"/>
      <c r="F1366" s="17"/>
      <c r="G1366" s="8"/>
      <c r="H1366" s="8"/>
      <c r="I1366" s="8"/>
      <c r="J1366" s="8"/>
      <c r="K1366" s="8"/>
      <c r="L1366" s="8"/>
      <c r="M1366" s="8"/>
      <c r="N1366" s="8"/>
      <c r="O1366" s="8"/>
      <c r="P1366" s="8"/>
      <c r="Q1366" s="8"/>
      <c r="R1366" s="8"/>
      <c r="S1366" s="8"/>
      <c r="T1366" s="8"/>
      <c r="U1366" s="8"/>
      <c r="V1366" s="8"/>
      <c r="W1366" s="8"/>
      <c r="X1366" s="8"/>
      <c r="Y1366" s="8"/>
      <c r="Z1366" s="8"/>
      <c r="AA1366" s="8"/>
      <c r="AB1366" s="8"/>
      <c r="AC1366" s="8"/>
      <c r="AD1366" s="8"/>
      <c r="AE1366" s="8"/>
      <c r="AF1366" s="8"/>
      <c r="AG1366" s="8"/>
      <c r="AH1366" s="8"/>
      <c r="AI1366" s="8"/>
      <c r="AJ1366" s="8"/>
      <c r="AK1366" s="8"/>
      <c r="AL1366" s="4"/>
      <c r="AM1366" s="5" t="str">
        <f t="shared" si="85"/>
        <v/>
      </c>
      <c r="AN1366" s="5" t="str">
        <f t="shared" si="86"/>
        <v/>
      </c>
      <c r="AO1366" s="18" t="str">
        <f t="shared" si="87"/>
        <v/>
      </c>
      <c r="AP1366" s="19"/>
      <c r="AQ1366" s="20" t="str">
        <f t="shared" si="88"/>
        <v/>
      </c>
      <c r="AR1366" s="21"/>
    </row>
    <row r="1367" spans="2:44" ht="31.5" x14ac:dyDescent="0.5">
      <c r="B1367" s="1"/>
      <c r="C1367" s="15"/>
      <c r="D1367" s="16"/>
      <c r="E1367" s="15"/>
      <c r="F1367" s="17"/>
      <c r="G1367" s="8"/>
      <c r="H1367" s="8"/>
      <c r="I1367" s="8"/>
      <c r="J1367" s="8"/>
      <c r="K1367" s="8"/>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4"/>
      <c r="AM1367" s="5" t="str">
        <f t="shared" si="85"/>
        <v/>
      </c>
      <c r="AN1367" s="5" t="str">
        <f t="shared" si="86"/>
        <v/>
      </c>
      <c r="AO1367" s="18" t="str">
        <f t="shared" si="87"/>
        <v/>
      </c>
      <c r="AP1367" s="19"/>
      <c r="AQ1367" s="20" t="str">
        <f t="shared" si="88"/>
        <v/>
      </c>
      <c r="AR1367" s="21"/>
    </row>
    <row r="1368" spans="2:44" ht="31.5" x14ac:dyDescent="0.5">
      <c r="B1368" s="1"/>
      <c r="C1368" s="15"/>
      <c r="D1368" s="16"/>
      <c r="E1368" s="15"/>
      <c r="F1368" s="17"/>
      <c r="G1368" s="8"/>
      <c r="H1368" s="8"/>
      <c r="I1368" s="8"/>
      <c r="J1368" s="8"/>
      <c r="K1368" s="8"/>
      <c r="L1368" s="8"/>
      <c r="M1368" s="8"/>
      <c r="N1368" s="8"/>
      <c r="O1368" s="8"/>
      <c r="P1368" s="8"/>
      <c r="Q1368" s="8"/>
      <c r="R1368" s="8"/>
      <c r="S1368" s="8"/>
      <c r="T1368" s="8"/>
      <c r="U1368" s="8"/>
      <c r="V1368" s="8"/>
      <c r="W1368" s="8"/>
      <c r="X1368" s="8"/>
      <c r="Y1368" s="8"/>
      <c r="Z1368" s="8"/>
      <c r="AA1368" s="8"/>
      <c r="AB1368" s="8"/>
      <c r="AC1368" s="8"/>
      <c r="AD1368" s="8"/>
      <c r="AE1368" s="8"/>
      <c r="AF1368" s="8"/>
      <c r="AG1368" s="8"/>
      <c r="AH1368" s="8"/>
      <c r="AI1368" s="8"/>
      <c r="AJ1368" s="8"/>
      <c r="AK1368" s="8"/>
      <c r="AL1368" s="4"/>
      <c r="AM1368" s="5" t="str">
        <f t="shared" si="85"/>
        <v/>
      </c>
      <c r="AN1368" s="5" t="str">
        <f t="shared" si="86"/>
        <v/>
      </c>
      <c r="AO1368" s="18" t="str">
        <f t="shared" si="87"/>
        <v/>
      </c>
      <c r="AP1368" s="19"/>
      <c r="AQ1368" s="20" t="str">
        <f t="shared" si="88"/>
        <v/>
      </c>
      <c r="AR1368" s="21"/>
    </row>
    <row r="1369" spans="2:44" ht="31.5" x14ac:dyDescent="0.5">
      <c r="B1369" s="1"/>
      <c r="C1369" s="15"/>
      <c r="D1369" s="16"/>
      <c r="E1369" s="15"/>
      <c r="F1369" s="17"/>
      <c r="G1369" s="8"/>
      <c r="H1369" s="8"/>
      <c r="I1369" s="8"/>
      <c r="J1369" s="8"/>
      <c r="K1369" s="8"/>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4"/>
      <c r="AM1369" s="5" t="str">
        <f t="shared" si="85"/>
        <v/>
      </c>
      <c r="AN1369" s="5" t="str">
        <f t="shared" si="86"/>
        <v/>
      </c>
      <c r="AO1369" s="18" t="str">
        <f t="shared" si="87"/>
        <v/>
      </c>
      <c r="AP1369" s="19"/>
      <c r="AQ1369" s="20" t="str">
        <f t="shared" si="88"/>
        <v/>
      </c>
      <c r="AR1369" s="21"/>
    </row>
    <row r="1370" spans="2:44" ht="31.5" x14ac:dyDescent="0.5">
      <c r="B1370" s="1"/>
      <c r="C1370" s="15"/>
      <c r="D1370" s="16"/>
      <c r="E1370" s="15"/>
      <c r="F1370" s="17"/>
      <c r="G1370" s="8"/>
      <c r="H1370" s="8"/>
      <c r="I1370" s="8"/>
      <c r="J1370" s="8"/>
      <c r="K1370" s="8"/>
      <c r="L1370" s="8"/>
      <c r="M1370" s="8"/>
      <c r="N1370" s="8"/>
      <c r="O1370" s="8"/>
      <c r="P1370" s="8"/>
      <c r="Q1370" s="8"/>
      <c r="R1370" s="8"/>
      <c r="S1370" s="8"/>
      <c r="T1370" s="8"/>
      <c r="U1370" s="8"/>
      <c r="V1370" s="8"/>
      <c r="W1370" s="8"/>
      <c r="X1370" s="8"/>
      <c r="Y1370" s="8"/>
      <c r="Z1370" s="8"/>
      <c r="AA1370" s="8"/>
      <c r="AB1370" s="8"/>
      <c r="AC1370" s="8"/>
      <c r="AD1370" s="8"/>
      <c r="AE1370" s="8"/>
      <c r="AF1370" s="8"/>
      <c r="AG1370" s="8"/>
      <c r="AH1370" s="8"/>
      <c r="AI1370" s="8"/>
      <c r="AJ1370" s="8"/>
      <c r="AK1370" s="8"/>
      <c r="AL1370" s="4"/>
      <c r="AM1370" s="5" t="str">
        <f t="shared" si="85"/>
        <v/>
      </c>
      <c r="AN1370" s="5" t="str">
        <f t="shared" si="86"/>
        <v/>
      </c>
      <c r="AO1370" s="18" t="str">
        <f t="shared" si="87"/>
        <v/>
      </c>
      <c r="AP1370" s="19"/>
      <c r="AQ1370" s="20" t="str">
        <f t="shared" si="88"/>
        <v/>
      </c>
      <c r="AR1370" s="21"/>
    </row>
    <row r="1371" spans="2:44" ht="31.5" x14ac:dyDescent="0.5">
      <c r="B1371" s="1"/>
      <c r="C1371" s="15"/>
      <c r="D1371" s="16"/>
      <c r="E1371" s="15"/>
      <c r="F1371" s="17"/>
      <c r="G1371" s="8"/>
      <c r="H1371" s="8"/>
      <c r="I1371" s="8"/>
      <c r="J1371" s="8"/>
      <c r="K1371" s="8"/>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4"/>
      <c r="AM1371" s="5" t="str">
        <f t="shared" si="85"/>
        <v/>
      </c>
      <c r="AN1371" s="5" t="str">
        <f t="shared" si="86"/>
        <v/>
      </c>
      <c r="AO1371" s="18" t="str">
        <f t="shared" si="87"/>
        <v/>
      </c>
      <c r="AP1371" s="19"/>
      <c r="AQ1371" s="20" t="str">
        <f t="shared" si="88"/>
        <v/>
      </c>
      <c r="AR1371" s="21"/>
    </row>
    <row r="1372" spans="2:44" ht="31.5" x14ac:dyDescent="0.5">
      <c r="B1372" s="1"/>
      <c r="C1372" s="15"/>
      <c r="D1372" s="16"/>
      <c r="E1372" s="15"/>
      <c r="F1372" s="17"/>
      <c r="G1372" s="8"/>
      <c r="H1372" s="8"/>
      <c r="I1372" s="8"/>
      <c r="J1372" s="8"/>
      <c r="K1372" s="8"/>
      <c r="L1372" s="8"/>
      <c r="M1372" s="8"/>
      <c r="N1372" s="8"/>
      <c r="O1372" s="8"/>
      <c r="P1372" s="8"/>
      <c r="Q1372" s="8"/>
      <c r="R1372" s="8"/>
      <c r="S1372" s="8"/>
      <c r="T1372" s="8"/>
      <c r="U1372" s="8"/>
      <c r="V1372" s="8"/>
      <c r="W1372" s="8"/>
      <c r="X1372" s="8"/>
      <c r="Y1372" s="8"/>
      <c r="Z1372" s="8"/>
      <c r="AA1372" s="8"/>
      <c r="AB1372" s="8"/>
      <c r="AC1372" s="8"/>
      <c r="AD1372" s="8"/>
      <c r="AE1372" s="8"/>
      <c r="AF1372" s="8"/>
      <c r="AG1372" s="8"/>
      <c r="AH1372" s="8"/>
      <c r="AI1372" s="8"/>
      <c r="AJ1372" s="8"/>
      <c r="AK1372" s="8"/>
      <c r="AL1372" s="4"/>
      <c r="AM1372" s="5" t="str">
        <f t="shared" si="85"/>
        <v/>
      </c>
      <c r="AN1372" s="5" t="str">
        <f t="shared" si="86"/>
        <v/>
      </c>
      <c r="AO1372" s="18" t="str">
        <f t="shared" si="87"/>
        <v/>
      </c>
      <c r="AP1372" s="19"/>
      <c r="AQ1372" s="20" t="str">
        <f t="shared" si="88"/>
        <v/>
      </c>
      <c r="AR1372" s="21"/>
    </row>
    <row r="1373" spans="2:44" ht="31.5" x14ac:dyDescent="0.5">
      <c r="B1373" s="1"/>
      <c r="C1373" s="15"/>
      <c r="D1373" s="16"/>
      <c r="E1373" s="15"/>
      <c r="F1373" s="17"/>
      <c r="G1373" s="8"/>
      <c r="H1373" s="8"/>
      <c r="I1373" s="8"/>
      <c r="J1373" s="8"/>
      <c r="K1373" s="8"/>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4"/>
      <c r="AM1373" s="5" t="str">
        <f t="shared" si="85"/>
        <v/>
      </c>
      <c r="AN1373" s="5" t="str">
        <f t="shared" si="86"/>
        <v/>
      </c>
      <c r="AO1373" s="18" t="str">
        <f t="shared" si="87"/>
        <v/>
      </c>
      <c r="AP1373" s="19"/>
      <c r="AQ1373" s="20" t="str">
        <f t="shared" si="88"/>
        <v/>
      </c>
      <c r="AR1373" s="21"/>
    </row>
    <row r="1374" spans="2:44" ht="31.5" x14ac:dyDescent="0.5">
      <c r="B1374" s="1"/>
      <c r="C1374" s="15"/>
      <c r="D1374" s="16"/>
      <c r="E1374" s="15"/>
      <c r="F1374" s="17"/>
      <c r="G1374" s="8"/>
      <c r="H1374" s="8"/>
      <c r="I1374" s="8"/>
      <c r="J1374" s="8"/>
      <c r="K1374" s="8"/>
      <c r="L1374" s="8"/>
      <c r="M1374" s="8"/>
      <c r="N1374" s="8"/>
      <c r="O1374" s="8"/>
      <c r="P1374" s="8"/>
      <c r="Q1374" s="8"/>
      <c r="R1374" s="8"/>
      <c r="S1374" s="8"/>
      <c r="T1374" s="8"/>
      <c r="U1374" s="8"/>
      <c r="V1374" s="8"/>
      <c r="W1374" s="8"/>
      <c r="X1374" s="8"/>
      <c r="Y1374" s="8"/>
      <c r="Z1374" s="8"/>
      <c r="AA1374" s="8"/>
      <c r="AB1374" s="8"/>
      <c r="AC1374" s="8"/>
      <c r="AD1374" s="8"/>
      <c r="AE1374" s="8"/>
      <c r="AF1374" s="8"/>
      <c r="AG1374" s="8"/>
      <c r="AH1374" s="8"/>
      <c r="AI1374" s="8"/>
      <c r="AJ1374" s="8"/>
      <c r="AK1374" s="8"/>
      <c r="AL1374" s="4"/>
      <c r="AM1374" s="5" t="str">
        <f t="shared" si="85"/>
        <v/>
      </c>
      <c r="AN1374" s="5" t="str">
        <f t="shared" si="86"/>
        <v/>
      </c>
      <c r="AO1374" s="18" t="str">
        <f t="shared" si="87"/>
        <v/>
      </c>
      <c r="AP1374" s="19"/>
      <c r="AQ1374" s="20" t="str">
        <f t="shared" si="88"/>
        <v/>
      </c>
      <c r="AR1374" s="21"/>
    </row>
    <row r="1375" spans="2:44" ht="31.5" x14ac:dyDescent="0.5">
      <c r="B1375" s="1"/>
      <c r="C1375" s="15"/>
      <c r="D1375" s="16"/>
      <c r="E1375" s="15"/>
      <c r="F1375" s="17"/>
      <c r="G1375" s="8"/>
      <c r="H1375" s="8"/>
      <c r="I1375" s="8"/>
      <c r="J1375" s="8"/>
      <c r="K1375" s="8"/>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4"/>
      <c r="AM1375" s="5" t="str">
        <f t="shared" si="85"/>
        <v/>
      </c>
      <c r="AN1375" s="5" t="str">
        <f t="shared" si="86"/>
        <v/>
      </c>
      <c r="AO1375" s="18" t="str">
        <f t="shared" si="87"/>
        <v/>
      </c>
      <c r="AP1375" s="19"/>
      <c r="AQ1375" s="20" t="str">
        <f t="shared" si="88"/>
        <v/>
      </c>
      <c r="AR1375" s="21"/>
    </row>
    <row r="1376" spans="2:44" ht="31.5" x14ac:dyDescent="0.5">
      <c r="B1376" s="1"/>
      <c r="C1376" s="15"/>
      <c r="D1376" s="16"/>
      <c r="E1376" s="15"/>
      <c r="F1376" s="17"/>
      <c r="G1376" s="8"/>
      <c r="H1376" s="8"/>
      <c r="I1376" s="8"/>
      <c r="J1376" s="8"/>
      <c r="K1376" s="8"/>
      <c r="L1376" s="8"/>
      <c r="M1376" s="8"/>
      <c r="N1376" s="8"/>
      <c r="O1376" s="8"/>
      <c r="P1376" s="8"/>
      <c r="Q1376" s="8"/>
      <c r="R1376" s="8"/>
      <c r="S1376" s="8"/>
      <c r="T1376" s="8"/>
      <c r="U1376" s="8"/>
      <c r="V1376" s="8"/>
      <c r="W1376" s="8"/>
      <c r="X1376" s="8"/>
      <c r="Y1376" s="8"/>
      <c r="Z1376" s="8"/>
      <c r="AA1376" s="8"/>
      <c r="AB1376" s="8"/>
      <c r="AC1376" s="8"/>
      <c r="AD1376" s="8"/>
      <c r="AE1376" s="8"/>
      <c r="AF1376" s="8"/>
      <c r="AG1376" s="8"/>
      <c r="AH1376" s="8"/>
      <c r="AI1376" s="8"/>
      <c r="AJ1376" s="8"/>
      <c r="AK1376" s="8"/>
      <c r="AL1376" s="4"/>
      <c r="AM1376" s="5" t="str">
        <f t="shared" si="85"/>
        <v/>
      </c>
      <c r="AN1376" s="5" t="str">
        <f t="shared" si="86"/>
        <v/>
      </c>
      <c r="AO1376" s="18" t="str">
        <f t="shared" si="87"/>
        <v/>
      </c>
      <c r="AP1376" s="19"/>
      <c r="AQ1376" s="20" t="str">
        <f t="shared" si="88"/>
        <v/>
      </c>
      <c r="AR1376" s="21"/>
    </row>
    <row r="1377" spans="2:44" ht="31.5" x14ac:dyDescent="0.5">
      <c r="B1377" s="1"/>
      <c r="C1377" s="15"/>
      <c r="D1377" s="16"/>
      <c r="E1377" s="15"/>
      <c r="F1377" s="17"/>
      <c r="G1377" s="8"/>
      <c r="H1377" s="8"/>
      <c r="I1377" s="8"/>
      <c r="J1377" s="8"/>
      <c r="K1377" s="8"/>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4"/>
      <c r="AM1377" s="5" t="str">
        <f t="shared" si="85"/>
        <v/>
      </c>
      <c r="AN1377" s="5" t="str">
        <f t="shared" si="86"/>
        <v/>
      </c>
      <c r="AO1377" s="18" t="str">
        <f t="shared" si="87"/>
        <v/>
      </c>
      <c r="AP1377" s="19"/>
      <c r="AQ1377" s="20" t="str">
        <f t="shared" si="88"/>
        <v/>
      </c>
      <c r="AR1377" s="21"/>
    </row>
    <row r="1378" spans="2:44" ht="31.5" x14ac:dyDescent="0.5">
      <c r="B1378" s="1"/>
      <c r="C1378" s="15"/>
      <c r="D1378" s="16"/>
      <c r="E1378" s="15"/>
      <c r="F1378" s="17"/>
      <c r="G1378" s="8"/>
      <c r="H1378" s="8"/>
      <c r="I1378" s="8"/>
      <c r="J1378" s="8"/>
      <c r="K1378" s="8"/>
      <c r="L1378" s="8"/>
      <c r="M1378" s="8"/>
      <c r="N1378" s="8"/>
      <c r="O1378" s="8"/>
      <c r="P1378" s="8"/>
      <c r="Q1378" s="8"/>
      <c r="R1378" s="8"/>
      <c r="S1378" s="8"/>
      <c r="T1378" s="8"/>
      <c r="U1378" s="8"/>
      <c r="V1378" s="8"/>
      <c r="W1378" s="8"/>
      <c r="X1378" s="8"/>
      <c r="Y1378" s="8"/>
      <c r="Z1378" s="8"/>
      <c r="AA1378" s="8"/>
      <c r="AB1378" s="8"/>
      <c r="AC1378" s="8"/>
      <c r="AD1378" s="8"/>
      <c r="AE1378" s="8"/>
      <c r="AF1378" s="8"/>
      <c r="AG1378" s="8"/>
      <c r="AH1378" s="8"/>
      <c r="AI1378" s="8"/>
      <c r="AJ1378" s="8"/>
      <c r="AK1378" s="8"/>
      <c r="AL1378" s="4"/>
      <c r="AM1378" s="5" t="str">
        <f t="shared" si="85"/>
        <v/>
      </c>
      <c r="AN1378" s="5" t="str">
        <f t="shared" si="86"/>
        <v/>
      </c>
      <c r="AO1378" s="18" t="str">
        <f t="shared" si="87"/>
        <v/>
      </c>
      <c r="AP1378" s="19"/>
      <c r="AQ1378" s="20" t="str">
        <f t="shared" si="88"/>
        <v/>
      </c>
      <c r="AR1378" s="21"/>
    </row>
    <row r="1379" spans="2:44" ht="31.5" x14ac:dyDescent="0.5">
      <c r="B1379" s="1"/>
      <c r="C1379" s="15"/>
      <c r="D1379" s="16"/>
      <c r="E1379" s="15"/>
      <c r="F1379" s="17"/>
      <c r="G1379" s="8"/>
      <c r="H1379" s="8"/>
      <c r="I1379" s="8"/>
      <c r="J1379" s="8"/>
      <c r="K1379" s="8"/>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4"/>
      <c r="AM1379" s="5" t="str">
        <f t="shared" si="85"/>
        <v/>
      </c>
      <c r="AN1379" s="5" t="str">
        <f t="shared" si="86"/>
        <v/>
      </c>
      <c r="AO1379" s="18" t="str">
        <f t="shared" si="87"/>
        <v/>
      </c>
      <c r="AP1379" s="19"/>
      <c r="AQ1379" s="20" t="str">
        <f t="shared" si="88"/>
        <v/>
      </c>
      <c r="AR1379" s="21"/>
    </row>
    <row r="1380" spans="2:44" ht="31.5" x14ac:dyDescent="0.5">
      <c r="B1380" s="1"/>
      <c r="C1380" s="15"/>
      <c r="D1380" s="16"/>
      <c r="E1380" s="15"/>
      <c r="F1380" s="17"/>
      <c r="G1380" s="8"/>
      <c r="H1380" s="8"/>
      <c r="I1380" s="8"/>
      <c r="J1380" s="8"/>
      <c r="K1380" s="8"/>
      <c r="L1380" s="8"/>
      <c r="M1380" s="8"/>
      <c r="N1380" s="8"/>
      <c r="O1380" s="8"/>
      <c r="P1380" s="8"/>
      <c r="Q1380" s="8"/>
      <c r="R1380" s="8"/>
      <c r="S1380" s="8"/>
      <c r="T1380" s="8"/>
      <c r="U1380" s="8"/>
      <c r="V1380" s="8"/>
      <c r="W1380" s="8"/>
      <c r="X1380" s="8"/>
      <c r="Y1380" s="8"/>
      <c r="Z1380" s="8"/>
      <c r="AA1380" s="8"/>
      <c r="AB1380" s="8"/>
      <c r="AC1380" s="8"/>
      <c r="AD1380" s="8"/>
      <c r="AE1380" s="8"/>
      <c r="AF1380" s="8"/>
      <c r="AG1380" s="8"/>
      <c r="AH1380" s="8"/>
      <c r="AI1380" s="8"/>
      <c r="AJ1380" s="8"/>
      <c r="AK1380" s="8"/>
      <c r="AL1380" s="4"/>
      <c r="AM1380" s="5" t="str">
        <f t="shared" si="85"/>
        <v/>
      </c>
      <c r="AN1380" s="5" t="str">
        <f t="shared" si="86"/>
        <v/>
      </c>
      <c r="AO1380" s="18" t="str">
        <f t="shared" si="87"/>
        <v/>
      </c>
      <c r="AP1380" s="19"/>
      <c r="AQ1380" s="20" t="str">
        <f t="shared" si="88"/>
        <v/>
      </c>
      <c r="AR1380" s="21"/>
    </row>
    <row r="1381" spans="2:44" ht="31.5" x14ac:dyDescent="0.5">
      <c r="B1381" s="1"/>
      <c r="C1381" s="15"/>
      <c r="D1381" s="16"/>
      <c r="E1381" s="15"/>
      <c r="F1381" s="17"/>
      <c r="G1381" s="8"/>
      <c r="H1381" s="8"/>
      <c r="I1381" s="8"/>
      <c r="J1381" s="8"/>
      <c r="K1381" s="8"/>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4"/>
      <c r="AM1381" s="5" t="str">
        <f t="shared" si="85"/>
        <v/>
      </c>
      <c r="AN1381" s="5" t="str">
        <f t="shared" si="86"/>
        <v/>
      </c>
      <c r="AO1381" s="18" t="str">
        <f t="shared" si="87"/>
        <v/>
      </c>
      <c r="AP1381" s="19"/>
      <c r="AQ1381" s="20" t="str">
        <f t="shared" si="88"/>
        <v/>
      </c>
      <c r="AR1381" s="21"/>
    </row>
    <row r="1382" spans="2:44" ht="31.5" x14ac:dyDescent="0.5">
      <c r="B1382" s="1"/>
      <c r="C1382" s="15"/>
      <c r="D1382" s="16"/>
      <c r="E1382" s="15"/>
      <c r="F1382" s="17"/>
      <c r="G1382" s="8"/>
      <c r="H1382" s="8"/>
      <c r="I1382" s="8"/>
      <c r="J1382" s="8"/>
      <c r="K1382" s="8"/>
      <c r="L1382" s="8"/>
      <c r="M1382" s="8"/>
      <c r="N1382" s="8"/>
      <c r="O1382" s="8"/>
      <c r="P1382" s="8"/>
      <c r="Q1382" s="8"/>
      <c r="R1382" s="8"/>
      <c r="S1382" s="8"/>
      <c r="T1382" s="8"/>
      <c r="U1382" s="8"/>
      <c r="V1382" s="8"/>
      <c r="W1382" s="8"/>
      <c r="X1382" s="8"/>
      <c r="Y1382" s="8"/>
      <c r="Z1382" s="8"/>
      <c r="AA1382" s="8"/>
      <c r="AB1382" s="8"/>
      <c r="AC1382" s="8"/>
      <c r="AD1382" s="8"/>
      <c r="AE1382" s="8"/>
      <c r="AF1382" s="8"/>
      <c r="AG1382" s="8"/>
      <c r="AH1382" s="8"/>
      <c r="AI1382" s="8"/>
      <c r="AJ1382" s="8"/>
      <c r="AK1382" s="8"/>
      <c r="AL1382" s="4"/>
      <c r="AM1382" s="5" t="str">
        <f t="shared" si="85"/>
        <v/>
      </c>
      <c r="AN1382" s="5" t="str">
        <f t="shared" si="86"/>
        <v/>
      </c>
      <c r="AO1382" s="18" t="str">
        <f t="shared" si="87"/>
        <v/>
      </c>
      <c r="AP1382" s="19"/>
      <c r="AQ1382" s="20" t="str">
        <f t="shared" si="88"/>
        <v/>
      </c>
      <c r="AR1382" s="21"/>
    </row>
    <row r="1383" spans="2:44" ht="31.5" x14ac:dyDescent="0.5">
      <c r="B1383" s="1"/>
      <c r="C1383" s="15"/>
      <c r="D1383" s="16"/>
      <c r="E1383" s="15"/>
      <c r="F1383" s="17"/>
      <c r="G1383" s="8"/>
      <c r="H1383" s="8"/>
      <c r="I1383" s="8"/>
      <c r="J1383" s="8"/>
      <c r="K1383" s="8"/>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4"/>
      <c r="AM1383" s="5" t="str">
        <f t="shared" si="85"/>
        <v/>
      </c>
      <c r="AN1383" s="5" t="str">
        <f t="shared" si="86"/>
        <v/>
      </c>
      <c r="AO1383" s="18" t="str">
        <f t="shared" si="87"/>
        <v/>
      </c>
      <c r="AP1383" s="19"/>
      <c r="AQ1383" s="20" t="str">
        <f t="shared" si="88"/>
        <v/>
      </c>
      <c r="AR1383" s="21"/>
    </row>
    <row r="1384" spans="2:44" ht="31.5" x14ac:dyDescent="0.5">
      <c r="B1384" s="1"/>
      <c r="C1384" s="15"/>
      <c r="D1384" s="16"/>
      <c r="E1384" s="15"/>
      <c r="F1384" s="17"/>
      <c r="G1384" s="8"/>
      <c r="H1384" s="8"/>
      <c r="I1384" s="8"/>
      <c r="J1384" s="8"/>
      <c r="K1384" s="8"/>
      <c r="L1384" s="8"/>
      <c r="M1384" s="8"/>
      <c r="N1384" s="8"/>
      <c r="O1384" s="8"/>
      <c r="P1384" s="8"/>
      <c r="Q1384" s="8"/>
      <c r="R1384" s="8"/>
      <c r="S1384" s="8"/>
      <c r="T1384" s="8"/>
      <c r="U1384" s="8"/>
      <c r="V1384" s="8"/>
      <c r="W1384" s="8"/>
      <c r="X1384" s="8"/>
      <c r="Y1384" s="8"/>
      <c r="Z1384" s="8"/>
      <c r="AA1384" s="8"/>
      <c r="AB1384" s="8"/>
      <c r="AC1384" s="8"/>
      <c r="AD1384" s="8"/>
      <c r="AE1384" s="8"/>
      <c r="AF1384" s="8"/>
      <c r="AG1384" s="8"/>
      <c r="AH1384" s="8"/>
      <c r="AI1384" s="8"/>
      <c r="AJ1384" s="8"/>
      <c r="AK1384" s="8"/>
      <c r="AL1384" s="4"/>
      <c r="AM1384" s="5" t="str">
        <f t="shared" si="85"/>
        <v/>
      </c>
      <c r="AN1384" s="5" t="str">
        <f t="shared" si="86"/>
        <v/>
      </c>
      <c r="AO1384" s="18" t="str">
        <f t="shared" si="87"/>
        <v/>
      </c>
      <c r="AP1384" s="19"/>
      <c r="AQ1384" s="20" t="str">
        <f t="shared" si="88"/>
        <v/>
      </c>
      <c r="AR1384" s="21"/>
    </row>
    <row r="1385" spans="2:44" ht="31.5" x14ac:dyDescent="0.5">
      <c r="B1385" s="1"/>
      <c r="C1385" s="15"/>
      <c r="D1385" s="16"/>
      <c r="E1385" s="15"/>
      <c r="F1385" s="17"/>
      <c r="G1385" s="8"/>
      <c r="H1385" s="8"/>
      <c r="I1385" s="8"/>
      <c r="J1385" s="8"/>
      <c r="K1385" s="8"/>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4"/>
      <c r="AM1385" s="5" t="str">
        <f t="shared" si="85"/>
        <v/>
      </c>
      <c r="AN1385" s="5" t="str">
        <f t="shared" si="86"/>
        <v/>
      </c>
      <c r="AO1385" s="18" t="str">
        <f t="shared" si="87"/>
        <v/>
      </c>
      <c r="AP1385" s="19"/>
      <c r="AQ1385" s="20" t="str">
        <f t="shared" si="88"/>
        <v/>
      </c>
      <c r="AR1385" s="21"/>
    </row>
    <row r="1386" spans="2:44" ht="31.5" x14ac:dyDescent="0.5">
      <c r="B1386" s="1"/>
      <c r="C1386" s="15"/>
      <c r="D1386" s="16"/>
      <c r="E1386" s="15"/>
      <c r="F1386" s="17"/>
      <c r="G1386" s="8"/>
      <c r="H1386" s="8"/>
      <c r="I1386" s="8"/>
      <c r="J1386" s="8"/>
      <c r="K1386" s="8"/>
      <c r="L1386" s="8"/>
      <c r="M1386" s="8"/>
      <c r="N1386" s="8"/>
      <c r="O1386" s="8"/>
      <c r="P1386" s="8"/>
      <c r="Q1386" s="8"/>
      <c r="R1386" s="8"/>
      <c r="S1386" s="8"/>
      <c r="T1386" s="8"/>
      <c r="U1386" s="8"/>
      <c r="V1386" s="8"/>
      <c r="W1386" s="8"/>
      <c r="X1386" s="8"/>
      <c r="Y1386" s="8"/>
      <c r="Z1386" s="8"/>
      <c r="AA1386" s="8"/>
      <c r="AB1386" s="8"/>
      <c r="AC1386" s="8"/>
      <c r="AD1386" s="8"/>
      <c r="AE1386" s="8"/>
      <c r="AF1386" s="8"/>
      <c r="AG1386" s="8"/>
      <c r="AH1386" s="8"/>
      <c r="AI1386" s="8"/>
      <c r="AJ1386" s="8"/>
      <c r="AK1386" s="8"/>
      <c r="AL1386" s="4"/>
      <c r="AM1386" s="5" t="str">
        <f t="shared" si="85"/>
        <v/>
      </c>
      <c r="AN1386" s="5" t="str">
        <f t="shared" si="86"/>
        <v/>
      </c>
      <c r="AO1386" s="18" t="str">
        <f t="shared" si="87"/>
        <v/>
      </c>
      <c r="AP1386" s="19"/>
      <c r="AQ1386" s="20" t="str">
        <f t="shared" si="88"/>
        <v/>
      </c>
      <c r="AR1386" s="21"/>
    </row>
    <row r="1387" spans="2:44" ht="31.5" x14ac:dyDescent="0.5">
      <c r="B1387" s="1"/>
      <c r="C1387" s="15"/>
      <c r="D1387" s="16"/>
      <c r="E1387" s="15"/>
      <c r="F1387" s="17"/>
      <c r="G1387" s="8"/>
      <c r="H1387" s="8"/>
      <c r="I1387" s="8"/>
      <c r="J1387" s="8"/>
      <c r="K1387" s="8"/>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4"/>
      <c r="AM1387" s="5" t="str">
        <f t="shared" si="85"/>
        <v/>
      </c>
      <c r="AN1387" s="5" t="str">
        <f t="shared" si="86"/>
        <v/>
      </c>
      <c r="AO1387" s="18" t="str">
        <f t="shared" si="87"/>
        <v/>
      </c>
      <c r="AP1387" s="19"/>
      <c r="AQ1387" s="20" t="str">
        <f t="shared" si="88"/>
        <v/>
      </c>
      <c r="AR1387" s="21"/>
    </row>
    <row r="1388" spans="2:44" ht="31.5" x14ac:dyDescent="0.5">
      <c r="B1388" s="1"/>
      <c r="C1388" s="15"/>
      <c r="D1388" s="16"/>
      <c r="E1388" s="15"/>
      <c r="F1388" s="17"/>
      <c r="G1388" s="8"/>
      <c r="H1388" s="8"/>
      <c r="I1388" s="8"/>
      <c r="J1388" s="8"/>
      <c r="K1388" s="8"/>
      <c r="L1388" s="8"/>
      <c r="M1388" s="8"/>
      <c r="N1388" s="8"/>
      <c r="O1388" s="8"/>
      <c r="P1388" s="8"/>
      <c r="Q1388" s="8"/>
      <c r="R1388" s="8"/>
      <c r="S1388" s="8"/>
      <c r="T1388" s="8"/>
      <c r="U1388" s="8"/>
      <c r="V1388" s="8"/>
      <c r="W1388" s="8"/>
      <c r="X1388" s="8"/>
      <c r="Y1388" s="8"/>
      <c r="Z1388" s="8"/>
      <c r="AA1388" s="8"/>
      <c r="AB1388" s="8"/>
      <c r="AC1388" s="8"/>
      <c r="AD1388" s="8"/>
      <c r="AE1388" s="8"/>
      <c r="AF1388" s="8"/>
      <c r="AG1388" s="8"/>
      <c r="AH1388" s="8"/>
      <c r="AI1388" s="8"/>
      <c r="AJ1388" s="8"/>
      <c r="AK1388" s="8"/>
      <c r="AL1388" s="4"/>
      <c r="AM1388" s="5" t="str">
        <f t="shared" si="85"/>
        <v/>
      </c>
      <c r="AN1388" s="5" t="str">
        <f t="shared" si="86"/>
        <v/>
      </c>
      <c r="AO1388" s="18" t="str">
        <f t="shared" si="87"/>
        <v/>
      </c>
      <c r="AP1388" s="19"/>
      <c r="AQ1388" s="20" t="str">
        <f t="shared" si="88"/>
        <v/>
      </c>
      <c r="AR1388" s="21"/>
    </row>
    <row r="1389" spans="2:44" ht="31.5" x14ac:dyDescent="0.5">
      <c r="B1389" s="1"/>
      <c r="C1389" s="15"/>
      <c r="D1389" s="16"/>
      <c r="E1389" s="15"/>
      <c r="F1389" s="17"/>
      <c r="G1389" s="8"/>
      <c r="H1389" s="8"/>
      <c r="I1389" s="8"/>
      <c r="J1389" s="8"/>
      <c r="K1389" s="8"/>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4"/>
      <c r="AM1389" s="5" t="str">
        <f t="shared" si="85"/>
        <v/>
      </c>
      <c r="AN1389" s="5" t="str">
        <f t="shared" si="86"/>
        <v/>
      </c>
      <c r="AO1389" s="18" t="str">
        <f t="shared" si="87"/>
        <v/>
      </c>
      <c r="AP1389" s="19"/>
      <c r="AQ1389" s="20" t="str">
        <f t="shared" si="88"/>
        <v/>
      </c>
      <c r="AR1389" s="21"/>
    </row>
    <row r="1390" spans="2:44" ht="31.5" x14ac:dyDescent="0.5">
      <c r="B1390" s="1"/>
      <c r="C1390" s="15"/>
      <c r="D1390" s="16"/>
      <c r="E1390" s="15"/>
      <c r="F1390" s="17"/>
      <c r="G1390" s="8"/>
      <c r="H1390" s="8"/>
      <c r="I1390" s="8"/>
      <c r="J1390" s="8"/>
      <c r="K1390" s="8"/>
      <c r="L1390" s="8"/>
      <c r="M1390" s="8"/>
      <c r="N1390" s="8"/>
      <c r="O1390" s="8"/>
      <c r="P1390" s="8"/>
      <c r="Q1390" s="8"/>
      <c r="R1390" s="8"/>
      <c r="S1390" s="8"/>
      <c r="T1390" s="8"/>
      <c r="U1390" s="8"/>
      <c r="V1390" s="8"/>
      <c r="W1390" s="8"/>
      <c r="X1390" s="8"/>
      <c r="Y1390" s="8"/>
      <c r="Z1390" s="8"/>
      <c r="AA1390" s="8"/>
      <c r="AB1390" s="8"/>
      <c r="AC1390" s="8"/>
      <c r="AD1390" s="8"/>
      <c r="AE1390" s="8"/>
      <c r="AF1390" s="8"/>
      <c r="AG1390" s="8"/>
      <c r="AH1390" s="8"/>
      <c r="AI1390" s="8"/>
      <c r="AJ1390" s="8"/>
      <c r="AK1390" s="8"/>
      <c r="AL1390" s="4"/>
      <c r="AM1390" s="5" t="str">
        <f t="shared" si="85"/>
        <v/>
      </c>
      <c r="AN1390" s="5" t="str">
        <f t="shared" si="86"/>
        <v/>
      </c>
      <c r="AO1390" s="18" t="str">
        <f t="shared" si="87"/>
        <v/>
      </c>
      <c r="AP1390" s="19"/>
      <c r="AQ1390" s="20" t="str">
        <f t="shared" si="88"/>
        <v/>
      </c>
      <c r="AR1390" s="21"/>
    </row>
    <row r="1391" spans="2:44" ht="31.5" x14ac:dyDescent="0.5">
      <c r="B1391" s="1"/>
      <c r="C1391" s="15"/>
      <c r="D1391" s="16"/>
      <c r="E1391" s="15"/>
      <c r="F1391" s="17"/>
      <c r="G1391" s="8"/>
      <c r="H1391" s="8"/>
      <c r="I1391" s="8"/>
      <c r="J1391" s="8"/>
      <c r="K1391" s="8"/>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4"/>
      <c r="AM1391" s="5" t="str">
        <f t="shared" si="85"/>
        <v/>
      </c>
      <c r="AN1391" s="5" t="str">
        <f t="shared" si="86"/>
        <v/>
      </c>
      <c r="AO1391" s="18" t="str">
        <f t="shared" si="87"/>
        <v/>
      </c>
      <c r="AP1391" s="19"/>
      <c r="AQ1391" s="20" t="str">
        <f t="shared" si="88"/>
        <v/>
      </c>
      <c r="AR1391" s="21"/>
    </row>
    <row r="1392" spans="2:44" ht="31.5" x14ac:dyDescent="0.5">
      <c r="B1392" s="1"/>
      <c r="C1392" s="15"/>
      <c r="D1392" s="16"/>
      <c r="E1392" s="15"/>
      <c r="F1392" s="17"/>
      <c r="G1392" s="8"/>
      <c r="H1392" s="8"/>
      <c r="I1392" s="8"/>
      <c r="J1392" s="8"/>
      <c r="K1392" s="8"/>
      <c r="L1392" s="8"/>
      <c r="M1392" s="8"/>
      <c r="N1392" s="8"/>
      <c r="O1392" s="8"/>
      <c r="P1392" s="8"/>
      <c r="Q1392" s="8"/>
      <c r="R1392" s="8"/>
      <c r="S1392" s="8"/>
      <c r="T1392" s="8"/>
      <c r="U1392" s="8"/>
      <c r="V1392" s="8"/>
      <c r="W1392" s="8"/>
      <c r="X1392" s="8"/>
      <c r="Y1392" s="8"/>
      <c r="Z1392" s="8"/>
      <c r="AA1392" s="8"/>
      <c r="AB1392" s="8"/>
      <c r="AC1392" s="8"/>
      <c r="AD1392" s="8"/>
      <c r="AE1392" s="8"/>
      <c r="AF1392" s="8"/>
      <c r="AG1392" s="8"/>
      <c r="AH1392" s="8"/>
      <c r="AI1392" s="8"/>
      <c r="AJ1392" s="8"/>
      <c r="AK1392" s="8"/>
      <c r="AL1392" s="4"/>
      <c r="AM1392" s="5" t="str">
        <f t="shared" si="85"/>
        <v/>
      </c>
      <c r="AN1392" s="5" t="str">
        <f t="shared" si="86"/>
        <v/>
      </c>
      <c r="AO1392" s="18" t="str">
        <f t="shared" si="87"/>
        <v/>
      </c>
      <c r="AP1392" s="19"/>
      <c r="AQ1392" s="20" t="str">
        <f t="shared" si="88"/>
        <v/>
      </c>
      <c r="AR1392" s="21"/>
    </row>
    <row r="1393" spans="2:44" ht="31.5" x14ac:dyDescent="0.5">
      <c r="B1393" s="1"/>
      <c r="C1393" s="15"/>
      <c r="D1393" s="16"/>
      <c r="E1393" s="15"/>
      <c r="F1393" s="17"/>
      <c r="G1393" s="8"/>
      <c r="H1393" s="8"/>
      <c r="I1393" s="8"/>
      <c r="J1393" s="8"/>
      <c r="K1393" s="8"/>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4"/>
      <c r="AM1393" s="5" t="str">
        <f t="shared" si="85"/>
        <v/>
      </c>
      <c r="AN1393" s="5" t="str">
        <f t="shared" si="86"/>
        <v/>
      </c>
      <c r="AO1393" s="18" t="str">
        <f t="shared" si="87"/>
        <v/>
      </c>
      <c r="AP1393" s="19"/>
      <c r="AQ1393" s="20" t="str">
        <f t="shared" si="88"/>
        <v/>
      </c>
      <c r="AR1393" s="21"/>
    </row>
    <row r="1394" spans="2:44" ht="31.5" x14ac:dyDescent="0.5">
      <c r="B1394" s="1"/>
      <c r="C1394" s="15"/>
      <c r="D1394" s="16"/>
      <c r="E1394" s="15"/>
      <c r="F1394" s="17"/>
      <c r="G1394" s="8"/>
      <c r="H1394" s="8"/>
      <c r="I1394" s="8"/>
      <c r="J1394" s="8"/>
      <c r="K1394" s="8"/>
      <c r="L1394" s="8"/>
      <c r="M1394" s="8"/>
      <c r="N1394" s="8"/>
      <c r="O1394" s="8"/>
      <c r="P1394" s="8"/>
      <c r="Q1394" s="8"/>
      <c r="R1394" s="8"/>
      <c r="S1394" s="8"/>
      <c r="T1394" s="8"/>
      <c r="U1394" s="8"/>
      <c r="V1394" s="8"/>
      <c r="W1394" s="8"/>
      <c r="X1394" s="8"/>
      <c r="Y1394" s="8"/>
      <c r="Z1394" s="8"/>
      <c r="AA1394" s="8"/>
      <c r="AB1394" s="8"/>
      <c r="AC1394" s="8"/>
      <c r="AD1394" s="8"/>
      <c r="AE1394" s="8"/>
      <c r="AF1394" s="8"/>
      <c r="AG1394" s="8"/>
      <c r="AH1394" s="8"/>
      <c r="AI1394" s="8"/>
      <c r="AJ1394" s="8"/>
      <c r="AK1394" s="8"/>
      <c r="AL1394" s="4"/>
      <c r="AM1394" s="5" t="str">
        <f t="shared" si="85"/>
        <v/>
      </c>
      <c r="AN1394" s="5" t="str">
        <f t="shared" si="86"/>
        <v/>
      </c>
      <c r="AO1394" s="18" t="str">
        <f t="shared" si="87"/>
        <v/>
      </c>
      <c r="AP1394" s="19"/>
      <c r="AQ1394" s="20" t="str">
        <f t="shared" si="88"/>
        <v/>
      </c>
      <c r="AR1394" s="21"/>
    </row>
    <row r="1395" spans="2:44" ht="31.5" x14ac:dyDescent="0.5">
      <c r="B1395" s="1"/>
      <c r="C1395" s="15"/>
      <c r="D1395" s="16"/>
      <c r="E1395" s="15"/>
      <c r="F1395" s="17"/>
      <c r="G1395" s="8"/>
      <c r="H1395" s="8"/>
      <c r="I1395" s="8"/>
      <c r="J1395" s="8"/>
      <c r="K1395" s="8"/>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4"/>
      <c r="AM1395" s="5" t="str">
        <f t="shared" ref="AM1395:AM1458" si="89">IF($B1395="","",COUNTIF($G1395:$AK1395,"P"))</f>
        <v/>
      </c>
      <c r="AN1395" s="5" t="str">
        <f t="shared" ref="AN1395:AN1458" si="90">IF($B1395="","",COUNTIF($G1395:$AK1395,"AB"))</f>
        <v/>
      </c>
      <c r="AO1395" s="18" t="str">
        <f t="shared" ref="AO1395:AO1458" si="91">IF($B1395="","",SUMPRODUCT(--($G$11:$AK$11&lt;&gt;""),--($G$12:$AK$12&lt;&gt;"Sun")))</f>
        <v/>
      </c>
      <c r="AP1395" s="19"/>
      <c r="AQ1395" s="20" t="str">
        <f t="shared" ref="AQ1395:AQ1458" si="92">IF($B1395="","",IF(AO1395=0,"",AM1395/AO1395))</f>
        <v/>
      </c>
      <c r="AR1395" s="21"/>
    </row>
    <row r="1396" spans="2:44" ht="31.5" x14ac:dyDescent="0.5">
      <c r="B1396" s="1"/>
      <c r="C1396" s="15"/>
      <c r="D1396" s="16"/>
      <c r="E1396" s="15"/>
      <c r="F1396" s="17"/>
      <c r="G1396" s="8"/>
      <c r="H1396" s="8"/>
      <c r="I1396" s="8"/>
      <c r="J1396" s="8"/>
      <c r="K1396" s="8"/>
      <c r="L1396" s="8"/>
      <c r="M1396" s="8"/>
      <c r="N1396" s="8"/>
      <c r="O1396" s="8"/>
      <c r="P1396" s="8"/>
      <c r="Q1396" s="8"/>
      <c r="R1396" s="8"/>
      <c r="S1396" s="8"/>
      <c r="T1396" s="8"/>
      <c r="U1396" s="8"/>
      <c r="V1396" s="8"/>
      <c r="W1396" s="8"/>
      <c r="X1396" s="8"/>
      <c r="Y1396" s="8"/>
      <c r="Z1396" s="8"/>
      <c r="AA1396" s="8"/>
      <c r="AB1396" s="8"/>
      <c r="AC1396" s="8"/>
      <c r="AD1396" s="8"/>
      <c r="AE1396" s="8"/>
      <c r="AF1396" s="8"/>
      <c r="AG1396" s="8"/>
      <c r="AH1396" s="8"/>
      <c r="AI1396" s="8"/>
      <c r="AJ1396" s="8"/>
      <c r="AK1396" s="8"/>
      <c r="AL1396" s="4"/>
      <c r="AM1396" s="5" t="str">
        <f t="shared" si="89"/>
        <v/>
      </c>
      <c r="AN1396" s="5" t="str">
        <f t="shared" si="90"/>
        <v/>
      </c>
      <c r="AO1396" s="18" t="str">
        <f t="shared" si="91"/>
        <v/>
      </c>
      <c r="AP1396" s="19"/>
      <c r="AQ1396" s="20" t="str">
        <f t="shared" si="92"/>
        <v/>
      </c>
      <c r="AR1396" s="21"/>
    </row>
    <row r="1397" spans="2:44" ht="31.5" x14ac:dyDescent="0.5">
      <c r="B1397" s="1"/>
      <c r="C1397" s="15"/>
      <c r="D1397" s="16"/>
      <c r="E1397" s="15"/>
      <c r="F1397" s="17"/>
      <c r="G1397" s="8"/>
      <c r="H1397" s="8"/>
      <c r="I1397" s="8"/>
      <c r="J1397" s="8"/>
      <c r="K1397" s="8"/>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4"/>
      <c r="AM1397" s="5" t="str">
        <f t="shared" si="89"/>
        <v/>
      </c>
      <c r="AN1397" s="5" t="str">
        <f t="shared" si="90"/>
        <v/>
      </c>
      <c r="AO1397" s="18" t="str">
        <f t="shared" si="91"/>
        <v/>
      </c>
      <c r="AP1397" s="19"/>
      <c r="AQ1397" s="20" t="str">
        <f t="shared" si="92"/>
        <v/>
      </c>
      <c r="AR1397" s="21"/>
    </row>
    <row r="1398" spans="2:44" ht="31.5" x14ac:dyDescent="0.5">
      <c r="B1398" s="1"/>
      <c r="C1398" s="15"/>
      <c r="D1398" s="16"/>
      <c r="E1398" s="15"/>
      <c r="F1398" s="17"/>
      <c r="G1398" s="8"/>
      <c r="H1398" s="8"/>
      <c r="I1398" s="8"/>
      <c r="J1398" s="8"/>
      <c r="K1398" s="8"/>
      <c r="L1398" s="8"/>
      <c r="M1398" s="8"/>
      <c r="N1398" s="8"/>
      <c r="O1398" s="8"/>
      <c r="P1398" s="8"/>
      <c r="Q1398" s="8"/>
      <c r="R1398" s="8"/>
      <c r="S1398" s="8"/>
      <c r="T1398" s="8"/>
      <c r="U1398" s="8"/>
      <c r="V1398" s="8"/>
      <c r="W1398" s="8"/>
      <c r="X1398" s="8"/>
      <c r="Y1398" s="8"/>
      <c r="Z1398" s="8"/>
      <c r="AA1398" s="8"/>
      <c r="AB1398" s="8"/>
      <c r="AC1398" s="8"/>
      <c r="AD1398" s="8"/>
      <c r="AE1398" s="8"/>
      <c r="AF1398" s="8"/>
      <c r="AG1398" s="8"/>
      <c r="AH1398" s="8"/>
      <c r="AI1398" s="8"/>
      <c r="AJ1398" s="8"/>
      <c r="AK1398" s="8"/>
      <c r="AL1398" s="4"/>
      <c r="AM1398" s="5" t="str">
        <f t="shared" si="89"/>
        <v/>
      </c>
      <c r="AN1398" s="5" t="str">
        <f t="shared" si="90"/>
        <v/>
      </c>
      <c r="AO1398" s="18" t="str">
        <f t="shared" si="91"/>
        <v/>
      </c>
      <c r="AP1398" s="19"/>
      <c r="AQ1398" s="20" t="str">
        <f t="shared" si="92"/>
        <v/>
      </c>
      <c r="AR1398" s="21"/>
    </row>
    <row r="1399" spans="2:44" ht="31.5" x14ac:dyDescent="0.5">
      <c r="B1399" s="1"/>
      <c r="C1399" s="15"/>
      <c r="D1399" s="16"/>
      <c r="E1399" s="15"/>
      <c r="F1399" s="17"/>
      <c r="G1399" s="8"/>
      <c r="H1399" s="8"/>
      <c r="I1399" s="8"/>
      <c r="J1399" s="8"/>
      <c r="K1399" s="8"/>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4"/>
      <c r="AM1399" s="5" t="str">
        <f t="shared" si="89"/>
        <v/>
      </c>
      <c r="AN1399" s="5" t="str">
        <f t="shared" si="90"/>
        <v/>
      </c>
      <c r="AO1399" s="18" t="str">
        <f t="shared" si="91"/>
        <v/>
      </c>
      <c r="AP1399" s="19"/>
      <c r="AQ1399" s="20" t="str">
        <f t="shared" si="92"/>
        <v/>
      </c>
      <c r="AR1399" s="21"/>
    </row>
    <row r="1400" spans="2:44" ht="31.5" x14ac:dyDescent="0.5">
      <c r="B1400" s="1"/>
      <c r="C1400" s="15"/>
      <c r="D1400" s="16"/>
      <c r="E1400" s="15"/>
      <c r="F1400" s="17"/>
      <c r="G1400" s="8"/>
      <c r="H1400" s="8"/>
      <c r="I1400" s="8"/>
      <c r="J1400" s="8"/>
      <c r="K1400" s="8"/>
      <c r="L1400" s="8"/>
      <c r="M1400" s="8"/>
      <c r="N1400" s="8"/>
      <c r="O1400" s="8"/>
      <c r="P1400" s="8"/>
      <c r="Q1400" s="8"/>
      <c r="R1400" s="8"/>
      <c r="S1400" s="8"/>
      <c r="T1400" s="8"/>
      <c r="U1400" s="8"/>
      <c r="V1400" s="8"/>
      <c r="W1400" s="8"/>
      <c r="X1400" s="8"/>
      <c r="Y1400" s="8"/>
      <c r="Z1400" s="8"/>
      <c r="AA1400" s="8"/>
      <c r="AB1400" s="8"/>
      <c r="AC1400" s="8"/>
      <c r="AD1400" s="8"/>
      <c r="AE1400" s="8"/>
      <c r="AF1400" s="8"/>
      <c r="AG1400" s="8"/>
      <c r="AH1400" s="8"/>
      <c r="AI1400" s="8"/>
      <c r="AJ1400" s="8"/>
      <c r="AK1400" s="8"/>
      <c r="AL1400" s="4"/>
      <c r="AM1400" s="5" t="str">
        <f t="shared" si="89"/>
        <v/>
      </c>
      <c r="AN1400" s="5" t="str">
        <f t="shared" si="90"/>
        <v/>
      </c>
      <c r="AO1400" s="18" t="str">
        <f t="shared" si="91"/>
        <v/>
      </c>
      <c r="AP1400" s="19"/>
      <c r="AQ1400" s="20" t="str">
        <f t="shared" si="92"/>
        <v/>
      </c>
      <c r="AR1400" s="21"/>
    </row>
    <row r="1401" spans="2:44" ht="31.5" x14ac:dyDescent="0.5">
      <c r="B1401" s="1"/>
      <c r="C1401" s="15"/>
      <c r="D1401" s="16"/>
      <c r="E1401" s="15"/>
      <c r="F1401" s="17"/>
      <c r="G1401" s="8"/>
      <c r="H1401" s="8"/>
      <c r="I1401" s="8"/>
      <c r="J1401" s="8"/>
      <c r="K1401" s="8"/>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4"/>
      <c r="AM1401" s="5" t="str">
        <f t="shared" si="89"/>
        <v/>
      </c>
      <c r="AN1401" s="5" t="str">
        <f t="shared" si="90"/>
        <v/>
      </c>
      <c r="AO1401" s="18" t="str">
        <f t="shared" si="91"/>
        <v/>
      </c>
      <c r="AP1401" s="19"/>
      <c r="AQ1401" s="20" t="str">
        <f t="shared" si="92"/>
        <v/>
      </c>
      <c r="AR1401" s="21"/>
    </row>
    <row r="1402" spans="2:44" ht="31.5" x14ac:dyDescent="0.5">
      <c r="B1402" s="1"/>
      <c r="C1402" s="15"/>
      <c r="D1402" s="16"/>
      <c r="E1402" s="15"/>
      <c r="F1402" s="17"/>
      <c r="G1402" s="8"/>
      <c r="H1402" s="8"/>
      <c r="I1402" s="8"/>
      <c r="J1402" s="8"/>
      <c r="K1402" s="8"/>
      <c r="L1402" s="8"/>
      <c r="M1402" s="8"/>
      <c r="N1402" s="8"/>
      <c r="O1402" s="8"/>
      <c r="P1402" s="8"/>
      <c r="Q1402" s="8"/>
      <c r="R1402" s="8"/>
      <c r="S1402" s="8"/>
      <c r="T1402" s="8"/>
      <c r="U1402" s="8"/>
      <c r="V1402" s="8"/>
      <c r="W1402" s="8"/>
      <c r="X1402" s="8"/>
      <c r="Y1402" s="8"/>
      <c r="Z1402" s="8"/>
      <c r="AA1402" s="8"/>
      <c r="AB1402" s="8"/>
      <c r="AC1402" s="8"/>
      <c r="AD1402" s="8"/>
      <c r="AE1402" s="8"/>
      <c r="AF1402" s="8"/>
      <c r="AG1402" s="8"/>
      <c r="AH1402" s="8"/>
      <c r="AI1402" s="8"/>
      <c r="AJ1402" s="8"/>
      <c r="AK1402" s="8"/>
      <c r="AL1402" s="4"/>
      <c r="AM1402" s="5" t="str">
        <f t="shared" si="89"/>
        <v/>
      </c>
      <c r="AN1402" s="5" t="str">
        <f t="shared" si="90"/>
        <v/>
      </c>
      <c r="AO1402" s="18" t="str">
        <f t="shared" si="91"/>
        <v/>
      </c>
      <c r="AP1402" s="19"/>
      <c r="AQ1402" s="20" t="str">
        <f t="shared" si="92"/>
        <v/>
      </c>
      <c r="AR1402" s="21"/>
    </row>
    <row r="1403" spans="2:44" ht="31.5" x14ac:dyDescent="0.5">
      <c r="B1403" s="1"/>
      <c r="C1403" s="15"/>
      <c r="D1403" s="16"/>
      <c r="E1403" s="15"/>
      <c r="F1403" s="17"/>
      <c r="G1403" s="8"/>
      <c r="H1403" s="8"/>
      <c r="I1403" s="8"/>
      <c r="J1403" s="8"/>
      <c r="K1403" s="8"/>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4"/>
      <c r="AM1403" s="5" t="str">
        <f t="shared" si="89"/>
        <v/>
      </c>
      <c r="AN1403" s="5" t="str">
        <f t="shared" si="90"/>
        <v/>
      </c>
      <c r="AO1403" s="18" t="str">
        <f t="shared" si="91"/>
        <v/>
      </c>
      <c r="AP1403" s="19"/>
      <c r="AQ1403" s="20" t="str">
        <f t="shared" si="92"/>
        <v/>
      </c>
      <c r="AR1403" s="21"/>
    </row>
    <row r="1404" spans="2:44" ht="31.5" x14ac:dyDescent="0.5">
      <c r="B1404" s="1"/>
      <c r="C1404" s="15"/>
      <c r="D1404" s="16"/>
      <c r="E1404" s="15"/>
      <c r="F1404" s="17"/>
      <c r="G1404" s="8"/>
      <c r="H1404" s="8"/>
      <c r="I1404" s="8"/>
      <c r="J1404" s="8"/>
      <c r="K1404" s="8"/>
      <c r="L1404" s="8"/>
      <c r="M1404" s="8"/>
      <c r="N1404" s="8"/>
      <c r="O1404" s="8"/>
      <c r="P1404" s="8"/>
      <c r="Q1404" s="8"/>
      <c r="R1404" s="8"/>
      <c r="S1404" s="8"/>
      <c r="T1404" s="8"/>
      <c r="U1404" s="8"/>
      <c r="V1404" s="8"/>
      <c r="W1404" s="8"/>
      <c r="X1404" s="8"/>
      <c r="Y1404" s="8"/>
      <c r="Z1404" s="8"/>
      <c r="AA1404" s="8"/>
      <c r="AB1404" s="8"/>
      <c r="AC1404" s="8"/>
      <c r="AD1404" s="8"/>
      <c r="AE1404" s="8"/>
      <c r="AF1404" s="8"/>
      <c r="AG1404" s="8"/>
      <c r="AH1404" s="8"/>
      <c r="AI1404" s="8"/>
      <c r="AJ1404" s="8"/>
      <c r="AK1404" s="8"/>
      <c r="AL1404" s="4"/>
      <c r="AM1404" s="5" t="str">
        <f t="shared" si="89"/>
        <v/>
      </c>
      <c r="AN1404" s="5" t="str">
        <f t="shared" si="90"/>
        <v/>
      </c>
      <c r="AO1404" s="18" t="str">
        <f t="shared" si="91"/>
        <v/>
      </c>
      <c r="AP1404" s="19"/>
      <c r="AQ1404" s="20" t="str">
        <f t="shared" si="92"/>
        <v/>
      </c>
      <c r="AR1404" s="21"/>
    </row>
    <row r="1405" spans="2:44" ht="31.5" x14ac:dyDescent="0.5">
      <c r="B1405" s="1"/>
      <c r="C1405" s="15"/>
      <c r="D1405" s="16"/>
      <c r="E1405" s="15"/>
      <c r="F1405" s="17"/>
      <c r="G1405" s="8"/>
      <c r="H1405" s="8"/>
      <c r="I1405" s="8"/>
      <c r="J1405" s="8"/>
      <c r="K1405" s="8"/>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4"/>
      <c r="AM1405" s="5" t="str">
        <f t="shared" si="89"/>
        <v/>
      </c>
      <c r="AN1405" s="5" t="str">
        <f t="shared" si="90"/>
        <v/>
      </c>
      <c r="AO1405" s="18" t="str">
        <f t="shared" si="91"/>
        <v/>
      </c>
      <c r="AP1405" s="19"/>
      <c r="AQ1405" s="20" t="str">
        <f t="shared" si="92"/>
        <v/>
      </c>
      <c r="AR1405" s="21"/>
    </row>
    <row r="1406" spans="2:44" ht="31.5" x14ac:dyDescent="0.5">
      <c r="B1406" s="1"/>
      <c r="C1406" s="15"/>
      <c r="D1406" s="16"/>
      <c r="E1406" s="15"/>
      <c r="F1406" s="17"/>
      <c r="G1406" s="8"/>
      <c r="H1406" s="8"/>
      <c r="I1406" s="8"/>
      <c r="J1406" s="8"/>
      <c r="K1406" s="8"/>
      <c r="L1406" s="8"/>
      <c r="M1406" s="8"/>
      <c r="N1406" s="8"/>
      <c r="O1406" s="8"/>
      <c r="P1406" s="8"/>
      <c r="Q1406" s="8"/>
      <c r="R1406" s="8"/>
      <c r="S1406" s="8"/>
      <c r="T1406" s="8"/>
      <c r="U1406" s="8"/>
      <c r="V1406" s="8"/>
      <c r="W1406" s="8"/>
      <c r="X1406" s="8"/>
      <c r="Y1406" s="8"/>
      <c r="Z1406" s="8"/>
      <c r="AA1406" s="8"/>
      <c r="AB1406" s="8"/>
      <c r="AC1406" s="8"/>
      <c r="AD1406" s="8"/>
      <c r="AE1406" s="8"/>
      <c r="AF1406" s="8"/>
      <c r="AG1406" s="8"/>
      <c r="AH1406" s="8"/>
      <c r="AI1406" s="8"/>
      <c r="AJ1406" s="8"/>
      <c r="AK1406" s="8"/>
      <c r="AL1406" s="4"/>
      <c r="AM1406" s="5" t="str">
        <f t="shared" si="89"/>
        <v/>
      </c>
      <c r="AN1406" s="5" t="str">
        <f t="shared" si="90"/>
        <v/>
      </c>
      <c r="AO1406" s="18" t="str">
        <f t="shared" si="91"/>
        <v/>
      </c>
      <c r="AP1406" s="19"/>
      <c r="AQ1406" s="20" t="str">
        <f t="shared" si="92"/>
        <v/>
      </c>
      <c r="AR1406" s="21"/>
    </row>
    <row r="1407" spans="2:44" ht="31.5" x14ac:dyDescent="0.5">
      <c r="B1407" s="1"/>
      <c r="C1407" s="15"/>
      <c r="D1407" s="16"/>
      <c r="E1407" s="15"/>
      <c r="F1407" s="17"/>
      <c r="G1407" s="8"/>
      <c r="H1407" s="8"/>
      <c r="I1407" s="8"/>
      <c r="J1407" s="8"/>
      <c r="K1407" s="8"/>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4"/>
      <c r="AM1407" s="5" t="str">
        <f t="shared" si="89"/>
        <v/>
      </c>
      <c r="AN1407" s="5" t="str">
        <f t="shared" si="90"/>
        <v/>
      </c>
      <c r="AO1407" s="18" t="str">
        <f t="shared" si="91"/>
        <v/>
      </c>
      <c r="AP1407" s="19"/>
      <c r="AQ1407" s="20" t="str">
        <f t="shared" si="92"/>
        <v/>
      </c>
      <c r="AR1407" s="21"/>
    </row>
    <row r="1408" spans="2:44" ht="31.5" x14ac:dyDescent="0.5">
      <c r="B1408" s="1"/>
      <c r="C1408" s="15"/>
      <c r="D1408" s="16"/>
      <c r="E1408" s="15"/>
      <c r="F1408" s="17"/>
      <c r="G1408" s="8"/>
      <c r="H1408" s="8"/>
      <c r="I1408" s="8"/>
      <c r="J1408" s="8"/>
      <c r="K1408" s="8"/>
      <c r="L1408" s="8"/>
      <c r="M1408" s="8"/>
      <c r="N1408" s="8"/>
      <c r="O1408" s="8"/>
      <c r="P1408" s="8"/>
      <c r="Q1408" s="8"/>
      <c r="R1408" s="8"/>
      <c r="S1408" s="8"/>
      <c r="T1408" s="8"/>
      <c r="U1408" s="8"/>
      <c r="V1408" s="8"/>
      <c r="W1408" s="8"/>
      <c r="X1408" s="8"/>
      <c r="Y1408" s="8"/>
      <c r="Z1408" s="8"/>
      <c r="AA1408" s="8"/>
      <c r="AB1408" s="8"/>
      <c r="AC1408" s="8"/>
      <c r="AD1408" s="8"/>
      <c r="AE1408" s="8"/>
      <c r="AF1408" s="8"/>
      <c r="AG1408" s="8"/>
      <c r="AH1408" s="8"/>
      <c r="AI1408" s="8"/>
      <c r="AJ1408" s="8"/>
      <c r="AK1408" s="8"/>
      <c r="AL1408" s="4"/>
      <c r="AM1408" s="5" t="str">
        <f t="shared" si="89"/>
        <v/>
      </c>
      <c r="AN1408" s="5" t="str">
        <f t="shared" si="90"/>
        <v/>
      </c>
      <c r="AO1408" s="18" t="str">
        <f t="shared" si="91"/>
        <v/>
      </c>
      <c r="AP1408" s="19"/>
      <c r="AQ1408" s="20" t="str">
        <f t="shared" si="92"/>
        <v/>
      </c>
      <c r="AR1408" s="21"/>
    </row>
    <row r="1409" spans="2:44" ht="31.5" x14ac:dyDescent="0.5">
      <c r="B1409" s="1"/>
      <c r="C1409" s="15"/>
      <c r="D1409" s="16"/>
      <c r="E1409" s="15"/>
      <c r="F1409" s="17"/>
      <c r="G1409" s="8"/>
      <c r="H1409" s="8"/>
      <c r="I1409" s="8"/>
      <c r="J1409" s="8"/>
      <c r="K1409" s="8"/>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4"/>
      <c r="AM1409" s="5" t="str">
        <f t="shared" si="89"/>
        <v/>
      </c>
      <c r="AN1409" s="5" t="str">
        <f t="shared" si="90"/>
        <v/>
      </c>
      <c r="AO1409" s="18" t="str">
        <f t="shared" si="91"/>
        <v/>
      </c>
      <c r="AP1409" s="19"/>
      <c r="AQ1409" s="20" t="str">
        <f t="shared" si="92"/>
        <v/>
      </c>
      <c r="AR1409" s="21"/>
    </row>
    <row r="1410" spans="2:44" ht="31.5" x14ac:dyDescent="0.5">
      <c r="B1410" s="1"/>
      <c r="C1410" s="15"/>
      <c r="D1410" s="16"/>
      <c r="E1410" s="15"/>
      <c r="F1410" s="17"/>
      <c r="G1410" s="8"/>
      <c r="H1410" s="8"/>
      <c r="I1410" s="8"/>
      <c r="J1410" s="8"/>
      <c r="K1410" s="8"/>
      <c r="L1410" s="8"/>
      <c r="M1410" s="8"/>
      <c r="N1410" s="8"/>
      <c r="O1410" s="8"/>
      <c r="P1410" s="8"/>
      <c r="Q1410" s="8"/>
      <c r="R1410" s="8"/>
      <c r="S1410" s="8"/>
      <c r="T1410" s="8"/>
      <c r="U1410" s="8"/>
      <c r="V1410" s="8"/>
      <c r="W1410" s="8"/>
      <c r="X1410" s="8"/>
      <c r="Y1410" s="8"/>
      <c r="Z1410" s="8"/>
      <c r="AA1410" s="8"/>
      <c r="AB1410" s="8"/>
      <c r="AC1410" s="8"/>
      <c r="AD1410" s="8"/>
      <c r="AE1410" s="8"/>
      <c r="AF1410" s="8"/>
      <c r="AG1410" s="8"/>
      <c r="AH1410" s="8"/>
      <c r="AI1410" s="8"/>
      <c r="AJ1410" s="8"/>
      <c r="AK1410" s="8"/>
      <c r="AL1410" s="4"/>
      <c r="AM1410" s="5" t="str">
        <f t="shared" si="89"/>
        <v/>
      </c>
      <c r="AN1410" s="5" t="str">
        <f t="shared" si="90"/>
        <v/>
      </c>
      <c r="AO1410" s="18" t="str">
        <f t="shared" si="91"/>
        <v/>
      </c>
      <c r="AP1410" s="19"/>
      <c r="AQ1410" s="20" t="str">
        <f t="shared" si="92"/>
        <v/>
      </c>
      <c r="AR1410" s="21"/>
    </row>
    <row r="1411" spans="2:44" ht="31.5" x14ac:dyDescent="0.5">
      <c r="B1411" s="1"/>
      <c r="C1411" s="15"/>
      <c r="D1411" s="16"/>
      <c r="E1411" s="15"/>
      <c r="F1411" s="17"/>
      <c r="G1411" s="8"/>
      <c r="H1411" s="8"/>
      <c r="I1411" s="8"/>
      <c r="J1411" s="8"/>
      <c r="K1411" s="8"/>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4"/>
      <c r="AM1411" s="5" t="str">
        <f t="shared" si="89"/>
        <v/>
      </c>
      <c r="AN1411" s="5" t="str">
        <f t="shared" si="90"/>
        <v/>
      </c>
      <c r="AO1411" s="18" t="str">
        <f t="shared" si="91"/>
        <v/>
      </c>
      <c r="AP1411" s="19"/>
      <c r="AQ1411" s="20" t="str">
        <f t="shared" si="92"/>
        <v/>
      </c>
      <c r="AR1411" s="21"/>
    </row>
    <row r="1412" spans="2:44" ht="31.5" x14ac:dyDescent="0.5">
      <c r="B1412" s="1"/>
      <c r="C1412" s="15"/>
      <c r="D1412" s="16"/>
      <c r="E1412" s="15"/>
      <c r="F1412" s="17"/>
      <c r="G1412" s="8"/>
      <c r="H1412" s="8"/>
      <c r="I1412" s="8"/>
      <c r="J1412" s="8"/>
      <c r="K1412" s="8"/>
      <c r="L1412" s="8"/>
      <c r="M1412" s="8"/>
      <c r="N1412" s="8"/>
      <c r="O1412" s="8"/>
      <c r="P1412" s="8"/>
      <c r="Q1412" s="8"/>
      <c r="R1412" s="8"/>
      <c r="S1412" s="8"/>
      <c r="T1412" s="8"/>
      <c r="U1412" s="8"/>
      <c r="V1412" s="8"/>
      <c r="W1412" s="8"/>
      <c r="X1412" s="8"/>
      <c r="Y1412" s="8"/>
      <c r="Z1412" s="8"/>
      <c r="AA1412" s="8"/>
      <c r="AB1412" s="8"/>
      <c r="AC1412" s="8"/>
      <c r="AD1412" s="8"/>
      <c r="AE1412" s="8"/>
      <c r="AF1412" s="8"/>
      <c r="AG1412" s="8"/>
      <c r="AH1412" s="8"/>
      <c r="AI1412" s="8"/>
      <c r="AJ1412" s="8"/>
      <c r="AK1412" s="8"/>
      <c r="AL1412" s="4"/>
      <c r="AM1412" s="5" t="str">
        <f t="shared" si="89"/>
        <v/>
      </c>
      <c r="AN1412" s="5" t="str">
        <f t="shared" si="90"/>
        <v/>
      </c>
      <c r="AO1412" s="18" t="str">
        <f t="shared" si="91"/>
        <v/>
      </c>
      <c r="AP1412" s="19"/>
      <c r="AQ1412" s="20" t="str">
        <f t="shared" si="92"/>
        <v/>
      </c>
      <c r="AR1412" s="21"/>
    </row>
    <row r="1413" spans="2:44" ht="31.5" x14ac:dyDescent="0.5">
      <c r="B1413" s="1"/>
      <c r="C1413" s="15"/>
      <c r="D1413" s="16"/>
      <c r="E1413" s="15"/>
      <c r="F1413" s="17"/>
      <c r="G1413" s="8"/>
      <c r="H1413" s="8"/>
      <c r="I1413" s="8"/>
      <c r="J1413" s="8"/>
      <c r="K1413" s="8"/>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4"/>
      <c r="AM1413" s="5" t="str">
        <f t="shared" si="89"/>
        <v/>
      </c>
      <c r="AN1413" s="5" t="str">
        <f t="shared" si="90"/>
        <v/>
      </c>
      <c r="AO1413" s="18" t="str">
        <f t="shared" si="91"/>
        <v/>
      </c>
      <c r="AP1413" s="19"/>
      <c r="AQ1413" s="20" t="str">
        <f t="shared" si="92"/>
        <v/>
      </c>
      <c r="AR1413" s="21"/>
    </row>
    <row r="1414" spans="2:44" ht="31.5" x14ac:dyDescent="0.5">
      <c r="B1414" s="1"/>
      <c r="C1414" s="15"/>
      <c r="D1414" s="16"/>
      <c r="E1414" s="15"/>
      <c r="F1414" s="17"/>
      <c r="G1414" s="8"/>
      <c r="H1414" s="8"/>
      <c r="I1414" s="8"/>
      <c r="J1414" s="8"/>
      <c r="K1414" s="8"/>
      <c r="L1414" s="8"/>
      <c r="M1414" s="8"/>
      <c r="N1414" s="8"/>
      <c r="O1414" s="8"/>
      <c r="P1414" s="8"/>
      <c r="Q1414" s="8"/>
      <c r="R1414" s="8"/>
      <c r="S1414" s="8"/>
      <c r="T1414" s="8"/>
      <c r="U1414" s="8"/>
      <c r="V1414" s="8"/>
      <c r="W1414" s="8"/>
      <c r="X1414" s="8"/>
      <c r="Y1414" s="8"/>
      <c r="Z1414" s="8"/>
      <c r="AA1414" s="8"/>
      <c r="AB1414" s="8"/>
      <c r="AC1414" s="8"/>
      <c r="AD1414" s="8"/>
      <c r="AE1414" s="8"/>
      <c r="AF1414" s="8"/>
      <c r="AG1414" s="8"/>
      <c r="AH1414" s="8"/>
      <c r="AI1414" s="8"/>
      <c r="AJ1414" s="8"/>
      <c r="AK1414" s="8"/>
      <c r="AL1414" s="4"/>
      <c r="AM1414" s="5" t="str">
        <f t="shared" si="89"/>
        <v/>
      </c>
      <c r="AN1414" s="5" t="str">
        <f t="shared" si="90"/>
        <v/>
      </c>
      <c r="AO1414" s="18" t="str">
        <f t="shared" si="91"/>
        <v/>
      </c>
      <c r="AP1414" s="19"/>
      <c r="AQ1414" s="20" t="str">
        <f t="shared" si="92"/>
        <v/>
      </c>
      <c r="AR1414" s="21"/>
    </row>
    <row r="1415" spans="2:44" ht="31.5" x14ac:dyDescent="0.5">
      <c r="B1415" s="1"/>
      <c r="C1415" s="15"/>
      <c r="D1415" s="16"/>
      <c r="E1415" s="15"/>
      <c r="F1415" s="17"/>
      <c r="G1415" s="8"/>
      <c r="H1415" s="8"/>
      <c r="I1415" s="8"/>
      <c r="J1415" s="8"/>
      <c r="K1415" s="8"/>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4"/>
      <c r="AM1415" s="5" t="str">
        <f t="shared" si="89"/>
        <v/>
      </c>
      <c r="AN1415" s="5" t="str">
        <f t="shared" si="90"/>
        <v/>
      </c>
      <c r="AO1415" s="18" t="str">
        <f t="shared" si="91"/>
        <v/>
      </c>
      <c r="AP1415" s="19"/>
      <c r="AQ1415" s="20" t="str">
        <f t="shared" si="92"/>
        <v/>
      </c>
      <c r="AR1415" s="21"/>
    </row>
    <row r="1416" spans="2:44" ht="31.5" x14ac:dyDescent="0.5">
      <c r="B1416" s="1"/>
      <c r="C1416" s="15"/>
      <c r="D1416" s="16"/>
      <c r="E1416" s="15"/>
      <c r="F1416" s="17"/>
      <c r="G1416" s="8"/>
      <c r="H1416" s="8"/>
      <c r="I1416" s="8"/>
      <c r="J1416" s="8"/>
      <c r="K1416" s="8"/>
      <c r="L1416" s="8"/>
      <c r="M1416" s="8"/>
      <c r="N1416" s="8"/>
      <c r="O1416" s="8"/>
      <c r="P1416" s="8"/>
      <c r="Q1416" s="8"/>
      <c r="R1416" s="8"/>
      <c r="S1416" s="8"/>
      <c r="T1416" s="8"/>
      <c r="U1416" s="8"/>
      <c r="V1416" s="8"/>
      <c r="W1416" s="8"/>
      <c r="X1416" s="8"/>
      <c r="Y1416" s="8"/>
      <c r="Z1416" s="8"/>
      <c r="AA1416" s="8"/>
      <c r="AB1416" s="8"/>
      <c r="AC1416" s="8"/>
      <c r="AD1416" s="8"/>
      <c r="AE1416" s="8"/>
      <c r="AF1416" s="8"/>
      <c r="AG1416" s="8"/>
      <c r="AH1416" s="8"/>
      <c r="AI1416" s="8"/>
      <c r="AJ1416" s="8"/>
      <c r="AK1416" s="8"/>
      <c r="AL1416" s="4"/>
      <c r="AM1416" s="5" t="str">
        <f t="shared" si="89"/>
        <v/>
      </c>
      <c r="AN1416" s="5" t="str">
        <f t="shared" si="90"/>
        <v/>
      </c>
      <c r="AO1416" s="18" t="str">
        <f t="shared" si="91"/>
        <v/>
      </c>
      <c r="AP1416" s="19"/>
      <c r="AQ1416" s="20" t="str">
        <f t="shared" si="92"/>
        <v/>
      </c>
      <c r="AR1416" s="21"/>
    </row>
    <row r="1417" spans="2:44" ht="31.5" x14ac:dyDescent="0.5">
      <c r="B1417" s="1"/>
      <c r="C1417" s="15"/>
      <c r="D1417" s="16"/>
      <c r="E1417" s="15"/>
      <c r="F1417" s="17"/>
      <c r="G1417" s="8"/>
      <c r="H1417" s="8"/>
      <c r="I1417" s="8"/>
      <c r="J1417" s="8"/>
      <c r="K1417" s="8"/>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4"/>
      <c r="AM1417" s="5" t="str">
        <f t="shared" si="89"/>
        <v/>
      </c>
      <c r="AN1417" s="5" t="str">
        <f t="shared" si="90"/>
        <v/>
      </c>
      <c r="AO1417" s="18" t="str">
        <f t="shared" si="91"/>
        <v/>
      </c>
      <c r="AP1417" s="19"/>
      <c r="AQ1417" s="20" t="str">
        <f t="shared" si="92"/>
        <v/>
      </c>
      <c r="AR1417" s="21"/>
    </row>
    <row r="1418" spans="2:44" ht="31.5" x14ac:dyDescent="0.5">
      <c r="B1418" s="1"/>
      <c r="C1418" s="15"/>
      <c r="D1418" s="16"/>
      <c r="E1418" s="15"/>
      <c r="F1418" s="17"/>
      <c r="G1418" s="8"/>
      <c r="H1418" s="8"/>
      <c r="I1418" s="8"/>
      <c r="J1418" s="8"/>
      <c r="K1418" s="8"/>
      <c r="L1418" s="8"/>
      <c r="M1418" s="8"/>
      <c r="N1418" s="8"/>
      <c r="O1418" s="8"/>
      <c r="P1418" s="8"/>
      <c r="Q1418" s="8"/>
      <c r="R1418" s="8"/>
      <c r="S1418" s="8"/>
      <c r="T1418" s="8"/>
      <c r="U1418" s="8"/>
      <c r="V1418" s="8"/>
      <c r="W1418" s="8"/>
      <c r="X1418" s="8"/>
      <c r="Y1418" s="8"/>
      <c r="Z1418" s="8"/>
      <c r="AA1418" s="8"/>
      <c r="AB1418" s="8"/>
      <c r="AC1418" s="8"/>
      <c r="AD1418" s="8"/>
      <c r="AE1418" s="8"/>
      <c r="AF1418" s="8"/>
      <c r="AG1418" s="8"/>
      <c r="AH1418" s="8"/>
      <c r="AI1418" s="8"/>
      <c r="AJ1418" s="8"/>
      <c r="AK1418" s="8"/>
      <c r="AL1418" s="4"/>
      <c r="AM1418" s="5" t="str">
        <f t="shared" si="89"/>
        <v/>
      </c>
      <c r="AN1418" s="5" t="str">
        <f t="shared" si="90"/>
        <v/>
      </c>
      <c r="AO1418" s="18" t="str">
        <f t="shared" si="91"/>
        <v/>
      </c>
      <c r="AP1418" s="19"/>
      <c r="AQ1418" s="20" t="str">
        <f t="shared" si="92"/>
        <v/>
      </c>
      <c r="AR1418" s="21"/>
    </row>
    <row r="1419" spans="2:44" ht="31.5" x14ac:dyDescent="0.5">
      <c r="B1419" s="1"/>
      <c r="C1419" s="15"/>
      <c r="D1419" s="16"/>
      <c r="E1419" s="15"/>
      <c r="F1419" s="17"/>
      <c r="G1419" s="8"/>
      <c r="H1419" s="8"/>
      <c r="I1419" s="8"/>
      <c r="J1419" s="8"/>
      <c r="K1419" s="8"/>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4"/>
      <c r="AM1419" s="5" t="str">
        <f t="shared" si="89"/>
        <v/>
      </c>
      <c r="AN1419" s="5" t="str">
        <f t="shared" si="90"/>
        <v/>
      </c>
      <c r="AO1419" s="18" t="str">
        <f t="shared" si="91"/>
        <v/>
      </c>
      <c r="AP1419" s="19"/>
      <c r="AQ1419" s="20" t="str">
        <f t="shared" si="92"/>
        <v/>
      </c>
      <c r="AR1419" s="21"/>
    </row>
    <row r="1420" spans="2:44" ht="31.5" x14ac:dyDescent="0.5">
      <c r="B1420" s="1"/>
      <c r="C1420" s="15"/>
      <c r="D1420" s="16"/>
      <c r="E1420" s="15"/>
      <c r="F1420" s="17"/>
      <c r="G1420" s="8"/>
      <c r="H1420" s="8"/>
      <c r="I1420" s="8"/>
      <c r="J1420" s="8"/>
      <c r="K1420" s="8"/>
      <c r="L1420" s="8"/>
      <c r="M1420" s="8"/>
      <c r="N1420" s="8"/>
      <c r="O1420" s="8"/>
      <c r="P1420" s="8"/>
      <c r="Q1420" s="8"/>
      <c r="R1420" s="8"/>
      <c r="S1420" s="8"/>
      <c r="T1420" s="8"/>
      <c r="U1420" s="8"/>
      <c r="V1420" s="8"/>
      <c r="W1420" s="8"/>
      <c r="X1420" s="8"/>
      <c r="Y1420" s="8"/>
      <c r="Z1420" s="8"/>
      <c r="AA1420" s="8"/>
      <c r="AB1420" s="8"/>
      <c r="AC1420" s="8"/>
      <c r="AD1420" s="8"/>
      <c r="AE1420" s="8"/>
      <c r="AF1420" s="8"/>
      <c r="AG1420" s="8"/>
      <c r="AH1420" s="8"/>
      <c r="AI1420" s="8"/>
      <c r="AJ1420" s="8"/>
      <c r="AK1420" s="8"/>
      <c r="AL1420" s="4"/>
      <c r="AM1420" s="5" t="str">
        <f t="shared" si="89"/>
        <v/>
      </c>
      <c r="AN1420" s="5" t="str">
        <f t="shared" si="90"/>
        <v/>
      </c>
      <c r="AO1420" s="18" t="str">
        <f t="shared" si="91"/>
        <v/>
      </c>
      <c r="AP1420" s="19"/>
      <c r="AQ1420" s="20" t="str">
        <f t="shared" si="92"/>
        <v/>
      </c>
      <c r="AR1420" s="21"/>
    </row>
    <row r="1421" spans="2:44" ht="31.5" x14ac:dyDescent="0.5">
      <c r="B1421" s="1"/>
      <c r="C1421" s="15"/>
      <c r="D1421" s="16"/>
      <c r="E1421" s="15"/>
      <c r="F1421" s="17"/>
      <c r="G1421" s="8"/>
      <c r="H1421" s="8"/>
      <c r="I1421" s="8"/>
      <c r="J1421" s="8"/>
      <c r="K1421" s="8"/>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4"/>
      <c r="AM1421" s="5" t="str">
        <f t="shared" si="89"/>
        <v/>
      </c>
      <c r="AN1421" s="5" t="str">
        <f t="shared" si="90"/>
        <v/>
      </c>
      <c r="AO1421" s="18" t="str">
        <f t="shared" si="91"/>
        <v/>
      </c>
      <c r="AP1421" s="19"/>
      <c r="AQ1421" s="20" t="str">
        <f t="shared" si="92"/>
        <v/>
      </c>
      <c r="AR1421" s="21"/>
    </row>
    <row r="1422" spans="2:44" ht="31.5" x14ac:dyDescent="0.5">
      <c r="B1422" s="1"/>
      <c r="C1422" s="15"/>
      <c r="D1422" s="16"/>
      <c r="E1422" s="15"/>
      <c r="F1422" s="17"/>
      <c r="G1422" s="8"/>
      <c r="H1422" s="8"/>
      <c r="I1422" s="8"/>
      <c r="J1422" s="8"/>
      <c r="K1422" s="8"/>
      <c r="L1422" s="8"/>
      <c r="M1422" s="8"/>
      <c r="N1422" s="8"/>
      <c r="O1422" s="8"/>
      <c r="P1422" s="8"/>
      <c r="Q1422" s="8"/>
      <c r="R1422" s="8"/>
      <c r="S1422" s="8"/>
      <c r="T1422" s="8"/>
      <c r="U1422" s="8"/>
      <c r="V1422" s="8"/>
      <c r="W1422" s="8"/>
      <c r="X1422" s="8"/>
      <c r="Y1422" s="8"/>
      <c r="Z1422" s="8"/>
      <c r="AA1422" s="8"/>
      <c r="AB1422" s="8"/>
      <c r="AC1422" s="8"/>
      <c r="AD1422" s="8"/>
      <c r="AE1422" s="8"/>
      <c r="AF1422" s="8"/>
      <c r="AG1422" s="8"/>
      <c r="AH1422" s="8"/>
      <c r="AI1422" s="8"/>
      <c r="AJ1422" s="8"/>
      <c r="AK1422" s="8"/>
      <c r="AL1422" s="4"/>
      <c r="AM1422" s="5" t="str">
        <f t="shared" si="89"/>
        <v/>
      </c>
      <c r="AN1422" s="5" t="str">
        <f t="shared" si="90"/>
        <v/>
      </c>
      <c r="AO1422" s="18" t="str">
        <f t="shared" si="91"/>
        <v/>
      </c>
      <c r="AP1422" s="19"/>
      <c r="AQ1422" s="20" t="str">
        <f t="shared" si="92"/>
        <v/>
      </c>
      <c r="AR1422" s="21"/>
    </row>
    <row r="1423" spans="2:44" ht="31.5" x14ac:dyDescent="0.5">
      <c r="B1423" s="1"/>
      <c r="C1423" s="15"/>
      <c r="D1423" s="16"/>
      <c r="E1423" s="15"/>
      <c r="F1423" s="17"/>
      <c r="G1423" s="8"/>
      <c r="H1423" s="8"/>
      <c r="I1423" s="8"/>
      <c r="J1423" s="8"/>
      <c r="K1423" s="8"/>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4"/>
      <c r="AM1423" s="5" t="str">
        <f t="shared" si="89"/>
        <v/>
      </c>
      <c r="AN1423" s="5" t="str">
        <f t="shared" si="90"/>
        <v/>
      </c>
      <c r="AO1423" s="18" t="str">
        <f t="shared" si="91"/>
        <v/>
      </c>
      <c r="AP1423" s="19"/>
      <c r="AQ1423" s="20" t="str">
        <f t="shared" si="92"/>
        <v/>
      </c>
      <c r="AR1423" s="21"/>
    </row>
    <row r="1424" spans="2:44" ht="31.5" x14ac:dyDescent="0.5">
      <c r="B1424" s="1"/>
      <c r="C1424" s="15"/>
      <c r="D1424" s="16"/>
      <c r="E1424" s="15"/>
      <c r="F1424" s="17"/>
      <c r="G1424" s="8"/>
      <c r="H1424" s="8"/>
      <c r="I1424" s="8"/>
      <c r="J1424" s="8"/>
      <c r="K1424" s="8"/>
      <c r="L1424" s="8"/>
      <c r="M1424" s="8"/>
      <c r="N1424" s="8"/>
      <c r="O1424" s="8"/>
      <c r="P1424" s="8"/>
      <c r="Q1424" s="8"/>
      <c r="R1424" s="8"/>
      <c r="S1424" s="8"/>
      <c r="T1424" s="8"/>
      <c r="U1424" s="8"/>
      <c r="V1424" s="8"/>
      <c r="W1424" s="8"/>
      <c r="X1424" s="8"/>
      <c r="Y1424" s="8"/>
      <c r="Z1424" s="8"/>
      <c r="AA1424" s="8"/>
      <c r="AB1424" s="8"/>
      <c r="AC1424" s="8"/>
      <c r="AD1424" s="8"/>
      <c r="AE1424" s="8"/>
      <c r="AF1424" s="8"/>
      <c r="AG1424" s="8"/>
      <c r="AH1424" s="8"/>
      <c r="AI1424" s="8"/>
      <c r="AJ1424" s="8"/>
      <c r="AK1424" s="8"/>
      <c r="AL1424" s="4"/>
      <c r="AM1424" s="5" t="str">
        <f t="shared" si="89"/>
        <v/>
      </c>
      <c r="AN1424" s="5" t="str">
        <f t="shared" si="90"/>
        <v/>
      </c>
      <c r="AO1424" s="18" t="str">
        <f t="shared" si="91"/>
        <v/>
      </c>
      <c r="AP1424" s="19"/>
      <c r="AQ1424" s="20" t="str">
        <f t="shared" si="92"/>
        <v/>
      </c>
      <c r="AR1424" s="21"/>
    </row>
    <row r="1425" spans="2:44" ht="31.5" x14ac:dyDescent="0.5">
      <c r="B1425" s="1"/>
      <c r="C1425" s="15"/>
      <c r="D1425" s="16"/>
      <c r="E1425" s="15"/>
      <c r="F1425" s="17"/>
      <c r="G1425" s="8"/>
      <c r="H1425" s="8"/>
      <c r="I1425" s="8"/>
      <c r="J1425" s="8"/>
      <c r="K1425" s="8"/>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4"/>
      <c r="AM1425" s="5" t="str">
        <f t="shared" si="89"/>
        <v/>
      </c>
      <c r="AN1425" s="5" t="str">
        <f t="shared" si="90"/>
        <v/>
      </c>
      <c r="AO1425" s="18" t="str">
        <f t="shared" si="91"/>
        <v/>
      </c>
      <c r="AP1425" s="19"/>
      <c r="AQ1425" s="20" t="str">
        <f t="shared" si="92"/>
        <v/>
      </c>
      <c r="AR1425" s="21"/>
    </row>
    <row r="1426" spans="2:44" ht="31.5" x14ac:dyDescent="0.5">
      <c r="B1426" s="1"/>
      <c r="C1426" s="15"/>
      <c r="D1426" s="16"/>
      <c r="E1426" s="15"/>
      <c r="F1426" s="17"/>
      <c r="G1426" s="8"/>
      <c r="H1426" s="8"/>
      <c r="I1426" s="8"/>
      <c r="J1426" s="8"/>
      <c r="K1426" s="8"/>
      <c r="L1426" s="8"/>
      <c r="M1426" s="8"/>
      <c r="N1426" s="8"/>
      <c r="O1426" s="8"/>
      <c r="P1426" s="8"/>
      <c r="Q1426" s="8"/>
      <c r="R1426" s="8"/>
      <c r="S1426" s="8"/>
      <c r="T1426" s="8"/>
      <c r="U1426" s="8"/>
      <c r="V1426" s="8"/>
      <c r="W1426" s="8"/>
      <c r="X1426" s="8"/>
      <c r="Y1426" s="8"/>
      <c r="Z1426" s="8"/>
      <c r="AA1426" s="8"/>
      <c r="AB1426" s="8"/>
      <c r="AC1426" s="8"/>
      <c r="AD1426" s="8"/>
      <c r="AE1426" s="8"/>
      <c r="AF1426" s="8"/>
      <c r="AG1426" s="8"/>
      <c r="AH1426" s="8"/>
      <c r="AI1426" s="8"/>
      <c r="AJ1426" s="8"/>
      <c r="AK1426" s="8"/>
      <c r="AL1426" s="4"/>
      <c r="AM1426" s="5" t="str">
        <f t="shared" si="89"/>
        <v/>
      </c>
      <c r="AN1426" s="5" t="str">
        <f t="shared" si="90"/>
        <v/>
      </c>
      <c r="AO1426" s="18" t="str">
        <f t="shared" si="91"/>
        <v/>
      </c>
      <c r="AP1426" s="19"/>
      <c r="AQ1426" s="20" t="str">
        <f t="shared" si="92"/>
        <v/>
      </c>
      <c r="AR1426" s="21"/>
    </row>
    <row r="1427" spans="2:44" ht="31.5" x14ac:dyDescent="0.5">
      <c r="B1427" s="1"/>
      <c r="C1427" s="15"/>
      <c r="D1427" s="16"/>
      <c r="E1427" s="15"/>
      <c r="F1427" s="17"/>
      <c r="G1427" s="8"/>
      <c r="H1427" s="8"/>
      <c r="I1427" s="8"/>
      <c r="J1427" s="8"/>
      <c r="K1427" s="8"/>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4"/>
      <c r="AM1427" s="5" t="str">
        <f t="shared" si="89"/>
        <v/>
      </c>
      <c r="AN1427" s="5" t="str">
        <f t="shared" si="90"/>
        <v/>
      </c>
      <c r="AO1427" s="18" t="str">
        <f t="shared" si="91"/>
        <v/>
      </c>
      <c r="AP1427" s="19"/>
      <c r="AQ1427" s="20" t="str">
        <f t="shared" si="92"/>
        <v/>
      </c>
      <c r="AR1427" s="21"/>
    </row>
    <row r="1428" spans="2:44" ht="31.5" x14ac:dyDescent="0.5">
      <c r="B1428" s="1"/>
      <c r="C1428" s="15"/>
      <c r="D1428" s="16"/>
      <c r="E1428" s="15"/>
      <c r="F1428" s="17"/>
      <c r="G1428" s="8"/>
      <c r="H1428" s="8"/>
      <c r="I1428" s="8"/>
      <c r="J1428" s="8"/>
      <c r="K1428" s="8"/>
      <c r="L1428" s="8"/>
      <c r="M1428" s="8"/>
      <c r="N1428" s="8"/>
      <c r="O1428" s="8"/>
      <c r="P1428" s="8"/>
      <c r="Q1428" s="8"/>
      <c r="R1428" s="8"/>
      <c r="S1428" s="8"/>
      <c r="T1428" s="8"/>
      <c r="U1428" s="8"/>
      <c r="V1428" s="8"/>
      <c r="W1428" s="8"/>
      <c r="X1428" s="8"/>
      <c r="Y1428" s="8"/>
      <c r="Z1428" s="8"/>
      <c r="AA1428" s="8"/>
      <c r="AB1428" s="8"/>
      <c r="AC1428" s="8"/>
      <c r="AD1428" s="8"/>
      <c r="AE1428" s="8"/>
      <c r="AF1428" s="8"/>
      <c r="AG1428" s="8"/>
      <c r="AH1428" s="8"/>
      <c r="AI1428" s="8"/>
      <c r="AJ1428" s="8"/>
      <c r="AK1428" s="8"/>
      <c r="AL1428" s="4"/>
      <c r="AM1428" s="5" t="str">
        <f t="shared" si="89"/>
        <v/>
      </c>
      <c r="AN1428" s="5" t="str">
        <f t="shared" si="90"/>
        <v/>
      </c>
      <c r="AO1428" s="18" t="str">
        <f t="shared" si="91"/>
        <v/>
      </c>
      <c r="AP1428" s="19"/>
      <c r="AQ1428" s="20" t="str">
        <f t="shared" si="92"/>
        <v/>
      </c>
      <c r="AR1428" s="21"/>
    </row>
    <row r="1429" spans="2:44" ht="31.5" x14ac:dyDescent="0.5">
      <c r="B1429" s="1"/>
      <c r="C1429" s="15"/>
      <c r="D1429" s="16"/>
      <c r="E1429" s="15"/>
      <c r="F1429" s="17"/>
      <c r="G1429" s="8"/>
      <c r="H1429" s="8"/>
      <c r="I1429" s="8"/>
      <c r="J1429" s="8"/>
      <c r="K1429" s="8"/>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4"/>
      <c r="AM1429" s="5" t="str">
        <f t="shared" si="89"/>
        <v/>
      </c>
      <c r="AN1429" s="5" t="str">
        <f t="shared" si="90"/>
        <v/>
      </c>
      <c r="AO1429" s="18" t="str">
        <f t="shared" si="91"/>
        <v/>
      </c>
      <c r="AP1429" s="19"/>
      <c r="AQ1429" s="20" t="str">
        <f t="shared" si="92"/>
        <v/>
      </c>
      <c r="AR1429" s="21"/>
    </row>
    <row r="1430" spans="2:44" ht="31.5" x14ac:dyDescent="0.5">
      <c r="B1430" s="1"/>
      <c r="C1430" s="15"/>
      <c r="D1430" s="16"/>
      <c r="E1430" s="15"/>
      <c r="F1430" s="17"/>
      <c r="G1430" s="8"/>
      <c r="H1430" s="8"/>
      <c r="I1430" s="8"/>
      <c r="J1430" s="8"/>
      <c r="K1430" s="8"/>
      <c r="L1430" s="8"/>
      <c r="M1430" s="8"/>
      <c r="N1430" s="8"/>
      <c r="O1430" s="8"/>
      <c r="P1430" s="8"/>
      <c r="Q1430" s="8"/>
      <c r="R1430" s="8"/>
      <c r="S1430" s="8"/>
      <c r="T1430" s="8"/>
      <c r="U1430" s="8"/>
      <c r="V1430" s="8"/>
      <c r="W1430" s="8"/>
      <c r="X1430" s="8"/>
      <c r="Y1430" s="8"/>
      <c r="Z1430" s="8"/>
      <c r="AA1430" s="8"/>
      <c r="AB1430" s="8"/>
      <c r="AC1430" s="8"/>
      <c r="AD1430" s="8"/>
      <c r="AE1430" s="8"/>
      <c r="AF1430" s="8"/>
      <c r="AG1430" s="8"/>
      <c r="AH1430" s="8"/>
      <c r="AI1430" s="8"/>
      <c r="AJ1430" s="8"/>
      <c r="AK1430" s="8"/>
      <c r="AL1430" s="4"/>
      <c r="AM1430" s="5" t="str">
        <f t="shared" si="89"/>
        <v/>
      </c>
      <c r="AN1430" s="5" t="str">
        <f t="shared" si="90"/>
        <v/>
      </c>
      <c r="AO1430" s="18" t="str">
        <f t="shared" si="91"/>
        <v/>
      </c>
      <c r="AP1430" s="19"/>
      <c r="AQ1430" s="20" t="str">
        <f t="shared" si="92"/>
        <v/>
      </c>
      <c r="AR1430" s="21"/>
    </row>
    <row r="1431" spans="2:44" ht="31.5" x14ac:dyDescent="0.5">
      <c r="B1431" s="1"/>
      <c r="C1431" s="15"/>
      <c r="D1431" s="16"/>
      <c r="E1431" s="15"/>
      <c r="F1431" s="17"/>
      <c r="G1431" s="8"/>
      <c r="H1431" s="8"/>
      <c r="I1431" s="8"/>
      <c r="J1431" s="8"/>
      <c r="K1431" s="8"/>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4"/>
      <c r="AM1431" s="5" t="str">
        <f t="shared" si="89"/>
        <v/>
      </c>
      <c r="AN1431" s="5" t="str">
        <f t="shared" si="90"/>
        <v/>
      </c>
      <c r="AO1431" s="18" t="str">
        <f t="shared" si="91"/>
        <v/>
      </c>
      <c r="AP1431" s="19"/>
      <c r="AQ1431" s="20" t="str">
        <f t="shared" si="92"/>
        <v/>
      </c>
      <c r="AR1431" s="21"/>
    </row>
    <row r="1432" spans="2:44" ht="31.5" x14ac:dyDescent="0.5">
      <c r="B1432" s="1"/>
      <c r="C1432" s="15"/>
      <c r="D1432" s="16"/>
      <c r="E1432" s="15"/>
      <c r="F1432" s="17"/>
      <c r="G1432" s="8"/>
      <c r="H1432" s="8"/>
      <c r="I1432" s="8"/>
      <c r="J1432" s="8"/>
      <c r="K1432" s="8"/>
      <c r="L1432" s="8"/>
      <c r="M1432" s="8"/>
      <c r="N1432" s="8"/>
      <c r="O1432" s="8"/>
      <c r="P1432" s="8"/>
      <c r="Q1432" s="8"/>
      <c r="R1432" s="8"/>
      <c r="S1432" s="8"/>
      <c r="T1432" s="8"/>
      <c r="U1432" s="8"/>
      <c r="V1432" s="8"/>
      <c r="W1432" s="8"/>
      <c r="X1432" s="8"/>
      <c r="Y1432" s="8"/>
      <c r="Z1432" s="8"/>
      <c r="AA1432" s="8"/>
      <c r="AB1432" s="8"/>
      <c r="AC1432" s="8"/>
      <c r="AD1432" s="8"/>
      <c r="AE1432" s="8"/>
      <c r="AF1432" s="8"/>
      <c r="AG1432" s="8"/>
      <c r="AH1432" s="8"/>
      <c r="AI1432" s="8"/>
      <c r="AJ1432" s="8"/>
      <c r="AK1432" s="8"/>
      <c r="AL1432" s="4"/>
      <c r="AM1432" s="5" t="str">
        <f t="shared" si="89"/>
        <v/>
      </c>
      <c r="AN1432" s="5" t="str">
        <f t="shared" si="90"/>
        <v/>
      </c>
      <c r="AO1432" s="18" t="str">
        <f t="shared" si="91"/>
        <v/>
      </c>
      <c r="AP1432" s="19"/>
      <c r="AQ1432" s="20" t="str">
        <f t="shared" si="92"/>
        <v/>
      </c>
      <c r="AR1432" s="21"/>
    </row>
    <row r="1433" spans="2:44" ht="31.5" x14ac:dyDescent="0.5">
      <c r="B1433" s="1"/>
      <c r="C1433" s="15"/>
      <c r="D1433" s="16"/>
      <c r="E1433" s="15"/>
      <c r="F1433" s="17"/>
      <c r="G1433" s="8"/>
      <c r="H1433" s="8"/>
      <c r="I1433" s="8"/>
      <c r="J1433" s="8"/>
      <c r="K1433" s="8"/>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4"/>
      <c r="AM1433" s="5" t="str">
        <f t="shared" si="89"/>
        <v/>
      </c>
      <c r="AN1433" s="5" t="str">
        <f t="shared" si="90"/>
        <v/>
      </c>
      <c r="AO1433" s="18" t="str">
        <f t="shared" si="91"/>
        <v/>
      </c>
      <c r="AP1433" s="19"/>
      <c r="AQ1433" s="20" t="str">
        <f t="shared" si="92"/>
        <v/>
      </c>
      <c r="AR1433" s="21"/>
    </row>
    <row r="1434" spans="2:44" ht="31.5" x14ac:dyDescent="0.5">
      <c r="B1434" s="1"/>
      <c r="C1434" s="15"/>
      <c r="D1434" s="16"/>
      <c r="E1434" s="15"/>
      <c r="F1434" s="17"/>
      <c r="G1434" s="8"/>
      <c r="H1434" s="8"/>
      <c r="I1434" s="8"/>
      <c r="J1434" s="8"/>
      <c r="K1434" s="8"/>
      <c r="L1434" s="8"/>
      <c r="M1434" s="8"/>
      <c r="N1434" s="8"/>
      <c r="O1434" s="8"/>
      <c r="P1434" s="8"/>
      <c r="Q1434" s="8"/>
      <c r="R1434" s="8"/>
      <c r="S1434" s="8"/>
      <c r="T1434" s="8"/>
      <c r="U1434" s="8"/>
      <c r="V1434" s="8"/>
      <c r="W1434" s="8"/>
      <c r="X1434" s="8"/>
      <c r="Y1434" s="8"/>
      <c r="Z1434" s="8"/>
      <c r="AA1434" s="8"/>
      <c r="AB1434" s="8"/>
      <c r="AC1434" s="8"/>
      <c r="AD1434" s="8"/>
      <c r="AE1434" s="8"/>
      <c r="AF1434" s="8"/>
      <c r="AG1434" s="8"/>
      <c r="AH1434" s="8"/>
      <c r="AI1434" s="8"/>
      <c r="AJ1434" s="8"/>
      <c r="AK1434" s="8"/>
      <c r="AL1434" s="4"/>
      <c r="AM1434" s="5" t="str">
        <f t="shared" si="89"/>
        <v/>
      </c>
      <c r="AN1434" s="5" t="str">
        <f t="shared" si="90"/>
        <v/>
      </c>
      <c r="AO1434" s="18" t="str">
        <f t="shared" si="91"/>
        <v/>
      </c>
      <c r="AP1434" s="19"/>
      <c r="AQ1434" s="20" t="str">
        <f t="shared" si="92"/>
        <v/>
      </c>
      <c r="AR1434" s="21"/>
    </row>
    <row r="1435" spans="2:44" ht="31.5" x14ac:dyDescent="0.5">
      <c r="B1435" s="1"/>
      <c r="C1435" s="15"/>
      <c r="D1435" s="16"/>
      <c r="E1435" s="15"/>
      <c r="F1435" s="17"/>
      <c r="G1435" s="8"/>
      <c r="H1435" s="8"/>
      <c r="I1435" s="8"/>
      <c r="J1435" s="8"/>
      <c r="K1435" s="8"/>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4"/>
      <c r="AM1435" s="5" t="str">
        <f t="shared" si="89"/>
        <v/>
      </c>
      <c r="AN1435" s="5" t="str">
        <f t="shared" si="90"/>
        <v/>
      </c>
      <c r="AO1435" s="18" t="str">
        <f t="shared" si="91"/>
        <v/>
      </c>
      <c r="AP1435" s="19"/>
      <c r="AQ1435" s="20" t="str">
        <f t="shared" si="92"/>
        <v/>
      </c>
      <c r="AR1435" s="21"/>
    </row>
    <row r="1436" spans="2:44" ht="31.5" x14ac:dyDescent="0.5">
      <c r="B1436" s="1"/>
      <c r="C1436" s="15"/>
      <c r="D1436" s="16"/>
      <c r="E1436" s="15"/>
      <c r="F1436" s="17"/>
      <c r="G1436" s="8"/>
      <c r="H1436" s="8"/>
      <c r="I1436" s="8"/>
      <c r="J1436" s="8"/>
      <c r="K1436" s="8"/>
      <c r="L1436" s="8"/>
      <c r="M1436" s="8"/>
      <c r="N1436" s="8"/>
      <c r="O1436" s="8"/>
      <c r="P1436" s="8"/>
      <c r="Q1436" s="8"/>
      <c r="R1436" s="8"/>
      <c r="S1436" s="8"/>
      <c r="T1436" s="8"/>
      <c r="U1436" s="8"/>
      <c r="V1436" s="8"/>
      <c r="W1436" s="8"/>
      <c r="X1436" s="8"/>
      <c r="Y1436" s="8"/>
      <c r="Z1436" s="8"/>
      <c r="AA1436" s="8"/>
      <c r="AB1436" s="8"/>
      <c r="AC1436" s="8"/>
      <c r="AD1436" s="8"/>
      <c r="AE1436" s="8"/>
      <c r="AF1436" s="8"/>
      <c r="AG1436" s="8"/>
      <c r="AH1436" s="8"/>
      <c r="AI1436" s="8"/>
      <c r="AJ1436" s="8"/>
      <c r="AK1436" s="8"/>
      <c r="AL1436" s="4"/>
      <c r="AM1436" s="5" t="str">
        <f t="shared" si="89"/>
        <v/>
      </c>
      <c r="AN1436" s="5" t="str">
        <f t="shared" si="90"/>
        <v/>
      </c>
      <c r="AO1436" s="18" t="str">
        <f t="shared" si="91"/>
        <v/>
      </c>
      <c r="AP1436" s="19"/>
      <c r="AQ1436" s="20" t="str">
        <f t="shared" si="92"/>
        <v/>
      </c>
      <c r="AR1436" s="21"/>
    </row>
    <row r="1437" spans="2:44" ht="31.5" x14ac:dyDescent="0.5">
      <c r="B1437" s="1"/>
      <c r="C1437" s="15"/>
      <c r="D1437" s="16"/>
      <c r="E1437" s="15"/>
      <c r="F1437" s="17"/>
      <c r="G1437" s="8"/>
      <c r="H1437" s="8"/>
      <c r="I1437" s="8"/>
      <c r="J1437" s="8"/>
      <c r="K1437" s="8"/>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4"/>
      <c r="AM1437" s="5" t="str">
        <f t="shared" si="89"/>
        <v/>
      </c>
      <c r="AN1437" s="5" t="str">
        <f t="shared" si="90"/>
        <v/>
      </c>
      <c r="AO1437" s="18" t="str">
        <f t="shared" si="91"/>
        <v/>
      </c>
      <c r="AP1437" s="19"/>
      <c r="AQ1437" s="20" t="str">
        <f t="shared" si="92"/>
        <v/>
      </c>
      <c r="AR1437" s="21"/>
    </row>
    <row r="1438" spans="2:44" ht="31.5" x14ac:dyDescent="0.5">
      <c r="B1438" s="1"/>
      <c r="C1438" s="15"/>
      <c r="D1438" s="16"/>
      <c r="E1438" s="15"/>
      <c r="F1438" s="17"/>
      <c r="G1438" s="8"/>
      <c r="H1438" s="8"/>
      <c r="I1438" s="8"/>
      <c r="J1438" s="8"/>
      <c r="K1438" s="8"/>
      <c r="L1438" s="8"/>
      <c r="M1438" s="8"/>
      <c r="N1438" s="8"/>
      <c r="O1438" s="8"/>
      <c r="P1438" s="8"/>
      <c r="Q1438" s="8"/>
      <c r="R1438" s="8"/>
      <c r="S1438" s="8"/>
      <c r="T1438" s="8"/>
      <c r="U1438" s="8"/>
      <c r="V1438" s="8"/>
      <c r="W1438" s="8"/>
      <c r="X1438" s="8"/>
      <c r="Y1438" s="8"/>
      <c r="Z1438" s="8"/>
      <c r="AA1438" s="8"/>
      <c r="AB1438" s="8"/>
      <c r="AC1438" s="8"/>
      <c r="AD1438" s="8"/>
      <c r="AE1438" s="8"/>
      <c r="AF1438" s="8"/>
      <c r="AG1438" s="8"/>
      <c r="AH1438" s="8"/>
      <c r="AI1438" s="8"/>
      <c r="AJ1438" s="8"/>
      <c r="AK1438" s="8"/>
      <c r="AL1438" s="4"/>
      <c r="AM1438" s="5" t="str">
        <f t="shared" si="89"/>
        <v/>
      </c>
      <c r="AN1438" s="5" t="str">
        <f t="shared" si="90"/>
        <v/>
      </c>
      <c r="AO1438" s="18" t="str">
        <f t="shared" si="91"/>
        <v/>
      </c>
      <c r="AP1438" s="19"/>
      <c r="AQ1438" s="20" t="str">
        <f t="shared" si="92"/>
        <v/>
      </c>
      <c r="AR1438" s="21"/>
    </row>
    <row r="1439" spans="2:44" ht="31.5" x14ac:dyDescent="0.5">
      <c r="B1439" s="1"/>
      <c r="C1439" s="15"/>
      <c r="D1439" s="16"/>
      <c r="E1439" s="15"/>
      <c r="F1439" s="17"/>
      <c r="G1439" s="8"/>
      <c r="H1439" s="8"/>
      <c r="I1439" s="8"/>
      <c r="J1439" s="8"/>
      <c r="K1439" s="8"/>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4"/>
      <c r="AM1439" s="5" t="str">
        <f t="shared" si="89"/>
        <v/>
      </c>
      <c r="AN1439" s="5" t="str">
        <f t="shared" si="90"/>
        <v/>
      </c>
      <c r="AO1439" s="18" t="str">
        <f t="shared" si="91"/>
        <v/>
      </c>
      <c r="AP1439" s="19"/>
      <c r="AQ1439" s="20" t="str">
        <f t="shared" si="92"/>
        <v/>
      </c>
      <c r="AR1439" s="21"/>
    </row>
    <row r="1440" spans="2:44" ht="31.5" x14ac:dyDescent="0.5">
      <c r="B1440" s="1"/>
      <c r="C1440" s="15"/>
      <c r="D1440" s="16"/>
      <c r="E1440" s="15"/>
      <c r="F1440" s="17"/>
      <c r="G1440" s="8"/>
      <c r="H1440" s="8"/>
      <c r="I1440" s="8"/>
      <c r="J1440" s="8"/>
      <c r="K1440" s="8"/>
      <c r="L1440" s="8"/>
      <c r="M1440" s="8"/>
      <c r="N1440" s="8"/>
      <c r="O1440" s="8"/>
      <c r="P1440" s="8"/>
      <c r="Q1440" s="8"/>
      <c r="R1440" s="8"/>
      <c r="S1440" s="8"/>
      <c r="T1440" s="8"/>
      <c r="U1440" s="8"/>
      <c r="V1440" s="8"/>
      <c r="W1440" s="8"/>
      <c r="X1440" s="8"/>
      <c r="Y1440" s="8"/>
      <c r="Z1440" s="8"/>
      <c r="AA1440" s="8"/>
      <c r="AB1440" s="8"/>
      <c r="AC1440" s="8"/>
      <c r="AD1440" s="8"/>
      <c r="AE1440" s="8"/>
      <c r="AF1440" s="8"/>
      <c r="AG1440" s="8"/>
      <c r="AH1440" s="8"/>
      <c r="AI1440" s="8"/>
      <c r="AJ1440" s="8"/>
      <c r="AK1440" s="8"/>
      <c r="AL1440" s="4"/>
      <c r="AM1440" s="5" t="str">
        <f t="shared" si="89"/>
        <v/>
      </c>
      <c r="AN1440" s="5" t="str">
        <f t="shared" si="90"/>
        <v/>
      </c>
      <c r="AO1440" s="18" t="str">
        <f t="shared" si="91"/>
        <v/>
      </c>
      <c r="AP1440" s="19"/>
      <c r="AQ1440" s="20" t="str">
        <f t="shared" si="92"/>
        <v/>
      </c>
      <c r="AR1440" s="21"/>
    </row>
    <row r="1441" spans="2:44" ht="31.5" x14ac:dyDescent="0.5">
      <c r="B1441" s="1"/>
      <c r="C1441" s="15"/>
      <c r="D1441" s="16"/>
      <c r="E1441" s="15"/>
      <c r="F1441" s="17"/>
      <c r="G1441" s="8"/>
      <c r="H1441" s="8"/>
      <c r="I1441" s="8"/>
      <c r="J1441" s="8"/>
      <c r="K1441" s="8"/>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4"/>
      <c r="AM1441" s="5" t="str">
        <f t="shared" si="89"/>
        <v/>
      </c>
      <c r="AN1441" s="5" t="str">
        <f t="shared" si="90"/>
        <v/>
      </c>
      <c r="AO1441" s="18" t="str">
        <f t="shared" si="91"/>
        <v/>
      </c>
      <c r="AP1441" s="19"/>
      <c r="AQ1441" s="20" t="str">
        <f t="shared" si="92"/>
        <v/>
      </c>
      <c r="AR1441" s="21"/>
    </row>
    <row r="1442" spans="2:44" ht="31.5" x14ac:dyDescent="0.5">
      <c r="B1442" s="1"/>
      <c r="C1442" s="15"/>
      <c r="D1442" s="16"/>
      <c r="E1442" s="15"/>
      <c r="F1442" s="17"/>
      <c r="G1442" s="8"/>
      <c r="H1442" s="8"/>
      <c r="I1442" s="8"/>
      <c r="J1442" s="8"/>
      <c r="K1442" s="8"/>
      <c r="L1442" s="8"/>
      <c r="M1442" s="8"/>
      <c r="N1442" s="8"/>
      <c r="O1442" s="8"/>
      <c r="P1442" s="8"/>
      <c r="Q1442" s="8"/>
      <c r="R1442" s="8"/>
      <c r="S1442" s="8"/>
      <c r="T1442" s="8"/>
      <c r="U1442" s="8"/>
      <c r="V1442" s="8"/>
      <c r="W1442" s="8"/>
      <c r="X1442" s="8"/>
      <c r="Y1442" s="8"/>
      <c r="Z1442" s="8"/>
      <c r="AA1442" s="8"/>
      <c r="AB1442" s="8"/>
      <c r="AC1442" s="8"/>
      <c r="AD1442" s="8"/>
      <c r="AE1442" s="8"/>
      <c r="AF1442" s="8"/>
      <c r="AG1442" s="8"/>
      <c r="AH1442" s="8"/>
      <c r="AI1442" s="8"/>
      <c r="AJ1442" s="8"/>
      <c r="AK1442" s="8"/>
      <c r="AL1442" s="4"/>
      <c r="AM1442" s="5" t="str">
        <f t="shared" si="89"/>
        <v/>
      </c>
      <c r="AN1442" s="5" t="str">
        <f t="shared" si="90"/>
        <v/>
      </c>
      <c r="AO1442" s="18" t="str">
        <f t="shared" si="91"/>
        <v/>
      </c>
      <c r="AP1442" s="19"/>
      <c r="AQ1442" s="20" t="str">
        <f t="shared" si="92"/>
        <v/>
      </c>
      <c r="AR1442" s="21"/>
    </row>
    <row r="1443" spans="2:44" ht="31.5" x14ac:dyDescent="0.5">
      <c r="B1443" s="1"/>
      <c r="C1443" s="15"/>
      <c r="D1443" s="16"/>
      <c r="E1443" s="15"/>
      <c r="F1443" s="17"/>
      <c r="G1443" s="8"/>
      <c r="H1443" s="8"/>
      <c r="I1443" s="8"/>
      <c r="J1443" s="8"/>
      <c r="K1443" s="8"/>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4"/>
      <c r="AM1443" s="5" t="str">
        <f t="shared" si="89"/>
        <v/>
      </c>
      <c r="AN1443" s="5" t="str">
        <f t="shared" si="90"/>
        <v/>
      </c>
      <c r="AO1443" s="18" t="str">
        <f t="shared" si="91"/>
        <v/>
      </c>
      <c r="AP1443" s="19"/>
      <c r="AQ1443" s="20" t="str">
        <f t="shared" si="92"/>
        <v/>
      </c>
      <c r="AR1443" s="21"/>
    </row>
    <row r="1444" spans="2:44" ht="31.5" x14ac:dyDescent="0.5">
      <c r="B1444" s="1"/>
      <c r="C1444" s="15"/>
      <c r="D1444" s="16"/>
      <c r="E1444" s="15"/>
      <c r="F1444" s="17"/>
      <c r="G1444" s="8"/>
      <c r="H1444" s="8"/>
      <c r="I1444" s="8"/>
      <c r="J1444" s="8"/>
      <c r="K1444" s="8"/>
      <c r="L1444" s="8"/>
      <c r="M1444" s="8"/>
      <c r="N1444" s="8"/>
      <c r="O1444" s="8"/>
      <c r="P1444" s="8"/>
      <c r="Q1444" s="8"/>
      <c r="R1444" s="8"/>
      <c r="S1444" s="8"/>
      <c r="T1444" s="8"/>
      <c r="U1444" s="8"/>
      <c r="V1444" s="8"/>
      <c r="W1444" s="8"/>
      <c r="X1444" s="8"/>
      <c r="Y1444" s="8"/>
      <c r="Z1444" s="8"/>
      <c r="AA1444" s="8"/>
      <c r="AB1444" s="8"/>
      <c r="AC1444" s="8"/>
      <c r="AD1444" s="8"/>
      <c r="AE1444" s="8"/>
      <c r="AF1444" s="8"/>
      <c r="AG1444" s="8"/>
      <c r="AH1444" s="8"/>
      <c r="AI1444" s="8"/>
      <c r="AJ1444" s="8"/>
      <c r="AK1444" s="8"/>
      <c r="AL1444" s="4"/>
      <c r="AM1444" s="5" t="str">
        <f t="shared" si="89"/>
        <v/>
      </c>
      <c r="AN1444" s="5" t="str">
        <f t="shared" si="90"/>
        <v/>
      </c>
      <c r="AO1444" s="18" t="str">
        <f t="shared" si="91"/>
        <v/>
      </c>
      <c r="AP1444" s="19"/>
      <c r="AQ1444" s="20" t="str">
        <f t="shared" si="92"/>
        <v/>
      </c>
      <c r="AR1444" s="21"/>
    </row>
    <row r="1445" spans="2:44" ht="31.5" x14ac:dyDescent="0.5">
      <c r="B1445" s="1"/>
      <c r="C1445" s="15"/>
      <c r="D1445" s="16"/>
      <c r="E1445" s="15"/>
      <c r="F1445" s="17"/>
      <c r="G1445" s="8"/>
      <c r="H1445" s="8"/>
      <c r="I1445" s="8"/>
      <c r="J1445" s="8"/>
      <c r="K1445" s="8"/>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4"/>
      <c r="AM1445" s="5" t="str">
        <f t="shared" si="89"/>
        <v/>
      </c>
      <c r="AN1445" s="5" t="str">
        <f t="shared" si="90"/>
        <v/>
      </c>
      <c r="AO1445" s="18" t="str">
        <f t="shared" si="91"/>
        <v/>
      </c>
      <c r="AP1445" s="19"/>
      <c r="AQ1445" s="20" t="str">
        <f t="shared" si="92"/>
        <v/>
      </c>
      <c r="AR1445" s="21"/>
    </row>
    <row r="1446" spans="2:44" ht="31.5" x14ac:dyDescent="0.5">
      <c r="B1446" s="1"/>
      <c r="C1446" s="15"/>
      <c r="D1446" s="16"/>
      <c r="E1446" s="15"/>
      <c r="F1446" s="17"/>
      <c r="G1446" s="8"/>
      <c r="H1446" s="8"/>
      <c r="I1446" s="8"/>
      <c r="J1446" s="8"/>
      <c r="K1446" s="8"/>
      <c r="L1446" s="8"/>
      <c r="M1446" s="8"/>
      <c r="N1446" s="8"/>
      <c r="O1446" s="8"/>
      <c r="P1446" s="8"/>
      <c r="Q1446" s="8"/>
      <c r="R1446" s="8"/>
      <c r="S1446" s="8"/>
      <c r="T1446" s="8"/>
      <c r="U1446" s="8"/>
      <c r="V1446" s="8"/>
      <c r="W1446" s="8"/>
      <c r="X1446" s="8"/>
      <c r="Y1446" s="8"/>
      <c r="Z1446" s="8"/>
      <c r="AA1446" s="8"/>
      <c r="AB1446" s="8"/>
      <c r="AC1446" s="8"/>
      <c r="AD1446" s="8"/>
      <c r="AE1446" s="8"/>
      <c r="AF1446" s="8"/>
      <c r="AG1446" s="8"/>
      <c r="AH1446" s="8"/>
      <c r="AI1446" s="8"/>
      <c r="AJ1446" s="8"/>
      <c r="AK1446" s="8"/>
      <c r="AL1446" s="4"/>
      <c r="AM1446" s="5" t="str">
        <f t="shared" si="89"/>
        <v/>
      </c>
      <c r="AN1446" s="5" t="str">
        <f t="shared" si="90"/>
        <v/>
      </c>
      <c r="AO1446" s="18" t="str">
        <f t="shared" si="91"/>
        <v/>
      </c>
      <c r="AP1446" s="19"/>
      <c r="AQ1446" s="20" t="str">
        <f t="shared" si="92"/>
        <v/>
      </c>
      <c r="AR1446" s="21"/>
    </row>
    <row r="1447" spans="2:44" ht="31.5" x14ac:dyDescent="0.5">
      <c r="B1447" s="1"/>
      <c r="C1447" s="15"/>
      <c r="D1447" s="16"/>
      <c r="E1447" s="15"/>
      <c r="F1447" s="17"/>
      <c r="G1447" s="8"/>
      <c r="H1447" s="8"/>
      <c r="I1447" s="8"/>
      <c r="J1447" s="8"/>
      <c r="K1447" s="8"/>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4"/>
      <c r="AM1447" s="5" t="str">
        <f t="shared" si="89"/>
        <v/>
      </c>
      <c r="AN1447" s="5" t="str">
        <f t="shared" si="90"/>
        <v/>
      </c>
      <c r="AO1447" s="18" t="str">
        <f t="shared" si="91"/>
        <v/>
      </c>
      <c r="AP1447" s="19"/>
      <c r="AQ1447" s="20" t="str">
        <f t="shared" si="92"/>
        <v/>
      </c>
      <c r="AR1447" s="21"/>
    </row>
    <row r="1448" spans="2:44" ht="31.5" x14ac:dyDescent="0.5">
      <c r="B1448" s="1"/>
      <c r="C1448" s="15"/>
      <c r="D1448" s="16"/>
      <c r="E1448" s="15"/>
      <c r="F1448" s="17"/>
      <c r="G1448" s="8"/>
      <c r="H1448" s="8"/>
      <c r="I1448" s="8"/>
      <c r="J1448" s="8"/>
      <c r="K1448" s="8"/>
      <c r="L1448" s="8"/>
      <c r="M1448" s="8"/>
      <c r="N1448" s="8"/>
      <c r="O1448" s="8"/>
      <c r="P1448" s="8"/>
      <c r="Q1448" s="8"/>
      <c r="R1448" s="8"/>
      <c r="S1448" s="8"/>
      <c r="T1448" s="8"/>
      <c r="U1448" s="8"/>
      <c r="V1448" s="8"/>
      <c r="W1448" s="8"/>
      <c r="X1448" s="8"/>
      <c r="Y1448" s="8"/>
      <c r="Z1448" s="8"/>
      <c r="AA1448" s="8"/>
      <c r="AB1448" s="8"/>
      <c r="AC1448" s="8"/>
      <c r="AD1448" s="8"/>
      <c r="AE1448" s="8"/>
      <c r="AF1448" s="8"/>
      <c r="AG1448" s="8"/>
      <c r="AH1448" s="8"/>
      <c r="AI1448" s="8"/>
      <c r="AJ1448" s="8"/>
      <c r="AK1448" s="8"/>
      <c r="AL1448" s="4"/>
      <c r="AM1448" s="5" t="str">
        <f t="shared" si="89"/>
        <v/>
      </c>
      <c r="AN1448" s="5" t="str">
        <f t="shared" si="90"/>
        <v/>
      </c>
      <c r="AO1448" s="18" t="str">
        <f t="shared" si="91"/>
        <v/>
      </c>
      <c r="AP1448" s="19"/>
      <c r="AQ1448" s="20" t="str">
        <f t="shared" si="92"/>
        <v/>
      </c>
      <c r="AR1448" s="21"/>
    </row>
    <row r="1449" spans="2:44" ht="31.5" x14ac:dyDescent="0.5">
      <c r="B1449" s="1"/>
      <c r="C1449" s="15"/>
      <c r="D1449" s="16"/>
      <c r="E1449" s="15"/>
      <c r="F1449" s="17"/>
      <c r="G1449" s="8"/>
      <c r="H1449" s="8"/>
      <c r="I1449" s="8"/>
      <c r="J1449" s="8"/>
      <c r="K1449" s="8"/>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4"/>
      <c r="AM1449" s="5" t="str">
        <f t="shared" si="89"/>
        <v/>
      </c>
      <c r="AN1449" s="5" t="str">
        <f t="shared" si="90"/>
        <v/>
      </c>
      <c r="AO1449" s="18" t="str">
        <f t="shared" si="91"/>
        <v/>
      </c>
      <c r="AP1449" s="19"/>
      <c r="AQ1449" s="20" t="str">
        <f t="shared" si="92"/>
        <v/>
      </c>
      <c r="AR1449" s="21"/>
    </row>
    <row r="1450" spans="2:44" ht="31.5" x14ac:dyDescent="0.5">
      <c r="B1450" s="1"/>
      <c r="C1450" s="15"/>
      <c r="D1450" s="16"/>
      <c r="E1450" s="15"/>
      <c r="F1450" s="17"/>
      <c r="G1450" s="8"/>
      <c r="H1450" s="8"/>
      <c r="I1450" s="8"/>
      <c r="J1450" s="8"/>
      <c r="K1450" s="8"/>
      <c r="L1450" s="8"/>
      <c r="M1450" s="8"/>
      <c r="N1450" s="8"/>
      <c r="O1450" s="8"/>
      <c r="P1450" s="8"/>
      <c r="Q1450" s="8"/>
      <c r="R1450" s="8"/>
      <c r="S1450" s="8"/>
      <c r="T1450" s="8"/>
      <c r="U1450" s="8"/>
      <c r="V1450" s="8"/>
      <c r="W1450" s="8"/>
      <c r="X1450" s="8"/>
      <c r="Y1450" s="8"/>
      <c r="Z1450" s="8"/>
      <c r="AA1450" s="8"/>
      <c r="AB1450" s="8"/>
      <c r="AC1450" s="8"/>
      <c r="AD1450" s="8"/>
      <c r="AE1450" s="8"/>
      <c r="AF1450" s="8"/>
      <c r="AG1450" s="8"/>
      <c r="AH1450" s="8"/>
      <c r="AI1450" s="8"/>
      <c r="AJ1450" s="8"/>
      <c r="AK1450" s="8"/>
      <c r="AL1450" s="4"/>
      <c r="AM1450" s="5" t="str">
        <f t="shared" si="89"/>
        <v/>
      </c>
      <c r="AN1450" s="5" t="str">
        <f t="shared" si="90"/>
        <v/>
      </c>
      <c r="AO1450" s="18" t="str">
        <f t="shared" si="91"/>
        <v/>
      </c>
      <c r="AP1450" s="19"/>
      <c r="AQ1450" s="20" t="str">
        <f t="shared" si="92"/>
        <v/>
      </c>
      <c r="AR1450" s="21"/>
    </row>
    <row r="1451" spans="2:44" ht="31.5" x14ac:dyDescent="0.5">
      <c r="B1451" s="1"/>
      <c r="C1451" s="15"/>
      <c r="D1451" s="16"/>
      <c r="E1451" s="15"/>
      <c r="F1451" s="17"/>
      <c r="G1451" s="8"/>
      <c r="H1451" s="8"/>
      <c r="I1451" s="8"/>
      <c r="J1451" s="8"/>
      <c r="K1451" s="8"/>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4"/>
      <c r="AM1451" s="5" t="str">
        <f t="shared" si="89"/>
        <v/>
      </c>
      <c r="AN1451" s="5" t="str">
        <f t="shared" si="90"/>
        <v/>
      </c>
      <c r="AO1451" s="18" t="str">
        <f t="shared" si="91"/>
        <v/>
      </c>
      <c r="AP1451" s="19"/>
      <c r="AQ1451" s="20" t="str">
        <f t="shared" si="92"/>
        <v/>
      </c>
      <c r="AR1451" s="21"/>
    </row>
    <row r="1452" spans="2:44" ht="31.5" x14ac:dyDescent="0.5">
      <c r="B1452" s="1"/>
      <c r="C1452" s="15"/>
      <c r="D1452" s="16"/>
      <c r="E1452" s="15"/>
      <c r="F1452" s="17"/>
      <c r="G1452" s="8"/>
      <c r="H1452" s="8"/>
      <c r="I1452" s="8"/>
      <c r="J1452" s="8"/>
      <c r="K1452" s="8"/>
      <c r="L1452" s="8"/>
      <c r="M1452" s="8"/>
      <c r="N1452" s="8"/>
      <c r="O1452" s="8"/>
      <c r="P1452" s="8"/>
      <c r="Q1452" s="8"/>
      <c r="R1452" s="8"/>
      <c r="S1452" s="8"/>
      <c r="T1452" s="8"/>
      <c r="U1452" s="8"/>
      <c r="V1452" s="8"/>
      <c r="W1452" s="8"/>
      <c r="X1452" s="8"/>
      <c r="Y1452" s="8"/>
      <c r="Z1452" s="8"/>
      <c r="AA1452" s="8"/>
      <c r="AB1452" s="8"/>
      <c r="AC1452" s="8"/>
      <c r="AD1452" s="8"/>
      <c r="AE1452" s="8"/>
      <c r="AF1452" s="8"/>
      <c r="AG1452" s="8"/>
      <c r="AH1452" s="8"/>
      <c r="AI1452" s="8"/>
      <c r="AJ1452" s="8"/>
      <c r="AK1452" s="8"/>
      <c r="AL1452" s="4"/>
      <c r="AM1452" s="5" t="str">
        <f t="shared" si="89"/>
        <v/>
      </c>
      <c r="AN1452" s="5" t="str">
        <f t="shared" si="90"/>
        <v/>
      </c>
      <c r="AO1452" s="18" t="str">
        <f t="shared" si="91"/>
        <v/>
      </c>
      <c r="AP1452" s="19"/>
      <c r="AQ1452" s="20" t="str">
        <f t="shared" si="92"/>
        <v/>
      </c>
      <c r="AR1452" s="21"/>
    </row>
    <row r="1453" spans="2:44" ht="31.5" x14ac:dyDescent="0.5">
      <c r="B1453" s="1"/>
      <c r="C1453" s="15"/>
      <c r="D1453" s="16"/>
      <c r="E1453" s="15"/>
      <c r="F1453" s="17"/>
      <c r="G1453" s="8"/>
      <c r="H1453" s="8"/>
      <c r="I1453" s="8"/>
      <c r="J1453" s="8"/>
      <c r="K1453" s="8"/>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4"/>
      <c r="AM1453" s="5" t="str">
        <f t="shared" si="89"/>
        <v/>
      </c>
      <c r="AN1453" s="5" t="str">
        <f t="shared" si="90"/>
        <v/>
      </c>
      <c r="AO1453" s="18" t="str">
        <f t="shared" si="91"/>
        <v/>
      </c>
      <c r="AP1453" s="19"/>
      <c r="AQ1453" s="20" t="str">
        <f t="shared" si="92"/>
        <v/>
      </c>
      <c r="AR1453" s="21"/>
    </row>
    <row r="1454" spans="2:44" ht="31.5" x14ac:dyDescent="0.5">
      <c r="B1454" s="1"/>
      <c r="C1454" s="15"/>
      <c r="D1454" s="16"/>
      <c r="E1454" s="15"/>
      <c r="F1454" s="17"/>
      <c r="G1454" s="8"/>
      <c r="H1454" s="8"/>
      <c r="I1454" s="8"/>
      <c r="J1454" s="8"/>
      <c r="K1454" s="8"/>
      <c r="L1454" s="8"/>
      <c r="M1454" s="8"/>
      <c r="N1454" s="8"/>
      <c r="O1454" s="8"/>
      <c r="P1454" s="8"/>
      <c r="Q1454" s="8"/>
      <c r="R1454" s="8"/>
      <c r="S1454" s="8"/>
      <c r="T1454" s="8"/>
      <c r="U1454" s="8"/>
      <c r="V1454" s="8"/>
      <c r="W1454" s="8"/>
      <c r="X1454" s="8"/>
      <c r="Y1454" s="8"/>
      <c r="Z1454" s="8"/>
      <c r="AA1454" s="8"/>
      <c r="AB1454" s="8"/>
      <c r="AC1454" s="8"/>
      <c r="AD1454" s="8"/>
      <c r="AE1454" s="8"/>
      <c r="AF1454" s="8"/>
      <c r="AG1454" s="8"/>
      <c r="AH1454" s="8"/>
      <c r="AI1454" s="8"/>
      <c r="AJ1454" s="8"/>
      <c r="AK1454" s="8"/>
      <c r="AL1454" s="4"/>
      <c r="AM1454" s="5" t="str">
        <f t="shared" si="89"/>
        <v/>
      </c>
      <c r="AN1454" s="5" t="str">
        <f t="shared" si="90"/>
        <v/>
      </c>
      <c r="AO1454" s="18" t="str">
        <f t="shared" si="91"/>
        <v/>
      </c>
      <c r="AP1454" s="19"/>
      <c r="AQ1454" s="20" t="str">
        <f t="shared" si="92"/>
        <v/>
      </c>
      <c r="AR1454" s="21"/>
    </row>
    <row r="1455" spans="2:44" ht="31.5" x14ac:dyDescent="0.5">
      <c r="B1455" s="1"/>
      <c r="C1455" s="15"/>
      <c r="D1455" s="16"/>
      <c r="E1455" s="15"/>
      <c r="F1455" s="17"/>
      <c r="G1455" s="8"/>
      <c r="H1455" s="8"/>
      <c r="I1455" s="8"/>
      <c r="J1455" s="8"/>
      <c r="K1455" s="8"/>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4"/>
      <c r="AM1455" s="5" t="str">
        <f t="shared" si="89"/>
        <v/>
      </c>
      <c r="AN1455" s="5" t="str">
        <f t="shared" si="90"/>
        <v/>
      </c>
      <c r="AO1455" s="18" t="str">
        <f t="shared" si="91"/>
        <v/>
      </c>
      <c r="AP1455" s="19"/>
      <c r="AQ1455" s="20" t="str">
        <f t="shared" si="92"/>
        <v/>
      </c>
      <c r="AR1455" s="21"/>
    </row>
    <row r="1456" spans="2:44" ht="31.5" x14ac:dyDescent="0.5">
      <c r="B1456" s="1"/>
      <c r="C1456" s="15"/>
      <c r="D1456" s="16"/>
      <c r="E1456" s="15"/>
      <c r="F1456" s="17"/>
      <c r="G1456" s="8"/>
      <c r="H1456" s="8"/>
      <c r="I1456" s="8"/>
      <c r="J1456" s="8"/>
      <c r="K1456" s="8"/>
      <c r="L1456" s="8"/>
      <c r="M1456" s="8"/>
      <c r="N1456" s="8"/>
      <c r="O1456" s="8"/>
      <c r="P1456" s="8"/>
      <c r="Q1456" s="8"/>
      <c r="R1456" s="8"/>
      <c r="S1456" s="8"/>
      <c r="T1456" s="8"/>
      <c r="U1456" s="8"/>
      <c r="V1456" s="8"/>
      <c r="W1456" s="8"/>
      <c r="X1456" s="8"/>
      <c r="Y1456" s="8"/>
      <c r="Z1456" s="8"/>
      <c r="AA1456" s="8"/>
      <c r="AB1456" s="8"/>
      <c r="AC1456" s="8"/>
      <c r="AD1456" s="8"/>
      <c r="AE1456" s="8"/>
      <c r="AF1456" s="8"/>
      <c r="AG1456" s="8"/>
      <c r="AH1456" s="8"/>
      <c r="AI1456" s="8"/>
      <c r="AJ1456" s="8"/>
      <c r="AK1456" s="8"/>
      <c r="AL1456" s="4"/>
      <c r="AM1456" s="5" t="str">
        <f t="shared" si="89"/>
        <v/>
      </c>
      <c r="AN1456" s="5" t="str">
        <f t="shared" si="90"/>
        <v/>
      </c>
      <c r="AO1456" s="18" t="str">
        <f t="shared" si="91"/>
        <v/>
      </c>
      <c r="AP1456" s="19"/>
      <c r="AQ1456" s="20" t="str">
        <f t="shared" si="92"/>
        <v/>
      </c>
      <c r="AR1456" s="21"/>
    </row>
    <row r="1457" spans="2:44" ht="31.5" x14ac:dyDescent="0.5">
      <c r="B1457" s="1"/>
      <c r="C1457" s="15"/>
      <c r="D1457" s="16"/>
      <c r="E1457" s="15"/>
      <c r="F1457" s="17"/>
      <c r="G1457" s="8"/>
      <c r="H1457" s="8"/>
      <c r="I1457" s="8"/>
      <c r="J1457" s="8"/>
      <c r="K1457" s="8"/>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4"/>
      <c r="AM1457" s="5" t="str">
        <f t="shared" si="89"/>
        <v/>
      </c>
      <c r="AN1457" s="5" t="str">
        <f t="shared" si="90"/>
        <v/>
      </c>
      <c r="AO1457" s="18" t="str">
        <f t="shared" si="91"/>
        <v/>
      </c>
      <c r="AP1457" s="19"/>
      <c r="AQ1457" s="20" t="str">
        <f t="shared" si="92"/>
        <v/>
      </c>
      <c r="AR1457" s="21"/>
    </row>
    <row r="1458" spans="2:44" ht="31.5" x14ac:dyDescent="0.5">
      <c r="B1458" s="1"/>
      <c r="C1458" s="15"/>
      <c r="D1458" s="16"/>
      <c r="E1458" s="15"/>
      <c r="F1458" s="17"/>
      <c r="G1458" s="8"/>
      <c r="H1458" s="8"/>
      <c r="I1458" s="8"/>
      <c r="J1458" s="8"/>
      <c r="K1458" s="8"/>
      <c r="L1458" s="8"/>
      <c r="M1458" s="8"/>
      <c r="N1458" s="8"/>
      <c r="O1458" s="8"/>
      <c r="P1458" s="8"/>
      <c r="Q1458" s="8"/>
      <c r="R1458" s="8"/>
      <c r="S1458" s="8"/>
      <c r="T1458" s="8"/>
      <c r="U1458" s="8"/>
      <c r="V1458" s="8"/>
      <c r="W1458" s="8"/>
      <c r="X1458" s="8"/>
      <c r="Y1458" s="8"/>
      <c r="Z1458" s="8"/>
      <c r="AA1458" s="8"/>
      <c r="AB1458" s="8"/>
      <c r="AC1458" s="8"/>
      <c r="AD1458" s="8"/>
      <c r="AE1458" s="8"/>
      <c r="AF1458" s="8"/>
      <c r="AG1458" s="8"/>
      <c r="AH1458" s="8"/>
      <c r="AI1458" s="8"/>
      <c r="AJ1458" s="8"/>
      <c r="AK1458" s="8"/>
      <c r="AL1458" s="4"/>
      <c r="AM1458" s="5" t="str">
        <f t="shared" si="89"/>
        <v/>
      </c>
      <c r="AN1458" s="5" t="str">
        <f t="shared" si="90"/>
        <v/>
      </c>
      <c r="AO1458" s="18" t="str">
        <f t="shared" si="91"/>
        <v/>
      </c>
      <c r="AP1458" s="19"/>
      <c r="AQ1458" s="20" t="str">
        <f t="shared" si="92"/>
        <v/>
      </c>
      <c r="AR1458" s="21"/>
    </row>
    <row r="1459" spans="2:44" ht="31.5" x14ac:dyDescent="0.5">
      <c r="B1459" s="1"/>
      <c r="C1459" s="15"/>
      <c r="D1459" s="16"/>
      <c r="E1459" s="15"/>
      <c r="F1459" s="17"/>
      <c r="G1459" s="8"/>
      <c r="H1459" s="8"/>
      <c r="I1459" s="8"/>
      <c r="J1459" s="8"/>
      <c r="K1459" s="8"/>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4"/>
      <c r="AM1459" s="5" t="str">
        <f t="shared" ref="AM1459:AM1522" si="93">IF($B1459="","",COUNTIF($G1459:$AK1459,"P"))</f>
        <v/>
      </c>
      <c r="AN1459" s="5" t="str">
        <f t="shared" ref="AN1459:AN1522" si="94">IF($B1459="","",COUNTIF($G1459:$AK1459,"AB"))</f>
        <v/>
      </c>
      <c r="AO1459" s="18" t="str">
        <f t="shared" ref="AO1459:AO1522" si="95">IF($B1459="","",SUMPRODUCT(--($G$11:$AK$11&lt;&gt;""),--($G$12:$AK$12&lt;&gt;"Sun")))</f>
        <v/>
      </c>
      <c r="AP1459" s="19"/>
      <c r="AQ1459" s="20" t="str">
        <f t="shared" ref="AQ1459:AQ1522" si="96">IF($B1459="","",IF(AO1459=0,"",AM1459/AO1459))</f>
        <v/>
      </c>
      <c r="AR1459" s="21"/>
    </row>
    <row r="1460" spans="2:44" ht="31.5" x14ac:dyDescent="0.5">
      <c r="B1460" s="1"/>
      <c r="C1460" s="15"/>
      <c r="D1460" s="16"/>
      <c r="E1460" s="15"/>
      <c r="F1460" s="17"/>
      <c r="G1460" s="8"/>
      <c r="H1460" s="8"/>
      <c r="I1460" s="8"/>
      <c r="J1460" s="8"/>
      <c r="K1460" s="8"/>
      <c r="L1460" s="8"/>
      <c r="M1460" s="8"/>
      <c r="N1460" s="8"/>
      <c r="O1460" s="8"/>
      <c r="P1460" s="8"/>
      <c r="Q1460" s="8"/>
      <c r="R1460" s="8"/>
      <c r="S1460" s="8"/>
      <c r="T1460" s="8"/>
      <c r="U1460" s="8"/>
      <c r="V1460" s="8"/>
      <c r="W1460" s="8"/>
      <c r="X1460" s="8"/>
      <c r="Y1460" s="8"/>
      <c r="Z1460" s="8"/>
      <c r="AA1460" s="8"/>
      <c r="AB1460" s="8"/>
      <c r="AC1460" s="8"/>
      <c r="AD1460" s="8"/>
      <c r="AE1460" s="8"/>
      <c r="AF1460" s="8"/>
      <c r="AG1460" s="8"/>
      <c r="AH1460" s="8"/>
      <c r="AI1460" s="8"/>
      <c r="AJ1460" s="8"/>
      <c r="AK1460" s="8"/>
      <c r="AL1460" s="4"/>
      <c r="AM1460" s="5" t="str">
        <f t="shared" si="93"/>
        <v/>
      </c>
      <c r="AN1460" s="5" t="str">
        <f t="shared" si="94"/>
        <v/>
      </c>
      <c r="AO1460" s="18" t="str">
        <f t="shared" si="95"/>
        <v/>
      </c>
      <c r="AP1460" s="19"/>
      <c r="AQ1460" s="20" t="str">
        <f t="shared" si="96"/>
        <v/>
      </c>
      <c r="AR1460" s="21"/>
    </row>
    <row r="1461" spans="2:44" ht="31.5" x14ac:dyDescent="0.5">
      <c r="B1461" s="1"/>
      <c r="C1461" s="15"/>
      <c r="D1461" s="16"/>
      <c r="E1461" s="15"/>
      <c r="F1461" s="17"/>
      <c r="G1461" s="8"/>
      <c r="H1461" s="8"/>
      <c r="I1461" s="8"/>
      <c r="J1461" s="8"/>
      <c r="K1461" s="8"/>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4"/>
      <c r="AM1461" s="5" t="str">
        <f t="shared" si="93"/>
        <v/>
      </c>
      <c r="AN1461" s="5" t="str">
        <f t="shared" si="94"/>
        <v/>
      </c>
      <c r="AO1461" s="18" t="str">
        <f t="shared" si="95"/>
        <v/>
      </c>
      <c r="AP1461" s="19"/>
      <c r="AQ1461" s="20" t="str">
        <f t="shared" si="96"/>
        <v/>
      </c>
      <c r="AR1461" s="21"/>
    </row>
    <row r="1462" spans="2:44" ht="31.5" x14ac:dyDescent="0.5">
      <c r="B1462" s="1"/>
      <c r="C1462" s="15"/>
      <c r="D1462" s="16"/>
      <c r="E1462" s="15"/>
      <c r="F1462" s="17"/>
      <c r="G1462" s="8"/>
      <c r="H1462" s="8"/>
      <c r="I1462" s="8"/>
      <c r="J1462" s="8"/>
      <c r="K1462" s="8"/>
      <c r="L1462" s="8"/>
      <c r="M1462" s="8"/>
      <c r="N1462" s="8"/>
      <c r="O1462" s="8"/>
      <c r="P1462" s="8"/>
      <c r="Q1462" s="8"/>
      <c r="R1462" s="8"/>
      <c r="S1462" s="8"/>
      <c r="T1462" s="8"/>
      <c r="U1462" s="8"/>
      <c r="V1462" s="8"/>
      <c r="W1462" s="8"/>
      <c r="X1462" s="8"/>
      <c r="Y1462" s="8"/>
      <c r="Z1462" s="8"/>
      <c r="AA1462" s="8"/>
      <c r="AB1462" s="8"/>
      <c r="AC1462" s="8"/>
      <c r="AD1462" s="8"/>
      <c r="AE1462" s="8"/>
      <c r="AF1462" s="8"/>
      <c r="AG1462" s="8"/>
      <c r="AH1462" s="8"/>
      <c r="AI1462" s="8"/>
      <c r="AJ1462" s="8"/>
      <c r="AK1462" s="8"/>
      <c r="AL1462" s="4"/>
      <c r="AM1462" s="5" t="str">
        <f t="shared" si="93"/>
        <v/>
      </c>
      <c r="AN1462" s="5" t="str">
        <f t="shared" si="94"/>
        <v/>
      </c>
      <c r="AO1462" s="18" t="str">
        <f t="shared" si="95"/>
        <v/>
      </c>
      <c r="AP1462" s="19"/>
      <c r="AQ1462" s="20" t="str">
        <f t="shared" si="96"/>
        <v/>
      </c>
      <c r="AR1462" s="21"/>
    </row>
    <row r="1463" spans="2:44" ht="31.5" x14ac:dyDescent="0.5">
      <c r="B1463" s="1"/>
      <c r="C1463" s="15"/>
      <c r="D1463" s="16"/>
      <c r="E1463" s="15"/>
      <c r="F1463" s="17"/>
      <c r="G1463" s="8"/>
      <c r="H1463" s="8"/>
      <c r="I1463" s="8"/>
      <c r="J1463" s="8"/>
      <c r="K1463" s="8"/>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4"/>
      <c r="AM1463" s="5" t="str">
        <f t="shared" si="93"/>
        <v/>
      </c>
      <c r="AN1463" s="5" t="str">
        <f t="shared" si="94"/>
        <v/>
      </c>
      <c r="AO1463" s="18" t="str">
        <f t="shared" si="95"/>
        <v/>
      </c>
      <c r="AP1463" s="19"/>
      <c r="AQ1463" s="20" t="str">
        <f t="shared" si="96"/>
        <v/>
      </c>
      <c r="AR1463" s="21"/>
    </row>
    <row r="1464" spans="2:44" ht="31.5" x14ac:dyDescent="0.5">
      <c r="B1464" s="1"/>
      <c r="C1464" s="15"/>
      <c r="D1464" s="16"/>
      <c r="E1464" s="15"/>
      <c r="F1464" s="17"/>
      <c r="G1464" s="8"/>
      <c r="H1464" s="8"/>
      <c r="I1464" s="8"/>
      <c r="J1464" s="8"/>
      <c r="K1464" s="8"/>
      <c r="L1464" s="8"/>
      <c r="M1464" s="8"/>
      <c r="N1464" s="8"/>
      <c r="O1464" s="8"/>
      <c r="P1464" s="8"/>
      <c r="Q1464" s="8"/>
      <c r="R1464" s="8"/>
      <c r="S1464" s="8"/>
      <c r="T1464" s="8"/>
      <c r="U1464" s="8"/>
      <c r="V1464" s="8"/>
      <c r="W1464" s="8"/>
      <c r="X1464" s="8"/>
      <c r="Y1464" s="8"/>
      <c r="Z1464" s="8"/>
      <c r="AA1464" s="8"/>
      <c r="AB1464" s="8"/>
      <c r="AC1464" s="8"/>
      <c r="AD1464" s="8"/>
      <c r="AE1464" s="8"/>
      <c r="AF1464" s="8"/>
      <c r="AG1464" s="8"/>
      <c r="AH1464" s="8"/>
      <c r="AI1464" s="8"/>
      <c r="AJ1464" s="8"/>
      <c r="AK1464" s="8"/>
      <c r="AL1464" s="4"/>
      <c r="AM1464" s="5" t="str">
        <f t="shared" si="93"/>
        <v/>
      </c>
      <c r="AN1464" s="5" t="str">
        <f t="shared" si="94"/>
        <v/>
      </c>
      <c r="AO1464" s="18" t="str">
        <f t="shared" si="95"/>
        <v/>
      </c>
      <c r="AP1464" s="19"/>
      <c r="AQ1464" s="20" t="str">
        <f t="shared" si="96"/>
        <v/>
      </c>
      <c r="AR1464" s="21"/>
    </row>
    <row r="1465" spans="2:44" ht="31.5" x14ac:dyDescent="0.5">
      <c r="B1465" s="1"/>
      <c r="C1465" s="15"/>
      <c r="D1465" s="16"/>
      <c r="E1465" s="15"/>
      <c r="F1465" s="17"/>
      <c r="G1465" s="8"/>
      <c r="H1465" s="8"/>
      <c r="I1465" s="8"/>
      <c r="J1465" s="8"/>
      <c r="K1465" s="8"/>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4"/>
      <c r="AM1465" s="5" t="str">
        <f t="shared" si="93"/>
        <v/>
      </c>
      <c r="AN1465" s="5" t="str">
        <f t="shared" si="94"/>
        <v/>
      </c>
      <c r="AO1465" s="18" t="str">
        <f t="shared" si="95"/>
        <v/>
      </c>
      <c r="AP1465" s="19"/>
      <c r="AQ1465" s="20" t="str">
        <f t="shared" si="96"/>
        <v/>
      </c>
      <c r="AR1465" s="21"/>
    </row>
    <row r="1466" spans="2:44" ht="31.5" x14ac:dyDescent="0.5">
      <c r="B1466" s="1"/>
      <c r="C1466" s="15"/>
      <c r="D1466" s="16"/>
      <c r="E1466" s="15"/>
      <c r="F1466" s="17"/>
      <c r="G1466" s="8"/>
      <c r="H1466" s="8"/>
      <c r="I1466" s="8"/>
      <c r="J1466" s="8"/>
      <c r="K1466" s="8"/>
      <c r="L1466" s="8"/>
      <c r="M1466" s="8"/>
      <c r="N1466" s="8"/>
      <c r="O1466" s="8"/>
      <c r="P1466" s="8"/>
      <c r="Q1466" s="8"/>
      <c r="R1466" s="8"/>
      <c r="S1466" s="8"/>
      <c r="T1466" s="8"/>
      <c r="U1466" s="8"/>
      <c r="V1466" s="8"/>
      <c r="W1466" s="8"/>
      <c r="X1466" s="8"/>
      <c r="Y1466" s="8"/>
      <c r="Z1466" s="8"/>
      <c r="AA1466" s="8"/>
      <c r="AB1466" s="8"/>
      <c r="AC1466" s="8"/>
      <c r="AD1466" s="8"/>
      <c r="AE1466" s="8"/>
      <c r="AF1466" s="8"/>
      <c r="AG1466" s="8"/>
      <c r="AH1466" s="8"/>
      <c r="AI1466" s="8"/>
      <c r="AJ1466" s="8"/>
      <c r="AK1466" s="8"/>
      <c r="AL1466" s="4"/>
      <c r="AM1466" s="5" t="str">
        <f t="shared" si="93"/>
        <v/>
      </c>
      <c r="AN1466" s="5" t="str">
        <f t="shared" si="94"/>
        <v/>
      </c>
      <c r="AO1466" s="18" t="str">
        <f t="shared" si="95"/>
        <v/>
      </c>
      <c r="AP1466" s="19"/>
      <c r="AQ1466" s="20" t="str">
        <f t="shared" si="96"/>
        <v/>
      </c>
      <c r="AR1466" s="21"/>
    </row>
    <row r="1467" spans="2:44" ht="31.5" x14ac:dyDescent="0.5">
      <c r="B1467" s="1"/>
      <c r="C1467" s="15"/>
      <c r="D1467" s="16"/>
      <c r="E1467" s="15"/>
      <c r="F1467" s="17"/>
      <c r="G1467" s="8"/>
      <c r="H1467" s="8"/>
      <c r="I1467" s="8"/>
      <c r="J1467" s="8"/>
      <c r="K1467" s="8"/>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4"/>
      <c r="AM1467" s="5" t="str">
        <f t="shared" si="93"/>
        <v/>
      </c>
      <c r="AN1467" s="5" t="str">
        <f t="shared" si="94"/>
        <v/>
      </c>
      <c r="AO1467" s="18" t="str">
        <f t="shared" si="95"/>
        <v/>
      </c>
      <c r="AP1467" s="19"/>
      <c r="AQ1467" s="20" t="str">
        <f t="shared" si="96"/>
        <v/>
      </c>
      <c r="AR1467" s="21"/>
    </row>
    <row r="1468" spans="2:44" ht="31.5" x14ac:dyDescent="0.5">
      <c r="B1468" s="1"/>
      <c r="C1468" s="15"/>
      <c r="D1468" s="16"/>
      <c r="E1468" s="15"/>
      <c r="F1468" s="17"/>
      <c r="G1468" s="8"/>
      <c r="H1468" s="8"/>
      <c r="I1468" s="8"/>
      <c r="J1468" s="8"/>
      <c r="K1468" s="8"/>
      <c r="L1468" s="8"/>
      <c r="M1468" s="8"/>
      <c r="N1468" s="8"/>
      <c r="O1468" s="8"/>
      <c r="P1468" s="8"/>
      <c r="Q1468" s="8"/>
      <c r="R1468" s="8"/>
      <c r="S1468" s="8"/>
      <c r="T1468" s="8"/>
      <c r="U1468" s="8"/>
      <c r="V1468" s="8"/>
      <c r="W1468" s="8"/>
      <c r="X1468" s="8"/>
      <c r="Y1468" s="8"/>
      <c r="Z1468" s="8"/>
      <c r="AA1468" s="8"/>
      <c r="AB1468" s="8"/>
      <c r="AC1468" s="8"/>
      <c r="AD1468" s="8"/>
      <c r="AE1468" s="8"/>
      <c r="AF1468" s="8"/>
      <c r="AG1468" s="8"/>
      <c r="AH1468" s="8"/>
      <c r="AI1468" s="8"/>
      <c r="AJ1468" s="8"/>
      <c r="AK1468" s="8"/>
      <c r="AL1468" s="4"/>
      <c r="AM1468" s="5" t="str">
        <f t="shared" si="93"/>
        <v/>
      </c>
      <c r="AN1468" s="5" t="str">
        <f t="shared" si="94"/>
        <v/>
      </c>
      <c r="AO1468" s="18" t="str">
        <f t="shared" si="95"/>
        <v/>
      </c>
      <c r="AP1468" s="19"/>
      <c r="AQ1468" s="20" t="str">
        <f t="shared" si="96"/>
        <v/>
      </c>
      <c r="AR1468" s="21"/>
    </row>
    <row r="1469" spans="2:44" ht="31.5" x14ac:dyDescent="0.5">
      <c r="B1469" s="1"/>
      <c r="C1469" s="15"/>
      <c r="D1469" s="16"/>
      <c r="E1469" s="15"/>
      <c r="F1469" s="17"/>
      <c r="G1469" s="8"/>
      <c r="H1469" s="8"/>
      <c r="I1469" s="8"/>
      <c r="J1469" s="8"/>
      <c r="K1469" s="8"/>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4"/>
      <c r="AM1469" s="5" t="str">
        <f t="shared" si="93"/>
        <v/>
      </c>
      <c r="AN1469" s="5" t="str">
        <f t="shared" si="94"/>
        <v/>
      </c>
      <c r="AO1469" s="18" t="str">
        <f t="shared" si="95"/>
        <v/>
      </c>
      <c r="AP1469" s="19"/>
      <c r="AQ1469" s="20" t="str">
        <f t="shared" si="96"/>
        <v/>
      </c>
      <c r="AR1469" s="21"/>
    </row>
    <row r="1470" spans="2:44" ht="31.5" x14ac:dyDescent="0.5">
      <c r="B1470" s="1"/>
      <c r="C1470" s="15"/>
      <c r="D1470" s="16"/>
      <c r="E1470" s="15"/>
      <c r="F1470" s="17"/>
      <c r="G1470" s="8"/>
      <c r="H1470" s="8"/>
      <c r="I1470" s="8"/>
      <c r="J1470" s="8"/>
      <c r="K1470" s="8"/>
      <c r="L1470" s="8"/>
      <c r="M1470" s="8"/>
      <c r="N1470" s="8"/>
      <c r="O1470" s="8"/>
      <c r="P1470" s="8"/>
      <c r="Q1470" s="8"/>
      <c r="R1470" s="8"/>
      <c r="S1470" s="8"/>
      <c r="T1470" s="8"/>
      <c r="U1470" s="8"/>
      <c r="V1470" s="8"/>
      <c r="W1470" s="8"/>
      <c r="X1470" s="8"/>
      <c r="Y1470" s="8"/>
      <c r="Z1470" s="8"/>
      <c r="AA1470" s="8"/>
      <c r="AB1470" s="8"/>
      <c r="AC1470" s="8"/>
      <c r="AD1470" s="8"/>
      <c r="AE1470" s="8"/>
      <c r="AF1470" s="8"/>
      <c r="AG1470" s="8"/>
      <c r="AH1470" s="8"/>
      <c r="AI1470" s="8"/>
      <c r="AJ1470" s="8"/>
      <c r="AK1470" s="8"/>
      <c r="AL1470" s="4"/>
      <c r="AM1470" s="5" t="str">
        <f t="shared" si="93"/>
        <v/>
      </c>
      <c r="AN1470" s="5" t="str">
        <f t="shared" si="94"/>
        <v/>
      </c>
      <c r="AO1470" s="18" t="str">
        <f t="shared" si="95"/>
        <v/>
      </c>
      <c r="AP1470" s="19"/>
      <c r="AQ1470" s="20" t="str">
        <f t="shared" si="96"/>
        <v/>
      </c>
      <c r="AR1470" s="21"/>
    </row>
    <row r="1471" spans="2:44" ht="31.5" x14ac:dyDescent="0.5">
      <c r="B1471" s="1"/>
      <c r="C1471" s="15"/>
      <c r="D1471" s="16"/>
      <c r="E1471" s="15"/>
      <c r="F1471" s="17"/>
      <c r="G1471" s="8"/>
      <c r="H1471" s="8"/>
      <c r="I1471" s="8"/>
      <c r="J1471" s="8"/>
      <c r="K1471" s="8"/>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4"/>
      <c r="AM1471" s="5" t="str">
        <f t="shared" si="93"/>
        <v/>
      </c>
      <c r="AN1471" s="5" t="str">
        <f t="shared" si="94"/>
        <v/>
      </c>
      <c r="AO1471" s="18" t="str">
        <f t="shared" si="95"/>
        <v/>
      </c>
      <c r="AP1471" s="19"/>
      <c r="AQ1471" s="20" t="str">
        <f t="shared" si="96"/>
        <v/>
      </c>
      <c r="AR1471" s="21"/>
    </row>
    <row r="1472" spans="2:44" ht="31.5" x14ac:dyDescent="0.5">
      <c r="B1472" s="1"/>
      <c r="C1472" s="15"/>
      <c r="D1472" s="16"/>
      <c r="E1472" s="15"/>
      <c r="F1472" s="17"/>
      <c r="G1472" s="8"/>
      <c r="H1472" s="8"/>
      <c r="I1472" s="8"/>
      <c r="J1472" s="8"/>
      <c r="K1472" s="8"/>
      <c r="L1472" s="8"/>
      <c r="M1472" s="8"/>
      <c r="N1472" s="8"/>
      <c r="O1472" s="8"/>
      <c r="P1472" s="8"/>
      <c r="Q1472" s="8"/>
      <c r="R1472" s="8"/>
      <c r="S1472" s="8"/>
      <c r="T1472" s="8"/>
      <c r="U1472" s="8"/>
      <c r="V1472" s="8"/>
      <c r="W1472" s="8"/>
      <c r="X1472" s="8"/>
      <c r="Y1472" s="8"/>
      <c r="Z1472" s="8"/>
      <c r="AA1472" s="8"/>
      <c r="AB1472" s="8"/>
      <c r="AC1472" s="8"/>
      <c r="AD1472" s="8"/>
      <c r="AE1472" s="8"/>
      <c r="AF1472" s="8"/>
      <c r="AG1472" s="8"/>
      <c r="AH1472" s="8"/>
      <c r="AI1472" s="8"/>
      <c r="AJ1472" s="8"/>
      <c r="AK1472" s="8"/>
      <c r="AL1472" s="4"/>
      <c r="AM1472" s="5" t="str">
        <f t="shared" si="93"/>
        <v/>
      </c>
      <c r="AN1472" s="5" t="str">
        <f t="shared" si="94"/>
        <v/>
      </c>
      <c r="AO1472" s="18" t="str">
        <f t="shared" si="95"/>
        <v/>
      </c>
      <c r="AP1472" s="19"/>
      <c r="AQ1472" s="20" t="str">
        <f t="shared" si="96"/>
        <v/>
      </c>
      <c r="AR1472" s="21"/>
    </row>
    <row r="1473" spans="2:44" ht="31.5" x14ac:dyDescent="0.5">
      <c r="B1473" s="1"/>
      <c r="C1473" s="15"/>
      <c r="D1473" s="16"/>
      <c r="E1473" s="15"/>
      <c r="F1473" s="17"/>
      <c r="G1473" s="8"/>
      <c r="H1473" s="8"/>
      <c r="I1473" s="8"/>
      <c r="J1473" s="8"/>
      <c r="K1473" s="8"/>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4"/>
      <c r="AM1473" s="5" t="str">
        <f t="shared" si="93"/>
        <v/>
      </c>
      <c r="AN1473" s="5" t="str">
        <f t="shared" si="94"/>
        <v/>
      </c>
      <c r="AO1473" s="18" t="str">
        <f t="shared" si="95"/>
        <v/>
      </c>
      <c r="AP1473" s="19"/>
      <c r="AQ1473" s="20" t="str">
        <f t="shared" si="96"/>
        <v/>
      </c>
      <c r="AR1473" s="21"/>
    </row>
    <row r="1474" spans="2:44" ht="31.5" x14ac:dyDescent="0.5">
      <c r="B1474" s="1"/>
      <c r="C1474" s="15"/>
      <c r="D1474" s="16"/>
      <c r="E1474" s="15"/>
      <c r="F1474" s="17"/>
      <c r="G1474" s="8"/>
      <c r="H1474" s="8"/>
      <c r="I1474" s="8"/>
      <c r="J1474" s="8"/>
      <c r="K1474" s="8"/>
      <c r="L1474" s="8"/>
      <c r="M1474" s="8"/>
      <c r="N1474" s="8"/>
      <c r="O1474" s="8"/>
      <c r="P1474" s="8"/>
      <c r="Q1474" s="8"/>
      <c r="R1474" s="8"/>
      <c r="S1474" s="8"/>
      <c r="T1474" s="8"/>
      <c r="U1474" s="8"/>
      <c r="V1474" s="8"/>
      <c r="W1474" s="8"/>
      <c r="X1474" s="8"/>
      <c r="Y1474" s="8"/>
      <c r="Z1474" s="8"/>
      <c r="AA1474" s="8"/>
      <c r="AB1474" s="8"/>
      <c r="AC1474" s="8"/>
      <c r="AD1474" s="8"/>
      <c r="AE1474" s="8"/>
      <c r="AF1474" s="8"/>
      <c r="AG1474" s="8"/>
      <c r="AH1474" s="8"/>
      <c r="AI1474" s="8"/>
      <c r="AJ1474" s="8"/>
      <c r="AK1474" s="8"/>
      <c r="AL1474" s="4"/>
      <c r="AM1474" s="5" t="str">
        <f t="shared" si="93"/>
        <v/>
      </c>
      <c r="AN1474" s="5" t="str">
        <f t="shared" si="94"/>
        <v/>
      </c>
      <c r="AO1474" s="18" t="str">
        <f t="shared" si="95"/>
        <v/>
      </c>
      <c r="AP1474" s="19"/>
      <c r="AQ1474" s="20" t="str">
        <f t="shared" si="96"/>
        <v/>
      </c>
      <c r="AR1474" s="21"/>
    </row>
    <row r="1475" spans="2:44" ht="31.5" x14ac:dyDescent="0.5">
      <c r="B1475" s="1"/>
      <c r="C1475" s="15"/>
      <c r="D1475" s="16"/>
      <c r="E1475" s="15"/>
      <c r="F1475" s="17"/>
      <c r="G1475" s="8"/>
      <c r="H1475" s="8"/>
      <c r="I1475" s="8"/>
      <c r="J1475" s="8"/>
      <c r="K1475" s="8"/>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4"/>
      <c r="AM1475" s="5" t="str">
        <f t="shared" si="93"/>
        <v/>
      </c>
      <c r="AN1475" s="5" t="str">
        <f t="shared" si="94"/>
        <v/>
      </c>
      <c r="AO1475" s="18" t="str">
        <f t="shared" si="95"/>
        <v/>
      </c>
      <c r="AP1475" s="19"/>
      <c r="AQ1475" s="20" t="str">
        <f t="shared" si="96"/>
        <v/>
      </c>
      <c r="AR1475" s="21"/>
    </row>
    <row r="1476" spans="2:44" ht="31.5" x14ac:dyDescent="0.5">
      <c r="B1476" s="1"/>
      <c r="C1476" s="15"/>
      <c r="D1476" s="16"/>
      <c r="E1476" s="15"/>
      <c r="F1476" s="17"/>
      <c r="G1476" s="8"/>
      <c r="H1476" s="8"/>
      <c r="I1476" s="8"/>
      <c r="J1476" s="8"/>
      <c r="K1476" s="8"/>
      <c r="L1476" s="8"/>
      <c r="M1476" s="8"/>
      <c r="N1476" s="8"/>
      <c r="O1476" s="8"/>
      <c r="P1476" s="8"/>
      <c r="Q1476" s="8"/>
      <c r="R1476" s="8"/>
      <c r="S1476" s="8"/>
      <c r="T1476" s="8"/>
      <c r="U1476" s="8"/>
      <c r="V1476" s="8"/>
      <c r="W1476" s="8"/>
      <c r="X1476" s="8"/>
      <c r="Y1476" s="8"/>
      <c r="Z1476" s="8"/>
      <c r="AA1476" s="8"/>
      <c r="AB1476" s="8"/>
      <c r="AC1476" s="8"/>
      <c r="AD1476" s="8"/>
      <c r="AE1476" s="8"/>
      <c r="AF1476" s="8"/>
      <c r="AG1476" s="8"/>
      <c r="AH1476" s="8"/>
      <c r="AI1476" s="8"/>
      <c r="AJ1476" s="8"/>
      <c r="AK1476" s="8"/>
      <c r="AL1476" s="4"/>
      <c r="AM1476" s="5" t="str">
        <f t="shared" si="93"/>
        <v/>
      </c>
      <c r="AN1476" s="5" t="str">
        <f t="shared" si="94"/>
        <v/>
      </c>
      <c r="AO1476" s="18" t="str">
        <f t="shared" si="95"/>
        <v/>
      </c>
      <c r="AP1476" s="19"/>
      <c r="AQ1476" s="20" t="str">
        <f t="shared" si="96"/>
        <v/>
      </c>
      <c r="AR1476" s="21"/>
    </row>
    <row r="1477" spans="2:44" ht="31.5" x14ac:dyDescent="0.5">
      <c r="B1477" s="1"/>
      <c r="C1477" s="15"/>
      <c r="D1477" s="16"/>
      <c r="E1477" s="15"/>
      <c r="F1477" s="17"/>
      <c r="G1477" s="8"/>
      <c r="H1477" s="8"/>
      <c r="I1477" s="8"/>
      <c r="J1477" s="8"/>
      <c r="K1477" s="8"/>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4"/>
      <c r="AM1477" s="5" t="str">
        <f t="shared" si="93"/>
        <v/>
      </c>
      <c r="AN1477" s="5" t="str">
        <f t="shared" si="94"/>
        <v/>
      </c>
      <c r="AO1477" s="18" t="str">
        <f t="shared" si="95"/>
        <v/>
      </c>
      <c r="AP1477" s="19"/>
      <c r="AQ1477" s="20" t="str">
        <f t="shared" si="96"/>
        <v/>
      </c>
      <c r="AR1477" s="21"/>
    </row>
    <row r="1478" spans="2:44" ht="31.5" x14ac:dyDescent="0.5">
      <c r="B1478" s="1"/>
      <c r="C1478" s="15"/>
      <c r="D1478" s="16"/>
      <c r="E1478" s="15"/>
      <c r="F1478" s="17"/>
      <c r="G1478" s="8"/>
      <c r="H1478" s="8"/>
      <c r="I1478" s="8"/>
      <c r="J1478" s="8"/>
      <c r="K1478" s="8"/>
      <c r="L1478" s="8"/>
      <c r="M1478" s="8"/>
      <c r="N1478" s="8"/>
      <c r="O1478" s="8"/>
      <c r="P1478" s="8"/>
      <c r="Q1478" s="8"/>
      <c r="R1478" s="8"/>
      <c r="S1478" s="8"/>
      <c r="T1478" s="8"/>
      <c r="U1478" s="8"/>
      <c r="V1478" s="8"/>
      <c r="W1478" s="8"/>
      <c r="X1478" s="8"/>
      <c r="Y1478" s="8"/>
      <c r="Z1478" s="8"/>
      <c r="AA1478" s="8"/>
      <c r="AB1478" s="8"/>
      <c r="AC1478" s="8"/>
      <c r="AD1478" s="8"/>
      <c r="AE1478" s="8"/>
      <c r="AF1478" s="8"/>
      <c r="AG1478" s="8"/>
      <c r="AH1478" s="8"/>
      <c r="AI1478" s="8"/>
      <c r="AJ1478" s="8"/>
      <c r="AK1478" s="8"/>
      <c r="AL1478" s="4"/>
      <c r="AM1478" s="5" t="str">
        <f t="shared" si="93"/>
        <v/>
      </c>
      <c r="AN1478" s="5" t="str">
        <f t="shared" si="94"/>
        <v/>
      </c>
      <c r="AO1478" s="18" t="str">
        <f t="shared" si="95"/>
        <v/>
      </c>
      <c r="AP1478" s="19"/>
      <c r="AQ1478" s="20" t="str">
        <f t="shared" si="96"/>
        <v/>
      </c>
      <c r="AR1478" s="21"/>
    </row>
    <row r="1479" spans="2:44" ht="31.5" x14ac:dyDescent="0.5">
      <c r="B1479" s="1"/>
      <c r="C1479" s="15"/>
      <c r="D1479" s="16"/>
      <c r="E1479" s="15"/>
      <c r="F1479" s="17"/>
      <c r="G1479" s="8"/>
      <c r="H1479" s="8"/>
      <c r="I1479" s="8"/>
      <c r="J1479" s="8"/>
      <c r="K1479" s="8"/>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4"/>
      <c r="AM1479" s="5" t="str">
        <f t="shared" si="93"/>
        <v/>
      </c>
      <c r="AN1479" s="5" t="str">
        <f t="shared" si="94"/>
        <v/>
      </c>
      <c r="AO1479" s="18" t="str">
        <f t="shared" si="95"/>
        <v/>
      </c>
      <c r="AP1479" s="19"/>
      <c r="AQ1479" s="20" t="str">
        <f t="shared" si="96"/>
        <v/>
      </c>
      <c r="AR1479" s="21"/>
    </row>
    <row r="1480" spans="2:44" ht="31.5" x14ac:dyDescent="0.5">
      <c r="B1480" s="1"/>
      <c r="C1480" s="15"/>
      <c r="D1480" s="16"/>
      <c r="E1480" s="15"/>
      <c r="F1480" s="17"/>
      <c r="G1480" s="8"/>
      <c r="H1480" s="8"/>
      <c r="I1480" s="8"/>
      <c r="J1480" s="8"/>
      <c r="K1480" s="8"/>
      <c r="L1480" s="8"/>
      <c r="M1480" s="8"/>
      <c r="N1480" s="8"/>
      <c r="O1480" s="8"/>
      <c r="P1480" s="8"/>
      <c r="Q1480" s="8"/>
      <c r="R1480" s="8"/>
      <c r="S1480" s="8"/>
      <c r="T1480" s="8"/>
      <c r="U1480" s="8"/>
      <c r="V1480" s="8"/>
      <c r="W1480" s="8"/>
      <c r="X1480" s="8"/>
      <c r="Y1480" s="8"/>
      <c r="Z1480" s="8"/>
      <c r="AA1480" s="8"/>
      <c r="AB1480" s="8"/>
      <c r="AC1480" s="8"/>
      <c r="AD1480" s="8"/>
      <c r="AE1480" s="8"/>
      <c r="AF1480" s="8"/>
      <c r="AG1480" s="8"/>
      <c r="AH1480" s="8"/>
      <c r="AI1480" s="8"/>
      <c r="AJ1480" s="8"/>
      <c r="AK1480" s="8"/>
      <c r="AL1480" s="4"/>
      <c r="AM1480" s="5" t="str">
        <f t="shared" si="93"/>
        <v/>
      </c>
      <c r="AN1480" s="5" t="str">
        <f t="shared" si="94"/>
        <v/>
      </c>
      <c r="AO1480" s="18" t="str">
        <f t="shared" si="95"/>
        <v/>
      </c>
      <c r="AP1480" s="19"/>
      <c r="AQ1480" s="20" t="str">
        <f t="shared" si="96"/>
        <v/>
      </c>
      <c r="AR1480" s="21"/>
    </row>
    <row r="1481" spans="2:44" ht="31.5" x14ac:dyDescent="0.5">
      <c r="B1481" s="1"/>
      <c r="C1481" s="15"/>
      <c r="D1481" s="16"/>
      <c r="E1481" s="15"/>
      <c r="F1481" s="17"/>
      <c r="G1481" s="8"/>
      <c r="H1481" s="8"/>
      <c r="I1481" s="8"/>
      <c r="J1481" s="8"/>
      <c r="K1481" s="8"/>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4"/>
      <c r="AM1481" s="5" t="str">
        <f t="shared" si="93"/>
        <v/>
      </c>
      <c r="AN1481" s="5" t="str">
        <f t="shared" si="94"/>
        <v/>
      </c>
      <c r="AO1481" s="18" t="str">
        <f t="shared" si="95"/>
        <v/>
      </c>
      <c r="AP1481" s="19"/>
      <c r="AQ1481" s="20" t="str">
        <f t="shared" si="96"/>
        <v/>
      </c>
      <c r="AR1481" s="21"/>
    </row>
    <row r="1482" spans="2:44" ht="31.5" x14ac:dyDescent="0.5">
      <c r="B1482" s="1"/>
      <c r="C1482" s="15"/>
      <c r="D1482" s="16"/>
      <c r="E1482" s="15"/>
      <c r="F1482" s="17"/>
      <c r="G1482" s="8"/>
      <c r="H1482" s="8"/>
      <c r="I1482" s="8"/>
      <c r="J1482" s="8"/>
      <c r="K1482" s="8"/>
      <c r="L1482" s="8"/>
      <c r="M1482" s="8"/>
      <c r="N1482" s="8"/>
      <c r="O1482" s="8"/>
      <c r="P1482" s="8"/>
      <c r="Q1482" s="8"/>
      <c r="R1482" s="8"/>
      <c r="S1482" s="8"/>
      <c r="T1482" s="8"/>
      <c r="U1482" s="8"/>
      <c r="V1482" s="8"/>
      <c r="W1482" s="8"/>
      <c r="X1482" s="8"/>
      <c r="Y1482" s="8"/>
      <c r="Z1482" s="8"/>
      <c r="AA1482" s="8"/>
      <c r="AB1482" s="8"/>
      <c r="AC1482" s="8"/>
      <c r="AD1482" s="8"/>
      <c r="AE1482" s="8"/>
      <c r="AF1482" s="8"/>
      <c r="AG1482" s="8"/>
      <c r="AH1482" s="8"/>
      <c r="AI1482" s="8"/>
      <c r="AJ1482" s="8"/>
      <c r="AK1482" s="8"/>
      <c r="AL1482" s="4"/>
      <c r="AM1482" s="5" t="str">
        <f t="shared" si="93"/>
        <v/>
      </c>
      <c r="AN1482" s="5" t="str">
        <f t="shared" si="94"/>
        <v/>
      </c>
      <c r="AO1482" s="18" t="str">
        <f t="shared" si="95"/>
        <v/>
      </c>
      <c r="AP1482" s="19"/>
      <c r="AQ1482" s="20" t="str">
        <f t="shared" si="96"/>
        <v/>
      </c>
      <c r="AR1482" s="21"/>
    </row>
    <row r="1483" spans="2:44" ht="31.5" x14ac:dyDescent="0.5">
      <c r="B1483" s="1"/>
      <c r="C1483" s="15"/>
      <c r="D1483" s="16"/>
      <c r="E1483" s="15"/>
      <c r="F1483" s="17"/>
      <c r="G1483" s="8"/>
      <c r="H1483" s="8"/>
      <c r="I1483" s="8"/>
      <c r="J1483" s="8"/>
      <c r="K1483" s="8"/>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4"/>
      <c r="AM1483" s="5" t="str">
        <f t="shared" si="93"/>
        <v/>
      </c>
      <c r="AN1483" s="5" t="str">
        <f t="shared" si="94"/>
        <v/>
      </c>
      <c r="AO1483" s="18" t="str">
        <f t="shared" si="95"/>
        <v/>
      </c>
      <c r="AP1483" s="19"/>
      <c r="AQ1483" s="20" t="str">
        <f t="shared" si="96"/>
        <v/>
      </c>
      <c r="AR1483" s="21"/>
    </row>
    <row r="1484" spans="2:44" ht="31.5" x14ac:dyDescent="0.5">
      <c r="B1484" s="1"/>
      <c r="C1484" s="15"/>
      <c r="D1484" s="16"/>
      <c r="E1484" s="15"/>
      <c r="F1484" s="17"/>
      <c r="G1484" s="8"/>
      <c r="H1484" s="8"/>
      <c r="I1484" s="8"/>
      <c r="J1484" s="8"/>
      <c r="K1484" s="8"/>
      <c r="L1484" s="8"/>
      <c r="M1484" s="8"/>
      <c r="N1484" s="8"/>
      <c r="O1484" s="8"/>
      <c r="P1484" s="8"/>
      <c r="Q1484" s="8"/>
      <c r="R1484" s="8"/>
      <c r="S1484" s="8"/>
      <c r="T1484" s="8"/>
      <c r="U1484" s="8"/>
      <c r="V1484" s="8"/>
      <c r="W1484" s="8"/>
      <c r="X1484" s="8"/>
      <c r="Y1484" s="8"/>
      <c r="Z1484" s="8"/>
      <c r="AA1484" s="8"/>
      <c r="AB1484" s="8"/>
      <c r="AC1484" s="8"/>
      <c r="AD1484" s="8"/>
      <c r="AE1484" s="8"/>
      <c r="AF1484" s="8"/>
      <c r="AG1484" s="8"/>
      <c r="AH1484" s="8"/>
      <c r="AI1484" s="8"/>
      <c r="AJ1484" s="8"/>
      <c r="AK1484" s="8"/>
      <c r="AL1484" s="4"/>
      <c r="AM1484" s="5" t="str">
        <f t="shared" si="93"/>
        <v/>
      </c>
      <c r="AN1484" s="5" t="str">
        <f t="shared" si="94"/>
        <v/>
      </c>
      <c r="AO1484" s="18" t="str">
        <f t="shared" si="95"/>
        <v/>
      </c>
      <c r="AP1484" s="19"/>
      <c r="AQ1484" s="20" t="str">
        <f t="shared" si="96"/>
        <v/>
      </c>
      <c r="AR1484" s="21"/>
    </row>
    <row r="1485" spans="2:44" ht="31.5" x14ac:dyDescent="0.5">
      <c r="B1485" s="1"/>
      <c r="C1485" s="15"/>
      <c r="D1485" s="16"/>
      <c r="E1485" s="15"/>
      <c r="F1485" s="17"/>
      <c r="G1485" s="8"/>
      <c r="H1485" s="8"/>
      <c r="I1485" s="8"/>
      <c r="J1485" s="8"/>
      <c r="K1485" s="8"/>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4"/>
      <c r="AM1485" s="5" t="str">
        <f t="shared" si="93"/>
        <v/>
      </c>
      <c r="AN1485" s="5" t="str">
        <f t="shared" si="94"/>
        <v/>
      </c>
      <c r="AO1485" s="18" t="str">
        <f t="shared" si="95"/>
        <v/>
      </c>
      <c r="AP1485" s="19"/>
      <c r="AQ1485" s="20" t="str">
        <f t="shared" si="96"/>
        <v/>
      </c>
      <c r="AR1485" s="21"/>
    </row>
    <row r="1486" spans="2:44" ht="31.5" x14ac:dyDescent="0.5">
      <c r="B1486" s="1"/>
      <c r="C1486" s="15"/>
      <c r="D1486" s="16"/>
      <c r="E1486" s="15"/>
      <c r="F1486" s="17"/>
      <c r="G1486" s="8"/>
      <c r="H1486" s="8"/>
      <c r="I1486" s="8"/>
      <c r="J1486" s="8"/>
      <c r="K1486" s="8"/>
      <c r="L1486" s="8"/>
      <c r="M1486" s="8"/>
      <c r="N1486" s="8"/>
      <c r="O1486" s="8"/>
      <c r="P1486" s="8"/>
      <c r="Q1486" s="8"/>
      <c r="R1486" s="8"/>
      <c r="S1486" s="8"/>
      <c r="T1486" s="8"/>
      <c r="U1486" s="8"/>
      <c r="V1486" s="8"/>
      <c r="W1486" s="8"/>
      <c r="X1486" s="8"/>
      <c r="Y1486" s="8"/>
      <c r="Z1486" s="8"/>
      <c r="AA1486" s="8"/>
      <c r="AB1486" s="8"/>
      <c r="AC1486" s="8"/>
      <c r="AD1486" s="8"/>
      <c r="AE1486" s="8"/>
      <c r="AF1486" s="8"/>
      <c r="AG1486" s="8"/>
      <c r="AH1486" s="8"/>
      <c r="AI1486" s="8"/>
      <c r="AJ1486" s="8"/>
      <c r="AK1486" s="8"/>
      <c r="AL1486" s="4"/>
      <c r="AM1486" s="5" t="str">
        <f t="shared" si="93"/>
        <v/>
      </c>
      <c r="AN1486" s="5" t="str">
        <f t="shared" si="94"/>
        <v/>
      </c>
      <c r="AO1486" s="18" t="str">
        <f t="shared" si="95"/>
        <v/>
      </c>
      <c r="AP1486" s="19"/>
      <c r="AQ1486" s="20" t="str">
        <f t="shared" si="96"/>
        <v/>
      </c>
      <c r="AR1486" s="21"/>
    </row>
    <row r="1487" spans="2:44" ht="31.5" x14ac:dyDescent="0.5">
      <c r="B1487" s="1"/>
      <c r="C1487" s="15"/>
      <c r="D1487" s="16"/>
      <c r="E1487" s="15"/>
      <c r="F1487" s="17"/>
      <c r="G1487" s="8"/>
      <c r="H1487" s="8"/>
      <c r="I1487" s="8"/>
      <c r="J1487" s="8"/>
      <c r="K1487" s="8"/>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4"/>
      <c r="AM1487" s="5" t="str">
        <f t="shared" si="93"/>
        <v/>
      </c>
      <c r="AN1487" s="5" t="str">
        <f t="shared" si="94"/>
        <v/>
      </c>
      <c r="AO1487" s="18" t="str">
        <f t="shared" si="95"/>
        <v/>
      </c>
      <c r="AP1487" s="19"/>
      <c r="AQ1487" s="20" t="str">
        <f t="shared" si="96"/>
        <v/>
      </c>
      <c r="AR1487" s="21"/>
    </row>
    <row r="1488" spans="2:44" ht="31.5" x14ac:dyDescent="0.5">
      <c r="B1488" s="1"/>
      <c r="C1488" s="15"/>
      <c r="D1488" s="16"/>
      <c r="E1488" s="15"/>
      <c r="F1488" s="17"/>
      <c r="G1488" s="8"/>
      <c r="H1488" s="8"/>
      <c r="I1488" s="8"/>
      <c r="J1488" s="8"/>
      <c r="K1488" s="8"/>
      <c r="L1488" s="8"/>
      <c r="M1488" s="8"/>
      <c r="N1488" s="8"/>
      <c r="O1488" s="8"/>
      <c r="P1488" s="8"/>
      <c r="Q1488" s="8"/>
      <c r="R1488" s="8"/>
      <c r="S1488" s="8"/>
      <c r="T1488" s="8"/>
      <c r="U1488" s="8"/>
      <c r="V1488" s="8"/>
      <c r="W1488" s="8"/>
      <c r="X1488" s="8"/>
      <c r="Y1488" s="8"/>
      <c r="Z1488" s="8"/>
      <c r="AA1488" s="8"/>
      <c r="AB1488" s="8"/>
      <c r="AC1488" s="8"/>
      <c r="AD1488" s="8"/>
      <c r="AE1488" s="8"/>
      <c r="AF1488" s="8"/>
      <c r="AG1488" s="8"/>
      <c r="AH1488" s="8"/>
      <c r="AI1488" s="8"/>
      <c r="AJ1488" s="8"/>
      <c r="AK1488" s="8"/>
      <c r="AL1488" s="4"/>
      <c r="AM1488" s="5" t="str">
        <f t="shared" si="93"/>
        <v/>
      </c>
      <c r="AN1488" s="5" t="str">
        <f t="shared" si="94"/>
        <v/>
      </c>
      <c r="AO1488" s="18" t="str">
        <f t="shared" si="95"/>
        <v/>
      </c>
      <c r="AP1488" s="19"/>
      <c r="AQ1488" s="20" t="str">
        <f t="shared" si="96"/>
        <v/>
      </c>
      <c r="AR1488" s="21"/>
    </row>
    <row r="1489" spans="2:44" ht="31.5" x14ac:dyDescent="0.5">
      <c r="B1489" s="1"/>
      <c r="C1489" s="15"/>
      <c r="D1489" s="16"/>
      <c r="E1489" s="15"/>
      <c r="F1489" s="17"/>
      <c r="G1489" s="8"/>
      <c r="H1489" s="8"/>
      <c r="I1489" s="8"/>
      <c r="J1489" s="8"/>
      <c r="K1489" s="8"/>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4"/>
      <c r="AM1489" s="5" t="str">
        <f t="shared" si="93"/>
        <v/>
      </c>
      <c r="AN1489" s="5" t="str">
        <f t="shared" si="94"/>
        <v/>
      </c>
      <c r="AO1489" s="18" t="str">
        <f t="shared" si="95"/>
        <v/>
      </c>
      <c r="AP1489" s="19"/>
      <c r="AQ1489" s="20" t="str">
        <f t="shared" si="96"/>
        <v/>
      </c>
      <c r="AR1489" s="21"/>
    </row>
    <row r="1490" spans="2:44" ht="31.5" x14ac:dyDescent="0.5">
      <c r="B1490" s="1"/>
      <c r="C1490" s="15"/>
      <c r="D1490" s="16"/>
      <c r="E1490" s="15"/>
      <c r="F1490" s="17"/>
      <c r="G1490" s="8"/>
      <c r="H1490" s="8"/>
      <c r="I1490" s="8"/>
      <c r="J1490" s="8"/>
      <c r="K1490" s="8"/>
      <c r="L1490" s="8"/>
      <c r="M1490" s="8"/>
      <c r="N1490" s="8"/>
      <c r="O1490" s="8"/>
      <c r="P1490" s="8"/>
      <c r="Q1490" s="8"/>
      <c r="R1490" s="8"/>
      <c r="S1490" s="8"/>
      <c r="T1490" s="8"/>
      <c r="U1490" s="8"/>
      <c r="V1490" s="8"/>
      <c r="W1490" s="8"/>
      <c r="X1490" s="8"/>
      <c r="Y1490" s="8"/>
      <c r="Z1490" s="8"/>
      <c r="AA1490" s="8"/>
      <c r="AB1490" s="8"/>
      <c r="AC1490" s="8"/>
      <c r="AD1490" s="8"/>
      <c r="AE1490" s="8"/>
      <c r="AF1490" s="8"/>
      <c r="AG1490" s="8"/>
      <c r="AH1490" s="8"/>
      <c r="AI1490" s="8"/>
      <c r="AJ1490" s="8"/>
      <c r="AK1490" s="8"/>
      <c r="AL1490" s="4"/>
      <c r="AM1490" s="5" t="str">
        <f t="shared" si="93"/>
        <v/>
      </c>
      <c r="AN1490" s="5" t="str">
        <f t="shared" si="94"/>
        <v/>
      </c>
      <c r="AO1490" s="18" t="str">
        <f t="shared" si="95"/>
        <v/>
      </c>
      <c r="AP1490" s="19"/>
      <c r="AQ1490" s="20" t="str">
        <f t="shared" si="96"/>
        <v/>
      </c>
      <c r="AR1490" s="21"/>
    </row>
    <row r="1491" spans="2:44" ht="31.5" x14ac:dyDescent="0.5">
      <c r="B1491" s="1"/>
      <c r="C1491" s="15"/>
      <c r="D1491" s="16"/>
      <c r="E1491" s="15"/>
      <c r="F1491" s="17"/>
      <c r="G1491" s="8"/>
      <c r="H1491" s="8"/>
      <c r="I1491" s="8"/>
      <c r="J1491" s="8"/>
      <c r="K1491" s="8"/>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4"/>
      <c r="AM1491" s="5" t="str">
        <f t="shared" si="93"/>
        <v/>
      </c>
      <c r="AN1491" s="5" t="str">
        <f t="shared" si="94"/>
        <v/>
      </c>
      <c r="AO1491" s="18" t="str">
        <f t="shared" si="95"/>
        <v/>
      </c>
      <c r="AP1491" s="19"/>
      <c r="AQ1491" s="20" t="str">
        <f t="shared" si="96"/>
        <v/>
      </c>
      <c r="AR1491" s="21"/>
    </row>
    <row r="1492" spans="2:44" ht="31.5" x14ac:dyDescent="0.5">
      <c r="B1492" s="1"/>
      <c r="C1492" s="15"/>
      <c r="D1492" s="16"/>
      <c r="E1492" s="15"/>
      <c r="F1492" s="17"/>
      <c r="G1492" s="8"/>
      <c r="H1492" s="8"/>
      <c r="I1492" s="8"/>
      <c r="J1492" s="8"/>
      <c r="K1492" s="8"/>
      <c r="L1492" s="8"/>
      <c r="M1492" s="8"/>
      <c r="N1492" s="8"/>
      <c r="O1492" s="8"/>
      <c r="P1492" s="8"/>
      <c r="Q1492" s="8"/>
      <c r="R1492" s="8"/>
      <c r="S1492" s="8"/>
      <c r="T1492" s="8"/>
      <c r="U1492" s="8"/>
      <c r="V1492" s="8"/>
      <c r="W1492" s="8"/>
      <c r="X1492" s="8"/>
      <c r="Y1492" s="8"/>
      <c r="Z1492" s="8"/>
      <c r="AA1492" s="8"/>
      <c r="AB1492" s="8"/>
      <c r="AC1492" s="8"/>
      <c r="AD1492" s="8"/>
      <c r="AE1492" s="8"/>
      <c r="AF1492" s="8"/>
      <c r="AG1492" s="8"/>
      <c r="AH1492" s="8"/>
      <c r="AI1492" s="8"/>
      <c r="AJ1492" s="8"/>
      <c r="AK1492" s="8"/>
      <c r="AL1492" s="4"/>
      <c r="AM1492" s="5" t="str">
        <f t="shared" si="93"/>
        <v/>
      </c>
      <c r="AN1492" s="5" t="str">
        <f t="shared" si="94"/>
        <v/>
      </c>
      <c r="AO1492" s="18" t="str">
        <f t="shared" si="95"/>
        <v/>
      </c>
      <c r="AP1492" s="19"/>
      <c r="AQ1492" s="20" t="str">
        <f t="shared" si="96"/>
        <v/>
      </c>
      <c r="AR1492" s="21"/>
    </row>
    <row r="1493" spans="2:44" ht="31.5" x14ac:dyDescent="0.5">
      <c r="B1493" s="1"/>
      <c r="C1493" s="15"/>
      <c r="D1493" s="16"/>
      <c r="E1493" s="15"/>
      <c r="F1493" s="17"/>
      <c r="G1493" s="8"/>
      <c r="H1493" s="8"/>
      <c r="I1493" s="8"/>
      <c r="J1493" s="8"/>
      <c r="K1493" s="8"/>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4"/>
      <c r="AM1493" s="5" t="str">
        <f t="shared" si="93"/>
        <v/>
      </c>
      <c r="AN1493" s="5" t="str">
        <f t="shared" si="94"/>
        <v/>
      </c>
      <c r="AO1493" s="18" t="str">
        <f t="shared" si="95"/>
        <v/>
      </c>
      <c r="AP1493" s="19"/>
      <c r="AQ1493" s="20" t="str">
        <f t="shared" si="96"/>
        <v/>
      </c>
      <c r="AR1493" s="21"/>
    </row>
    <row r="1494" spans="2:44" ht="31.5" x14ac:dyDescent="0.5">
      <c r="B1494" s="1"/>
      <c r="C1494" s="15"/>
      <c r="D1494" s="16"/>
      <c r="E1494" s="15"/>
      <c r="F1494" s="17"/>
      <c r="G1494" s="8"/>
      <c r="H1494" s="8"/>
      <c r="I1494" s="8"/>
      <c r="J1494" s="8"/>
      <c r="K1494" s="8"/>
      <c r="L1494" s="8"/>
      <c r="M1494" s="8"/>
      <c r="N1494" s="8"/>
      <c r="O1494" s="8"/>
      <c r="P1494" s="8"/>
      <c r="Q1494" s="8"/>
      <c r="R1494" s="8"/>
      <c r="S1494" s="8"/>
      <c r="T1494" s="8"/>
      <c r="U1494" s="8"/>
      <c r="V1494" s="8"/>
      <c r="W1494" s="8"/>
      <c r="X1494" s="8"/>
      <c r="Y1494" s="8"/>
      <c r="Z1494" s="8"/>
      <c r="AA1494" s="8"/>
      <c r="AB1494" s="8"/>
      <c r="AC1494" s="8"/>
      <c r="AD1494" s="8"/>
      <c r="AE1494" s="8"/>
      <c r="AF1494" s="8"/>
      <c r="AG1494" s="8"/>
      <c r="AH1494" s="8"/>
      <c r="AI1494" s="8"/>
      <c r="AJ1494" s="8"/>
      <c r="AK1494" s="8"/>
      <c r="AL1494" s="4"/>
      <c r="AM1494" s="5" t="str">
        <f t="shared" si="93"/>
        <v/>
      </c>
      <c r="AN1494" s="5" t="str">
        <f t="shared" si="94"/>
        <v/>
      </c>
      <c r="AO1494" s="18" t="str">
        <f t="shared" si="95"/>
        <v/>
      </c>
      <c r="AP1494" s="19"/>
      <c r="AQ1494" s="20" t="str">
        <f t="shared" si="96"/>
        <v/>
      </c>
      <c r="AR1494" s="21"/>
    </row>
    <row r="1495" spans="2:44" ht="31.5" x14ac:dyDescent="0.5">
      <c r="B1495" s="1"/>
      <c r="C1495" s="15"/>
      <c r="D1495" s="16"/>
      <c r="E1495" s="15"/>
      <c r="F1495" s="17"/>
      <c r="G1495" s="8"/>
      <c r="H1495" s="8"/>
      <c r="I1495" s="8"/>
      <c r="J1495" s="8"/>
      <c r="K1495" s="8"/>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4"/>
      <c r="AM1495" s="5" t="str">
        <f t="shared" si="93"/>
        <v/>
      </c>
      <c r="AN1495" s="5" t="str">
        <f t="shared" si="94"/>
        <v/>
      </c>
      <c r="AO1495" s="18" t="str">
        <f t="shared" si="95"/>
        <v/>
      </c>
      <c r="AP1495" s="19"/>
      <c r="AQ1495" s="20" t="str">
        <f t="shared" si="96"/>
        <v/>
      </c>
      <c r="AR1495" s="21"/>
    </row>
    <row r="1496" spans="2:44" ht="31.5" x14ac:dyDescent="0.5">
      <c r="B1496" s="1"/>
      <c r="C1496" s="15"/>
      <c r="D1496" s="16"/>
      <c r="E1496" s="15"/>
      <c r="F1496" s="17"/>
      <c r="G1496" s="8"/>
      <c r="H1496" s="8"/>
      <c r="I1496" s="8"/>
      <c r="J1496" s="8"/>
      <c r="K1496" s="8"/>
      <c r="L1496" s="8"/>
      <c r="M1496" s="8"/>
      <c r="N1496" s="8"/>
      <c r="O1496" s="8"/>
      <c r="P1496" s="8"/>
      <c r="Q1496" s="8"/>
      <c r="R1496" s="8"/>
      <c r="S1496" s="8"/>
      <c r="T1496" s="8"/>
      <c r="U1496" s="8"/>
      <c r="V1496" s="8"/>
      <c r="W1496" s="8"/>
      <c r="X1496" s="8"/>
      <c r="Y1496" s="8"/>
      <c r="Z1496" s="8"/>
      <c r="AA1496" s="8"/>
      <c r="AB1496" s="8"/>
      <c r="AC1496" s="8"/>
      <c r="AD1496" s="8"/>
      <c r="AE1496" s="8"/>
      <c r="AF1496" s="8"/>
      <c r="AG1496" s="8"/>
      <c r="AH1496" s="8"/>
      <c r="AI1496" s="8"/>
      <c r="AJ1496" s="8"/>
      <c r="AK1496" s="8"/>
      <c r="AL1496" s="4"/>
      <c r="AM1496" s="5" t="str">
        <f t="shared" si="93"/>
        <v/>
      </c>
      <c r="AN1496" s="5" t="str">
        <f t="shared" si="94"/>
        <v/>
      </c>
      <c r="AO1496" s="18" t="str">
        <f t="shared" si="95"/>
        <v/>
      </c>
      <c r="AP1496" s="19"/>
      <c r="AQ1496" s="20" t="str">
        <f t="shared" si="96"/>
        <v/>
      </c>
      <c r="AR1496" s="21"/>
    </row>
    <row r="1497" spans="2:44" ht="31.5" x14ac:dyDescent="0.5">
      <c r="B1497" s="1"/>
      <c r="C1497" s="15"/>
      <c r="D1497" s="16"/>
      <c r="E1497" s="15"/>
      <c r="F1497" s="17"/>
      <c r="G1497" s="8"/>
      <c r="H1497" s="8"/>
      <c r="I1497" s="8"/>
      <c r="J1497" s="8"/>
      <c r="K1497" s="8"/>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4"/>
      <c r="AM1497" s="5" t="str">
        <f t="shared" si="93"/>
        <v/>
      </c>
      <c r="AN1497" s="5" t="str">
        <f t="shared" si="94"/>
        <v/>
      </c>
      <c r="AO1497" s="18" t="str">
        <f t="shared" si="95"/>
        <v/>
      </c>
      <c r="AP1497" s="19"/>
      <c r="AQ1497" s="20" t="str">
        <f t="shared" si="96"/>
        <v/>
      </c>
      <c r="AR1497" s="21"/>
    </row>
    <row r="1498" spans="2:44" ht="31.5" x14ac:dyDescent="0.5">
      <c r="B1498" s="1"/>
      <c r="C1498" s="15"/>
      <c r="D1498" s="16"/>
      <c r="E1498" s="15"/>
      <c r="F1498" s="17"/>
      <c r="G1498" s="8"/>
      <c r="H1498" s="8"/>
      <c r="I1498" s="8"/>
      <c r="J1498" s="8"/>
      <c r="K1498" s="8"/>
      <c r="L1498" s="8"/>
      <c r="M1498" s="8"/>
      <c r="N1498" s="8"/>
      <c r="O1498" s="8"/>
      <c r="P1498" s="8"/>
      <c r="Q1498" s="8"/>
      <c r="R1498" s="8"/>
      <c r="S1498" s="8"/>
      <c r="T1498" s="8"/>
      <c r="U1498" s="8"/>
      <c r="V1498" s="8"/>
      <c r="W1498" s="8"/>
      <c r="X1498" s="8"/>
      <c r="Y1498" s="8"/>
      <c r="Z1498" s="8"/>
      <c r="AA1498" s="8"/>
      <c r="AB1498" s="8"/>
      <c r="AC1498" s="8"/>
      <c r="AD1498" s="8"/>
      <c r="AE1498" s="8"/>
      <c r="AF1498" s="8"/>
      <c r="AG1498" s="8"/>
      <c r="AH1498" s="8"/>
      <c r="AI1498" s="8"/>
      <c r="AJ1498" s="8"/>
      <c r="AK1498" s="8"/>
      <c r="AL1498" s="4"/>
      <c r="AM1498" s="5" t="str">
        <f t="shared" si="93"/>
        <v/>
      </c>
      <c r="AN1498" s="5" t="str">
        <f t="shared" si="94"/>
        <v/>
      </c>
      <c r="AO1498" s="18" t="str">
        <f t="shared" si="95"/>
        <v/>
      </c>
      <c r="AP1498" s="19"/>
      <c r="AQ1498" s="20" t="str">
        <f t="shared" si="96"/>
        <v/>
      </c>
      <c r="AR1498" s="21"/>
    </row>
    <row r="1499" spans="2:44" ht="31.5" x14ac:dyDescent="0.5">
      <c r="B1499" s="1"/>
      <c r="C1499" s="15"/>
      <c r="D1499" s="16"/>
      <c r="E1499" s="15"/>
      <c r="F1499" s="17"/>
      <c r="G1499" s="8"/>
      <c r="H1499" s="8"/>
      <c r="I1499" s="8"/>
      <c r="J1499" s="8"/>
      <c r="K1499" s="8"/>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4"/>
      <c r="AM1499" s="5" t="str">
        <f t="shared" si="93"/>
        <v/>
      </c>
      <c r="AN1499" s="5" t="str">
        <f t="shared" si="94"/>
        <v/>
      </c>
      <c r="AO1499" s="18" t="str">
        <f t="shared" si="95"/>
        <v/>
      </c>
      <c r="AP1499" s="19"/>
      <c r="AQ1499" s="20" t="str">
        <f t="shared" si="96"/>
        <v/>
      </c>
      <c r="AR1499" s="21"/>
    </row>
    <row r="1500" spans="2:44" ht="31.5" x14ac:dyDescent="0.5">
      <c r="B1500" s="1"/>
      <c r="C1500" s="15"/>
      <c r="D1500" s="16"/>
      <c r="E1500" s="15"/>
      <c r="F1500" s="17"/>
      <c r="G1500" s="8"/>
      <c r="H1500" s="8"/>
      <c r="I1500" s="8"/>
      <c r="J1500" s="8"/>
      <c r="K1500" s="8"/>
      <c r="L1500" s="8"/>
      <c r="M1500" s="8"/>
      <c r="N1500" s="8"/>
      <c r="O1500" s="8"/>
      <c r="P1500" s="8"/>
      <c r="Q1500" s="8"/>
      <c r="R1500" s="8"/>
      <c r="S1500" s="8"/>
      <c r="T1500" s="8"/>
      <c r="U1500" s="8"/>
      <c r="V1500" s="8"/>
      <c r="W1500" s="8"/>
      <c r="X1500" s="8"/>
      <c r="Y1500" s="8"/>
      <c r="Z1500" s="8"/>
      <c r="AA1500" s="8"/>
      <c r="AB1500" s="8"/>
      <c r="AC1500" s="8"/>
      <c r="AD1500" s="8"/>
      <c r="AE1500" s="8"/>
      <c r="AF1500" s="8"/>
      <c r="AG1500" s="8"/>
      <c r="AH1500" s="8"/>
      <c r="AI1500" s="8"/>
      <c r="AJ1500" s="8"/>
      <c r="AK1500" s="8"/>
      <c r="AL1500" s="4"/>
      <c r="AM1500" s="5" t="str">
        <f t="shared" si="93"/>
        <v/>
      </c>
      <c r="AN1500" s="5" t="str">
        <f t="shared" si="94"/>
        <v/>
      </c>
      <c r="AO1500" s="18" t="str">
        <f t="shared" si="95"/>
        <v/>
      </c>
      <c r="AP1500" s="19"/>
      <c r="AQ1500" s="20" t="str">
        <f t="shared" si="96"/>
        <v/>
      </c>
      <c r="AR1500" s="21"/>
    </row>
    <row r="1501" spans="2:44" ht="31.5" x14ac:dyDescent="0.5">
      <c r="B1501" s="1"/>
      <c r="C1501" s="15"/>
      <c r="D1501" s="16"/>
      <c r="E1501" s="15"/>
      <c r="F1501" s="17"/>
      <c r="G1501" s="8"/>
      <c r="H1501" s="8"/>
      <c r="I1501" s="8"/>
      <c r="J1501" s="8"/>
      <c r="K1501" s="8"/>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4"/>
      <c r="AM1501" s="5" t="str">
        <f t="shared" si="93"/>
        <v/>
      </c>
      <c r="AN1501" s="5" t="str">
        <f t="shared" si="94"/>
        <v/>
      </c>
      <c r="AO1501" s="18" t="str">
        <f t="shared" si="95"/>
        <v/>
      </c>
      <c r="AP1501" s="19"/>
      <c r="AQ1501" s="20" t="str">
        <f t="shared" si="96"/>
        <v/>
      </c>
      <c r="AR1501" s="21"/>
    </row>
    <row r="1502" spans="2:44" ht="31.5" x14ac:dyDescent="0.5">
      <c r="B1502" s="1"/>
      <c r="C1502" s="15"/>
      <c r="D1502" s="16"/>
      <c r="E1502" s="15"/>
      <c r="F1502" s="17"/>
      <c r="G1502" s="8"/>
      <c r="H1502" s="8"/>
      <c r="I1502" s="8"/>
      <c r="J1502" s="8"/>
      <c r="K1502" s="8"/>
      <c r="L1502" s="8"/>
      <c r="M1502" s="8"/>
      <c r="N1502" s="8"/>
      <c r="O1502" s="8"/>
      <c r="P1502" s="8"/>
      <c r="Q1502" s="8"/>
      <c r="R1502" s="8"/>
      <c r="S1502" s="8"/>
      <c r="T1502" s="8"/>
      <c r="U1502" s="8"/>
      <c r="V1502" s="8"/>
      <c r="W1502" s="8"/>
      <c r="X1502" s="8"/>
      <c r="Y1502" s="8"/>
      <c r="Z1502" s="8"/>
      <c r="AA1502" s="8"/>
      <c r="AB1502" s="8"/>
      <c r="AC1502" s="8"/>
      <c r="AD1502" s="8"/>
      <c r="AE1502" s="8"/>
      <c r="AF1502" s="8"/>
      <c r="AG1502" s="8"/>
      <c r="AH1502" s="8"/>
      <c r="AI1502" s="8"/>
      <c r="AJ1502" s="8"/>
      <c r="AK1502" s="8"/>
      <c r="AL1502" s="4"/>
      <c r="AM1502" s="5" t="str">
        <f t="shared" si="93"/>
        <v/>
      </c>
      <c r="AN1502" s="5" t="str">
        <f t="shared" si="94"/>
        <v/>
      </c>
      <c r="AO1502" s="18" t="str">
        <f t="shared" si="95"/>
        <v/>
      </c>
      <c r="AP1502" s="19"/>
      <c r="AQ1502" s="20" t="str">
        <f t="shared" si="96"/>
        <v/>
      </c>
      <c r="AR1502" s="21"/>
    </row>
    <row r="1503" spans="2:44" ht="31.5" x14ac:dyDescent="0.5">
      <c r="B1503" s="1"/>
      <c r="C1503" s="15"/>
      <c r="D1503" s="16"/>
      <c r="E1503" s="15"/>
      <c r="F1503" s="17"/>
      <c r="G1503" s="8"/>
      <c r="H1503" s="8"/>
      <c r="I1503" s="8"/>
      <c r="J1503" s="8"/>
      <c r="K1503" s="8"/>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4"/>
      <c r="AM1503" s="5" t="str">
        <f t="shared" si="93"/>
        <v/>
      </c>
      <c r="AN1503" s="5" t="str">
        <f t="shared" si="94"/>
        <v/>
      </c>
      <c r="AO1503" s="18" t="str">
        <f t="shared" si="95"/>
        <v/>
      </c>
      <c r="AP1503" s="19"/>
      <c r="AQ1503" s="20" t="str">
        <f t="shared" si="96"/>
        <v/>
      </c>
      <c r="AR1503" s="21"/>
    </row>
    <row r="1504" spans="2:44" ht="31.5" x14ac:dyDescent="0.5">
      <c r="B1504" s="1"/>
      <c r="C1504" s="15"/>
      <c r="D1504" s="16"/>
      <c r="E1504" s="15"/>
      <c r="F1504" s="17"/>
      <c r="G1504" s="8"/>
      <c r="H1504" s="8"/>
      <c r="I1504" s="8"/>
      <c r="J1504" s="8"/>
      <c r="K1504" s="8"/>
      <c r="L1504" s="8"/>
      <c r="M1504" s="8"/>
      <c r="N1504" s="8"/>
      <c r="O1504" s="8"/>
      <c r="P1504" s="8"/>
      <c r="Q1504" s="8"/>
      <c r="R1504" s="8"/>
      <c r="S1504" s="8"/>
      <c r="T1504" s="8"/>
      <c r="U1504" s="8"/>
      <c r="V1504" s="8"/>
      <c r="W1504" s="8"/>
      <c r="X1504" s="8"/>
      <c r="Y1504" s="8"/>
      <c r="Z1504" s="8"/>
      <c r="AA1504" s="8"/>
      <c r="AB1504" s="8"/>
      <c r="AC1504" s="8"/>
      <c r="AD1504" s="8"/>
      <c r="AE1504" s="8"/>
      <c r="AF1504" s="8"/>
      <c r="AG1504" s="8"/>
      <c r="AH1504" s="8"/>
      <c r="AI1504" s="8"/>
      <c r="AJ1504" s="8"/>
      <c r="AK1504" s="8"/>
      <c r="AL1504" s="4"/>
      <c r="AM1504" s="5" t="str">
        <f t="shared" si="93"/>
        <v/>
      </c>
      <c r="AN1504" s="5" t="str">
        <f t="shared" si="94"/>
        <v/>
      </c>
      <c r="AO1504" s="18" t="str">
        <f t="shared" si="95"/>
        <v/>
      </c>
      <c r="AP1504" s="19"/>
      <c r="AQ1504" s="20" t="str">
        <f t="shared" si="96"/>
        <v/>
      </c>
      <c r="AR1504" s="21"/>
    </row>
    <row r="1505" spans="2:44" ht="31.5" x14ac:dyDescent="0.5">
      <c r="B1505" s="1"/>
      <c r="C1505" s="15"/>
      <c r="D1505" s="16"/>
      <c r="E1505" s="15"/>
      <c r="F1505" s="17"/>
      <c r="G1505" s="8"/>
      <c r="H1505" s="8"/>
      <c r="I1505" s="8"/>
      <c r="J1505" s="8"/>
      <c r="K1505" s="8"/>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4"/>
      <c r="AM1505" s="5" t="str">
        <f t="shared" si="93"/>
        <v/>
      </c>
      <c r="AN1505" s="5" t="str">
        <f t="shared" si="94"/>
        <v/>
      </c>
      <c r="AO1505" s="18" t="str">
        <f t="shared" si="95"/>
        <v/>
      </c>
      <c r="AP1505" s="19"/>
      <c r="AQ1505" s="20" t="str">
        <f t="shared" si="96"/>
        <v/>
      </c>
      <c r="AR1505" s="21"/>
    </row>
    <row r="1506" spans="2:44" ht="31.5" x14ac:dyDescent="0.5">
      <c r="B1506" s="1"/>
      <c r="C1506" s="15"/>
      <c r="D1506" s="16"/>
      <c r="E1506" s="15"/>
      <c r="F1506" s="17"/>
      <c r="G1506" s="8"/>
      <c r="H1506" s="8"/>
      <c r="I1506" s="8"/>
      <c r="J1506" s="8"/>
      <c r="K1506" s="8"/>
      <c r="L1506" s="8"/>
      <c r="M1506" s="8"/>
      <c r="N1506" s="8"/>
      <c r="O1506" s="8"/>
      <c r="P1506" s="8"/>
      <c r="Q1506" s="8"/>
      <c r="R1506" s="8"/>
      <c r="S1506" s="8"/>
      <c r="T1506" s="8"/>
      <c r="U1506" s="8"/>
      <c r="V1506" s="8"/>
      <c r="W1506" s="8"/>
      <c r="X1506" s="8"/>
      <c r="Y1506" s="8"/>
      <c r="Z1506" s="8"/>
      <c r="AA1506" s="8"/>
      <c r="AB1506" s="8"/>
      <c r="AC1506" s="8"/>
      <c r="AD1506" s="8"/>
      <c r="AE1506" s="8"/>
      <c r="AF1506" s="8"/>
      <c r="AG1506" s="8"/>
      <c r="AH1506" s="8"/>
      <c r="AI1506" s="8"/>
      <c r="AJ1506" s="8"/>
      <c r="AK1506" s="8"/>
      <c r="AL1506" s="4"/>
      <c r="AM1506" s="5" t="str">
        <f t="shared" si="93"/>
        <v/>
      </c>
      <c r="AN1506" s="5" t="str">
        <f t="shared" si="94"/>
        <v/>
      </c>
      <c r="AO1506" s="18" t="str">
        <f t="shared" si="95"/>
        <v/>
      </c>
      <c r="AP1506" s="19"/>
      <c r="AQ1506" s="20" t="str">
        <f t="shared" si="96"/>
        <v/>
      </c>
      <c r="AR1506" s="21"/>
    </row>
    <row r="1507" spans="2:44" ht="31.5" x14ac:dyDescent="0.5">
      <c r="B1507" s="1"/>
      <c r="C1507" s="15"/>
      <c r="D1507" s="16"/>
      <c r="E1507" s="15"/>
      <c r="F1507" s="17"/>
      <c r="G1507" s="8"/>
      <c r="H1507" s="8"/>
      <c r="I1507" s="8"/>
      <c r="J1507" s="8"/>
      <c r="K1507" s="8"/>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4"/>
      <c r="AM1507" s="5" t="str">
        <f t="shared" si="93"/>
        <v/>
      </c>
      <c r="AN1507" s="5" t="str">
        <f t="shared" si="94"/>
        <v/>
      </c>
      <c r="AO1507" s="18" t="str">
        <f t="shared" si="95"/>
        <v/>
      </c>
      <c r="AP1507" s="19"/>
      <c r="AQ1507" s="20" t="str">
        <f t="shared" si="96"/>
        <v/>
      </c>
      <c r="AR1507" s="21"/>
    </row>
    <row r="1508" spans="2:44" ht="31.5" x14ac:dyDescent="0.5">
      <c r="B1508" s="1"/>
      <c r="C1508" s="15"/>
      <c r="D1508" s="16"/>
      <c r="E1508" s="15"/>
      <c r="F1508" s="17"/>
      <c r="G1508" s="8"/>
      <c r="H1508" s="8"/>
      <c r="I1508" s="8"/>
      <c r="J1508" s="8"/>
      <c r="K1508" s="8"/>
      <c r="L1508" s="8"/>
      <c r="M1508" s="8"/>
      <c r="N1508" s="8"/>
      <c r="O1508" s="8"/>
      <c r="P1508" s="8"/>
      <c r="Q1508" s="8"/>
      <c r="R1508" s="8"/>
      <c r="S1508" s="8"/>
      <c r="T1508" s="8"/>
      <c r="U1508" s="8"/>
      <c r="V1508" s="8"/>
      <c r="W1508" s="8"/>
      <c r="X1508" s="8"/>
      <c r="Y1508" s="8"/>
      <c r="Z1508" s="8"/>
      <c r="AA1508" s="8"/>
      <c r="AB1508" s="8"/>
      <c r="AC1508" s="8"/>
      <c r="AD1508" s="8"/>
      <c r="AE1508" s="8"/>
      <c r="AF1508" s="8"/>
      <c r="AG1508" s="8"/>
      <c r="AH1508" s="8"/>
      <c r="AI1508" s="8"/>
      <c r="AJ1508" s="8"/>
      <c r="AK1508" s="8"/>
      <c r="AL1508" s="4"/>
      <c r="AM1508" s="5" t="str">
        <f t="shared" si="93"/>
        <v/>
      </c>
      <c r="AN1508" s="5" t="str">
        <f t="shared" si="94"/>
        <v/>
      </c>
      <c r="AO1508" s="18" t="str">
        <f t="shared" si="95"/>
        <v/>
      </c>
      <c r="AP1508" s="19"/>
      <c r="AQ1508" s="20" t="str">
        <f t="shared" si="96"/>
        <v/>
      </c>
      <c r="AR1508" s="21"/>
    </row>
    <row r="1509" spans="2:44" ht="31.5" x14ac:dyDescent="0.5">
      <c r="B1509" s="1"/>
      <c r="C1509" s="15"/>
      <c r="D1509" s="16"/>
      <c r="E1509" s="15"/>
      <c r="F1509" s="17"/>
      <c r="G1509" s="8"/>
      <c r="H1509" s="8"/>
      <c r="I1509" s="8"/>
      <c r="J1509" s="8"/>
      <c r="K1509" s="8"/>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4"/>
      <c r="AM1509" s="5" t="str">
        <f t="shared" si="93"/>
        <v/>
      </c>
      <c r="AN1509" s="5" t="str">
        <f t="shared" si="94"/>
        <v/>
      </c>
      <c r="AO1509" s="18" t="str">
        <f t="shared" si="95"/>
        <v/>
      </c>
      <c r="AP1509" s="19"/>
      <c r="AQ1509" s="20" t="str">
        <f t="shared" si="96"/>
        <v/>
      </c>
      <c r="AR1509" s="21"/>
    </row>
    <row r="1510" spans="2:44" ht="31.5" x14ac:dyDescent="0.5">
      <c r="B1510" s="1"/>
      <c r="C1510" s="15"/>
      <c r="D1510" s="16"/>
      <c r="E1510" s="15"/>
      <c r="F1510" s="17"/>
      <c r="G1510" s="8"/>
      <c r="H1510" s="8"/>
      <c r="I1510" s="8"/>
      <c r="J1510" s="8"/>
      <c r="K1510" s="8"/>
      <c r="L1510" s="8"/>
      <c r="M1510" s="8"/>
      <c r="N1510" s="8"/>
      <c r="O1510" s="8"/>
      <c r="P1510" s="8"/>
      <c r="Q1510" s="8"/>
      <c r="R1510" s="8"/>
      <c r="S1510" s="8"/>
      <c r="T1510" s="8"/>
      <c r="U1510" s="8"/>
      <c r="V1510" s="8"/>
      <c r="W1510" s="8"/>
      <c r="X1510" s="8"/>
      <c r="Y1510" s="8"/>
      <c r="Z1510" s="8"/>
      <c r="AA1510" s="8"/>
      <c r="AB1510" s="8"/>
      <c r="AC1510" s="8"/>
      <c r="AD1510" s="8"/>
      <c r="AE1510" s="8"/>
      <c r="AF1510" s="8"/>
      <c r="AG1510" s="8"/>
      <c r="AH1510" s="8"/>
      <c r="AI1510" s="8"/>
      <c r="AJ1510" s="8"/>
      <c r="AK1510" s="8"/>
      <c r="AL1510" s="4"/>
      <c r="AM1510" s="5" t="str">
        <f t="shared" si="93"/>
        <v/>
      </c>
      <c r="AN1510" s="5" t="str">
        <f t="shared" si="94"/>
        <v/>
      </c>
      <c r="AO1510" s="18" t="str">
        <f t="shared" si="95"/>
        <v/>
      </c>
      <c r="AP1510" s="19"/>
      <c r="AQ1510" s="20" t="str">
        <f t="shared" si="96"/>
        <v/>
      </c>
      <c r="AR1510" s="21"/>
    </row>
    <row r="1511" spans="2:44" ht="31.5" x14ac:dyDescent="0.5">
      <c r="B1511" s="1"/>
      <c r="C1511" s="15"/>
      <c r="D1511" s="16"/>
      <c r="E1511" s="15"/>
      <c r="F1511" s="17"/>
      <c r="G1511" s="8"/>
      <c r="H1511" s="8"/>
      <c r="I1511" s="8"/>
      <c r="J1511" s="8"/>
      <c r="K1511" s="8"/>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4"/>
      <c r="AM1511" s="5" t="str">
        <f t="shared" si="93"/>
        <v/>
      </c>
      <c r="AN1511" s="5" t="str">
        <f t="shared" si="94"/>
        <v/>
      </c>
      <c r="AO1511" s="18" t="str">
        <f t="shared" si="95"/>
        <v/>
      </c>
      <c r="AP1511" s="19"/>
      <c r="AQ1511" s="20" t="str">
        <f t="shared" si="96"/>
        <v/>
      </c>
      <c r="AR1511" s="21"/>
    </row>
    <row r="1512" spans="2:44" ht="31.5" x14ac:dyDescent="0.5">
      <c r="B1512" s="1"/>
      <c r="C1512" s="15"/>
      <c r="D1512" s="16"/>
      <c r="E1512" s="15"/>
      <c r="F1512" s="17"/>
      <c r="G1512" s="8"/>
      <c r="H1512" s="8"/>
      <c r="I1512" s="8"/>
      <c r="J1512" s="8"/>
      <c r="K1512" s="8"/>
      <c r="L1512" s="8"/>
      <c r="M1512" s="8"/>
      <c r="N1512" s="8"/>
      <c r="O1512" s="8"/>
      <c r="P1512" s="8"/>
      <c r="Q1512" s="8"/>
      <c r="R1512" s="8"/>
      <c r="S1512" s="8"/>
      <c r="T1512" s="8"/>
      <c r="U1512" s="8"/>
      <c r="V1512" s="8"/>
      <c r="W1512" s="8"/>
      <c r="X1512" s="8"/>
      <c r="Y1512" s="8"/>
      <c r="Z1512" s="8"/>
      <c r="AA1512" s="8"/>
      <c r="AB1512" s="8"/>
      <c r="AC1512" s="8"/>
      <c r="AD1512" s="8"/>
      <c r="AE1512" s="8"/>
      <c r="AF1512" s="8"/>
      <c r="AG1512" s="8"/>
      <c r="AH1512" s="8"/>
      <c r="AI1512" s="8"/>
      <c r="AJ1512" s="8"/>
      <c r="AK1512" s="8"/>
      <c r="AL1512" s="4"/>
      <c r="AM1512" s="5" t="str">
        <f t="shared" si="93"/>
        <v/>
      </c>
      <c r="AN1512" s="5" t="str">
        <f t="shared" si="94"/>
        <v/>
      </c>
      <c r="AO1512" s="18" t="str">
        <f t="shared" si="95"/>
        <v/>
      </c>
      <c r="AP1512" s="19"/>
      <c r="AQ1512" s="20" t="str">
        <f t="shared" si="96"/>
        <v/>
      </c>
      <c r="AR1512" s="21"/>
    </row>
    <row r="1513" spans="2:44" ht="31.5" x14ac:dyDescent="0.5">
      <c r="B1513" s="1"/>
      <c r="C1513" s="15"/>
      <c r="D1513" s="16"/>
      <c r="E1513" s="15"/>
      <c r="F1513" s="17"/>
      <c r="G1513" s="8"/>
      <c r="H1513" s="8"/>
      <c r="I1513" s="8"/>
      <c r="J1513" s="8"/>
      <c r="K1513" s="8"/>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4"/>
      <c r="AM1513" s="5" t="str">
        <f t="shared" si="93"/>
        <v/>
      </c>
      <c r="AN1513" s="5" t="str">
        <f t="shared" si="94"/>
        <v/>
      </c>
      <c r="AO1513" s="18" t="str">
        <f t="shared" si="95"/>
        <v/>
      </c>
      <c r="AP1513" s="19"/>
      <c r="AQ1513" s="20" t="str">
        <f t="shared" si="96"/>
        <v/>
      </c>
      <c r="AR1513" s="21"/>
    </row>
    <row r="1514" spans="2:44" ht="31.5" x14ac:dyDescent="0.5">
      <c r="B1514" s="1"/>
      <c r="C1514" s="15"/>
      <c r="D1514" s="16"/>
      <c r="E1514" s="15"/>
      <c r="F1514" s="17"/>
      <c r="G1514" s="8"/>
      <c r="H1514" s="8"/>
      <c r="I1514" s="8"/>
      <c r="J1514" s="8"/>
      <c r="K1514" s="8"/>
      <c r="L1514" s="8"/>
      <c r="M1514" s="8"/>
      <c r="N1514" s="8"/>
      <c r="O1514" s="8"/>
      <c r="P1514" s="8"/>
      <c r="Q1514" s="8"/>
      <c r="R1514" s="8"/>
      <c r="S1514" s="8"/>
      <c r="T1514" s="8"/>
      <c r="U1514" s="8"/>
      <c r="V1514" s="8"/>
      <c r="W1514" s="8"/>
      <c r="X1514" s="8"/>
      <c r="Y1514" s="8"/>
      <c r="Z1514" s="8"/>
      <c r="AA1514" s="8"/>
      <c r="AB1514" s="8"/>
      <c r="AC1514" s="8"/>
      <c r="AD1514" s="8"/>
      <c r="AE1514" s="8"/>
      <c r="AF1514" s="8"/>
      <c r="AG1514" s="8"/>
      <c r="AH1514" s="8"/>
      <c r="AI1514" s="8"/>
      <c r="AJ1514" s="8"/>
      <c r="AK1514" s="8"/>
      <c r="AL1514" s="4"/>
      <c r="AM1514" s="5" t="str">
        <f t="shared" si="93"/>
        <v/>
      </c>
      <c r="AN1514" s="5" t="str">
        <f t="shared" si="94"/>
        <v/>
      </c>
      <c r="AO1514" s="18" t="str">
        <f t="shared" si="95"/>
        <v/>
      </c>
      <c r="AP1514" s="19"/>
      <c r="AQ1514" s="20" t="str">
        <f t="shared" si="96"/>
        <v/>
      </c>
      <c r="AR1514" s="21"/>
    </row>
    <row r="1515" spans="2:44" ht="31.5" x14ac:dyDescent="0.5">
      <c r="B1515" s="1"/>
      <c r="C1515" s="15"/>
      <c r="D1515" s="16"/>
      <c r="E1515" s="15"/>
      <c r="F1515" s="17"/>
      <c r="G1515" s="8"/>
      <c r="H1515" s="8"/>
      <c r="I1515" s="8"/>
      <c r="J1515" s="8"/>
      <c r="K1515" s="8"/>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4"/>
      <c r="AM1515" s="5" t="str">
        <f t="shared" si="93"/>
        <v/>
      </c>
      <c r="AN1515" s="5" t="str">
        <f t="shared" si="94"/>
        <v/>
      </c>
      <c r="AO1515" s="18" t="str">
        <f t="shared" si="95"/>
        <v/>
      </c>
      <c r="AP1515" s="19"/>
      <c r="AQ1515" s="20" t="str">
        <f t="shared" si="96"/>
        <v/>
      </c>
      <c r="AR1515" s="21"/>
    </row>
    <row r="1516" spans="2:44" ht="31.5" x14ac:dyDescent="0.5">
      <c r="B1516" s="1"/>
      <c r="C1516" s="15"/>
      <c r="D1516" s="16"/>
      <c r="E1516" s="15"/>
      <c r="F1516" s="17"/>
      <c r="G1516" s="8"/>
      <c r="H1516" s="8"/>
      <c r="I1516" s="8"/>
      <c r="J1516" s="8"/>
      <c r="K1516" s="8"/>
      <c r="L1516" s="8"/>
      <c r="M1516" s="8"/>
      <c r="N1516" s="8"/>
      <c r="O1516" s="8"/>
      <c r="P1516" s="8"/>
      <c r="Q1516" s="8"/>
      <c r="R1516" s="8"/>
      <c r="S1516" s="8"/>
      <c r="T1516" s="8"/>
      <c r="U1516" s="8"/>
      <c r="V1516" s="8"/>
      <c r="W1516" s="8"/>
      <c r="X1516" s="8"/>
      <c r="Y1516" s="8"/>
      <c r="Z1516" s="8"/>
      <c r="AA1516" s="8"/>
      <c r="AB1516" s="8"/>
      <c r="AC1516" s="8"/>
      <c r="AD1516" s="8"/>
      <c r="AE1516" s="8"/>
      <c r="AF1516" s="8"/>
      <c r="AG1516" s="8"/>
      <c r="AH1516" s="8"/>
      <c r="AI1516" s="8"/>
      <c r="AJ1516" s="8"/>
      <c r="AK1516" s="8"/>
      <c r="AL1516" s="4"/>
      <c r="AM1516" s="5" t="str">
        <f t="shared" si="93"/>
        <v/>
      </c>
      <c r="AN1516" s="5" t="str">
        <f t="shared" si="94"/>
        <v/>
      </c>
      <c r="AO1516" s="18" t="str">
        <f t="shared" si="95"/>
        <v/>
      </c>
      <c r="AP1516" s="19"/>
      <c r="AQ1516" s="20" t="str">
        <f t="shared" si="96"/>
        <v/>
      </c>
      <c r="AR1516" s="21"/>
    </row>
    <row r="1517" spans="2:44" ht="31.5" x14ac:dyDescent="0.5">
      <c r="B1517" s="1"/>
      <c r="C1517" s="15"/>
      <c r="D1517" s="16"/>
      <c r="E1517" s="15"/>
      <c r="F1517" s="17"/>
      <c r="G1517" s="8"/>
      <c r="H1517" s="8"/>
      <c r="I1517" s="8"/>
      <c r="J1517" s="8"/>
      <c r="K1517" s="8"/>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4"/>
      <c r="AM1517" s="5" t="str">
        <f t="shared" si="93"/>
        <v/>
      </c>
      <c r="AN1517" s="5" t="str">
        <f t="shared" si="94"/>
        <v/>
      </c>
      <c r="AO1517" s="18" t="str">
        <f t="shared" si="95"/>
        <v/>
      </c>
      <c r="AP1517" s="19"/>
      <c r="AQ1517" s="20" t="str">
        <f t="shared" si="96"/>
        <v/>
      </c>
      <c r="AR1517" s="21"/>
    </row>
    <row r="1518" spans="2:44" ht="31.5" x14ac:dyDescent="0.5">
      <c r="B1518" s="1"/>
      <c r="C1518" s="15"/>
      <c r="D1518" s="16"/>
      <c r="E1518" s="15"/>
      <c r="F1518" s="17"/>
      <c r="G1518" s="8"/>
      <c r="H1518" s="8"/>
      <c r="I1518" s="8"/>
      <c r="J1518" s="8"/>
      <c r="K1518" s="8"/>
      <c r="L1518" s="8"/>
      <c r="M1518" s="8"/>
      <c r="N1518" s="8"/>
      <c r="O1518" s="8"/>
      <c r="P1518" s="8"/>
      <c r="Q1518" s="8"/>
      <c r="R1518" s="8"/>
      <c r="S1518" s="8"/>
      <c r="T1518" s="8"/>
      <c r="U1518" s="8"/>
      <c r="V1518" s="8"/>
      <c r="W1518" s="8"/>
      <c r="X1518" s="8"/>
      <c r="Y1518" s="8"/>
      <c r="Z1518" s="8"/>
      <c r="AA1518" s="8"/>
      <c r="AB1518" s="8"/>
      <c r="AC1518" s="8"/>
      <c r="AD1518" s="8"/>
      <c r="AE1518" s="8"/>
      <c r="AF1518" s="8"/>
      <c r="AG1518" s="8"/>
      <c r="AH1518" s="8"/>
      <c r="AI1518" s="8"/>
      <c r="AJ1518" s="8"/>
      <c r="AK1518" s="8"/>
      <c r="AL1518" s="4"/>
      <c r="AM1518" s="5" t="str">
        <f t="shared" si="93"/>
        <v/>
      </c>
      <c r="AN1518" s="5" t="str">
        <f t="shared" si="94"/>
        <v/>
      </c>
      <c r="AO1518" s="18" t="str">
        <f t="shared" si="95"/>
        <v/>
      </c>
      <c r="AP1518" s="19"/>
      <c r="AQ1518" s="20" t="str">
        <f t="shared" si="96"/>
        <v/>
      </c>
      <c r="AR1518" s="21"/>
    </row>
    <row r="1519" spans="2:44" ht="31.5" x14ac:dyDescent="0.5">
      <c r="B1519" s="1"/>
      <c r="C1519" s="15"/>
      <c r="D1519" s="16"/>
      <c r="E1519" s="15"/>
      <c r="F1519" s="17"/>
      <c r="G1519" s="8"/>
      <c r="H1519" s="8"/>
      <c r="I1519" s="8"/>
      <c r="J1519" s="8"/>
      <c r="K1519" s="8"/>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4"/>
      <c r="AM1519" s="5" t="str">
        <f t="shared" si="93"/>
        <v/>
      </c>
      <c r="AN1519" s="5" t="str">
        <f t="shared" si="94"/>
        <v/>
      </c>
      <c r="AO1519" s="18" t="str">
        <f t="shared" si="95"/>
        <v/>
      </c>
      <c r="AP1519" s="19"/>
      <c r="AQ1519" s="20" t="str">
        <f t="shared" si="96"/>
        <v/>
      </c>
      <c r="AR1519" s="21"/>
    </row>
    <row r="1520" spans="2:44" ht="31.5" x14ac:dyDescent="0.5">
      <c r="B1520" s="1"/>
      <c r="C1520" s="15"/>
      <c r="D1520" s="16"/>
      <c r="E1520" s="15"/>
      <c r="F1520" s="17"/>
      <c r="G1520" s="8"/>
      <c r="H1520" s="8"/>
      <c r="I1520" s="8"/>
      <c r="J1520" s="8"/>
      <c r="K1520" s="8"/>
      <c r="L1520" s="8"/>
      <c r="M1520" s="8"/>
      <c r="N1520" s="8"/>
      <c r="O1520" s="8"/>
      <c r="P1520" s="8"/>
      <c r="Q1520" s="8"/>
      <c r="R1520" s="8"/>
      <c r="S1520" s="8"/>
      <c r="T1520" s="8"/>
      <c r="U1520" s="8"/>
      <c r="V1520" s="8"/>
      <c r="W1520" s="8"/>
      <c r="X1520" s="8"/>
      <c r="Y1520" s="8"/>
      <c r="Z1520" s="8"/>
      <c r="AA1520" s="8"/>
      <c r="AB1520" s="8"/>
      <c r="AC1520" s="8"/>
      <c r="AD1520" s="8"/>
      <c r="AE1520" s="8"/>
      <c r="AF1520" s="8"/>
      <c r="AG1520" s="8"/>
      <c r="AH1520" s="8"/>
      <c r="AI1520" s="8"/>
      <c r="AJ1520" s="8"/>
      <c r="AK1520" s="8"/>
      <c r="AL1520" s="4"/>
      <c r="AM1520" s="5" t="str">
        <f t="shared" si="93"/>
        <v/>
      </c>
      <c r="AN1520" s="5" t="str">
        <f t="shared" si="94"/>
        <v/>
      </c>
      <c r="AO1520" s="18" t="str">
        <f t="shared" si="95"/>
        <v/>
      </c>
      <c r="AP1520" s="19"/>
      <c r="AQ1520" s="20" t="str">
        <f t="shared" si="96"/>
        <v/>
      </c>
      <c r="AR1520" s="21"/>
    </row>
    <row r="1521" spans="2:44" ht="31.5" x14ac:dyDescent="0.5">
      <c r="B1521" s="1"/>
      <c r="C1521" s="15"/>
      <c r="D1521" s="16"/>
      <c r="E1521" s="15"/>
      <c r="F1521" s="17"/>
      <c r="G1521" s="8"/>
      <c r="H1521" s="8"/>
      <c r="I1521" s="8"/>
      <c r="J1521" s="8"/>
      <c r="K1521" s="8"/>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4"/>
      <c r="AM1521" s="5" t="str">
        <f t="shared" si="93"/>
        <v/>
      </c>
      <c r="AN1521" s="5" t="str">
        <f t="shared" si="94"/>
        <v/>
      </c>
      <c r="AO1521" s="18" t="str">
        <f t="shared" si="95"/>
        <v/>
      </c>
      <c r="AP1521" s="19"/>
      <c r="AQ1521" s="20" t="str">
        <f t="shared" si="96"/>
        <v/>
      </c>
      <c r="AR1521" s="21"/>
    </row>
    <row r="1522" spans="2:44" ht="31.5" x14ac:dyDescent="0.5">
      <c r="B1522" s="1"/>
      <c r="C1522" s="15"/>
      <c r="D1522" s="16"/>
      <c r="E1522" s="15"/>
      <c r="F1522" s="17"/>
      <c r="G1522" s="8"/>
      <c r="H1522" s="8"/>
      <c r="I1522" s="8"/>
      <c r="J1522" s="8"/>
      <c r="K1522" s="8"/>
      <c r="L1522" s="8"/>
      <c r="M1522" s="8"/>
      <c r="N1522" s="8"/>
      <c r="O1522" s="8"/>
      <c r="P1522" s="8"/>
      <c r="Q1522" s="8"/>
      <c r="R1522" s="8"/>
      <c r="S1522" s="8"/>
      <c r="T1522" s="8"/>
      <c r="U1522" s="8"/>
      <c r="V1522" s="8"/>
      <c r="W1522" s="8"/>
      <c r="X1522" s="8"/>
      <c r="Y1522" s="8"/>
      <c r="Z1522" s="8"/>
      <c r="AA1522" s="8"/>
      <c r="AB1522" s="8"/>
      <c r="AC1522" s="8"/>
      <c r="AD1522" s="8"/>
      <c r="AE1522" s="8"/>
      <c r="AF1522" s="8"/>
      <c r="AG1522" s="8"/>
      <c r="AH1522" s="8"/>
      <c r="AI1522" s="8"/>
      <c r="AJ1522" s="8"/>
      <c r="AK1522" s="8"/>
      <c r="AL1522" s="4"/>
      <c r="AM1522" s="5" t="str">
        <f t="shared" si="93"/>
        <v/>
      </c>
      <c r="AN1522" s="5" t="str">
        <f t="shared" si="94"/>
        <v/>
      </c>
      <c r="AO1522" s="18" t="str">
        <f t="shared" si="95"/>
        <v/>
      </c>
      <c r="AP1522" s="19"/>
      <c r="AQ1522" s="20" t="str">
        <f t="shared" si="96"/>
        <v/>
      </c>
      <c r="AR1522" s="21"/>
    </row>
    <row r="1523" spans="2:44" ht="31.5" x14ac:dyDescent="0.5">
      <c r="B1523" s="1"/>
      <c r="C1523" s="15"/>
      <c r="D1523" s="16"/>
      <c r="E1523" s="15"/>
      <c r="F1523" s="17"/>
      <c r="G1523" s="8"/>
      <c r="H1523" s="8"/>
      <c r="I1523" s="8"/>
      <c r="J1523" s="8"/>
      <c r="K1523" s="8"/>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4"/>
      <c r="AM1523" s="5" t="str">
        <f t="shared" ref="AM1523:AM1586" si="97">IF($B1523="","",COUNTIF($G1523:$AK1523,"P"))</f>
        <v/>
      </c>
      <c r="AN1523" s="5" t="str">
        <f t="shared" ref="AN1523:AN1586" si="98">IF($B1523="","",COUNTIF($G1523:$AK1523,"AB"))</f>
        <v/>
      </c>
      <c r="AO1523" s="18" t="str">
        <f t="shared" ref="AO1523:AO1586" si="99">IF($B1523="","",SUMPRODUCT(--($G$11:$AK$11&lt;&gt;""),--($G$12:$AK$12&lt;&gt;"Sun")))</f>
        <v/>
      </c>
      <c r="AP1523" s="19"/>
      <c r="AQ1523" s="20" t="str">
        <f t="shared" ref="AQ1523:AQ1586" si="100">IF($B1523="","",IF(AO1523=0,"",AM1523/AO1523))</f>
        <v/>
      </c>
      <c r="AR1523" s="21"/>
    </row>
    <row r="1524" spans="2:44" ht="31.5" x14ac:dyDescent="0.5">
      <c r="B1524" s="1"/>
      <c r="C1524" s="15"/>
      <c r="D1524" s="16"/>
      <c r="E1524" s="15"/>
      <c r="F1524" s="17"/>
      <c r="G1524" s="8"/>
      <c r="H1524" s="8"/>
      <c r="I1524" s="8"/>
      <c r="J1524" s="8"/>
      <c r="K1524" s="8"/>
      <c r="L1524" s="8"/>
      <c r="M1524" s="8"/>
      <c r="N1524" s="8"/>
      <c r="O1524" s="8"/>
      <c r="P1524" s="8"/>
      <c r="Q1524" s="8"/>
      <c r="R1524" s="8"/>
      <c r="S1524" s="8"/>
      <c r="T1524" s="8"/>
      <c r="U1524" s="8"/>
      <c r="V1524" s="8"/>
      <c r="W1524" s="8"/>
      <c r="X1524" s="8"/>
      <c r="Y1524" s="8"/>
      <c r="Z1524" s="8"/>
      <c r="AA1524" s="8"/>
      <c r="AB1524" s="8"/>
      <c r="AC1524" s="8"/>
      <c r="AD1524" s="8"/>
      <c r="AE1524" s="8"/>
      <c r="AF1524" s="8"/>
      <c r="AG1524" s="8"/>
      <c r="AH1524" s="8"/>
      <c r="AI1524" s="8"/>
      <c r="AJ1524" s="8"/>
      <c r="AK1524" s="8"/>
      <c r="AL1524" s="4"/>
      <c r="AM1524" s="5" t="str">
        <f t="shared" si="97"/>
        <v/>
      </c>
      <c r="AN1524" s="5" t="str">
        <f t="shared" si="98"/>
        <v/>
      </c>
      <c r="AO1524" s="18" t="str">
        <f t="shared" si="99"/>
        <v/>
      </c>
      <c r="AP1524" s="19"/>
      <c r="AQ1524" s="20" t="str">
        <f t="shared" si="100"/>
        <v/>
      </c>
      <c r="AR1524" s="21"/>
    </row>
    <row r="1525" spans="2:44" ht="31.5" x14ac:dyDescent="0.5">
      <c r="B1525" s="1"/>
      <c r="C1525" s="15"/>
      <c r="D1525" s="16"/>
      <c r="E1525" s="15"/>
      <c r="F1525" s="17"/>
      <c r="G1525" s="8"/>
      <c r="H1525" s="8"/>
      <c r="I1525" s="8"/>
      <c r="J1525" s="8"/>
      <c r="K1525" s="8"/>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4"/>
      <c r="AM1525" s="5" t="str">
        <f t="shared" si="97"/>
        <v/>
      </c>
      <c r="AN1525" s="5" t="str">
        <f t="shared" si="98"/>
        <v/>
      </c>
      <c r="AO1525" s="18" t="str">
        <f t="shared" si="99"/>
        <v/>
      </c>
      <c r="AP1525" s="19"/>
      <c r="AQ1525" s="20" t="str">
        <f t="shared" si="100"/>
        <v/>
      </c>
      <c r="AR1525" s="21"/>
    </row>
    <row r="1526" spans="2:44" ht="31.5" x14ac:dyDescent="0.5">
      <c r="B1526" s="1"/>
      <c r="C1526" s="15"/>
      <c r="D1526" s="16"/>
      <c r="E1526" s="15"/>
      <c r="F1526" s="17"/>
      <c r="G1526" s="8"/>
      <c r="H1526" s="8"/>
      <c r="I1526" s="8"/>
      <c r="J1526" s="8"/>
      <c r="K1526" s="8"/>
      <c r="L1526" s="8"/>
      <c r="M1526" s="8"/>
      <c r="N1526" s="8"/>
      <c r="O1526" s="8"/>
      <c r="P1526" s="8"/>
      <c r="Q1526" s="8"/>
      <c r="R1526" s="8"/>
      <c r="S1526" s="8"/>
      <c r="T1526" s="8"/>
      <c r="U1526" s="8"/>
      <c r="V1526" s="8"/>
      <c r="W1526" s="8"/>
      <c r="X1526" s="8"/>
      <c r="Y1526" s="8"/>
      <c r="Z1526" s="8"/>
      <c r="AA1526" s="8"/>
      <c r="AB1526" s="8"/>
      <c r="AC1526" s="8"/>
      <c r="AD1526" s="8"/>
      <c r="AE1526" s="8"/>
      <c r="AF1526" s="8"/>
      <c r="AG1526" s="8"/>
      <c r="AH1526" s="8"/>
      <c r="AI1526" s="8"/>
      <c r="AJ1526" s="8"/>
      <c r="AK1526" s="8"/>
      <c r="AL1526" s="4"/>
      <c r="AM1526" s="5" t="str">
        <f t="shared" si="97"/>
        <v/>
      </c>
      <c r="AN1526" s="5" t="str">
        <f t="shared" si="98"/>
        <v/>
      </c>
      <c r="AO1526" s="18" t="str">
        <f t="shared" si="99"/>
        <v/>
      </c>
      <c r="AP1526" s="19"/>
      <c r="AQ1526" s="20" t="str">
        <f t="shared" si="100"/>
        <v/>
      </c>
      <c r="AR1526" s="21"/>
    </row>
    <row r="1527" spans="2:44" ht="31.5" x14ac:dyDescent="0.5">
      <c r="B1527" s="1"/>
      <c r="C1527" s="15"/>
      <c r="D1527" s="16"/>
      <c r="E1527" s="15"/>
      <c r="F1527" s="17"/>
      <c r="G1527" s="8"/>
      <c r="H1527" s="8"/>
      <c r="I1527" s="8"/>
      <c r="J1527" s="8"/>
      <c r="K1527" s="8"/>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4"/>
      <c r="AM1527" s="5" t="str">
        <f t="shared" si="97"/>
        <v/>
      </c>
      <c r="AN1527" s="5" t="str">
        <f t="shared" si="98"/>
        <v/>
      </c>
      <c r="AO1527" s="18" t="str">
        <f t="shared" si="99"/>
        <v/>
      </c>
      <c r="AP1527" s="19"/>
      <c r="AQ1527" s="20" t="str">
        <f t="shared" si="100"/>
        <v/>
      </c>
      <c r="AR1527" s="21"/>
    </row>
    <row r="1528" spans="2:44" ht="31.5" x14ac:dyDescent="0.5">
      <c r="B1528" s="1"/>
      <c r="C1528" s="15"/>
      <c r="D1528" s="16"/>
      <c r="E1528" s="15"/>
      <c r="F1528" s="17"/>
      <c r="G1528" s="8"/>
      <c r="H1528" s="8"/>
      <c r="I1528" s="8"/>
      <c r="J1528" s="8"/>
      <c r="K1528" s="8"/>
      <c r="L1528" s="8"/>
      <c r="M1528" s="8"/>
      <c r="N1528" s="8"/>
      <c r="O1528" s="8"/>
      <c r="P1528" s="8"/>
      <c r="Q1528" s="8"/>
      <c r="R1528" s="8"/>
      <c r="S1528" s="8"/>
      <c r="T1528" s="8"/>
      <c r="U1528" s="8"/>
      <c r="V1528" s="8"/>
      <c r="W1528" s="8"/>
      <c r="X1528" s="8"/>
      <c r="Y1528" s="8"/>
      <c r="Z1528" s="8"/>
      <c r="AA1528" s="8"/>
      <c r="AB1528" s="8"/>
      <c r="AC1528" s="8"/>
      <c r="AD1528" s="8"/>
      <c r="AE1528" s="8"/>
      <c r="AF1528" s="8"/>
      <c r="AG1528" s="8"/>
      <c r="AH1528" s="8"/>
      <c r="AI1528" s="8"/>
      <c r="AJ1528" s="8"/>
      <c r="AK1528" s="8"/>
      <c r="AL1528" s="4"/>
      <c r="AM1528" s="5" t="str">
        <f t="shared" si="97"/>
        <v/>
      </c>
      <c r="AN1528" s="5" t="str">
        <f t="shared" si="98"/>
        <v/>
      </c>
      <c r="AO1528" s="18" t="str">
        <f t="shared" si="99"/>
        <v/>
      </c>
      <c r="AP1528" s="19"/>
      <c r="AQ1528" s="20" t="str">
        <f t="shared" si="100"/>
        <v/>
      </c>
      <c r="AR1528" s="21"/>
    </row>
    <row r="1529" spans="2:44" ht="31.5" x14ac:dyDescent="0.5">
      <c r="B1529" s="1"/>
      <c r="C1529" s="15"/>
      <c r="D1529" s="16"/>
      <c r="E1529" s="15"/>
      <c r="F1529" s="17"/>
      <c r="G1529" s="8"/>
      <c r="H1529" s="8"/>
      <c r="I1529" s="8"/>
      <c r="J1529" s="8"/>
      <c r="K1529" s="8"/>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4"/>
      <c r="AM1529" s="5" t="str">
        <f t="shared" si="97"/>
        <v/>
      </c>
      <c r="AN1529" s="5" t="str">
        <f t="shared" si="98"/>
        <v/>
      </c>
      <c r="AO1529" s="18" t="str">
        <f t="shared" si="99"/>
        <v/>
      </c>
      <c r="AP1529" s="19"/>
      <c r="AQ1529" s="20" t="str">
        <f t="shared" si="100"/>
        <v/>
      </c>
      <c r="AR1529" s="21"/>
    </row>
    <row r="1530" spans="2:44" ht="31.5" x14ac:dyDescent="0.5">
      <c r="B1530" s="1"/>
      <c r="C1530" s="15"/>
      <c r="D1530" s="16"/>
      <c r="E1530" s="15"/>
      <c r="F1530" s="17"/>
      <c r="G1530" s="8"/>
      <c r="H1530" s="8"/>
      <c r="I1530" s="8"/>
      <c r="J1530" s="8"/>
      <c r="K1530" s="8"/>
      <c r="L1530" s="8"/>
      <c r="M1530" s="8"/>
      <c r="N1530" s="8"/>
      <c r="O1530" s="8"/>
      <c r="P1530" s="8"/>
      <c r="Q1530" s="8"/>
      <c r="R1530" s="8"/>
      <c r="S1530" s="8"/>
      <c r="T1530" s="8"/>
      <c r="U1530" s="8"/>
      <c r="V1530" s="8"/>
      <c r="W1530" s="8"/>
      <c r="X1530" s="8"/>
      <c r="Y1530" s="8"/>
      <c r="Z1530" s="8"/>
      <c r="AA1530" s="8"/>
      <c r="AB1530" s="8"/>
      <c r="AC1530" s="8"/>
      <c r="AD1530" s="8"/>
      <c r="AE1530" s="8"/>
      <c r="AF1530" s="8"/>
      <c r="AG1530" s="8"/>
      <c r="AH1530" s="8"/>
      <c r="AI1530" s="8"/>
      <c r="AJ1530" s="8"/>
      <c r="AK1530" s="8"/>
      <c r="AL1530" s="4"/>
      <c r="AM1530" s="5" t="str">
        <f t="shared" si="97"/>
        <v/>
      </c>
      <c r="AN1530" s="5" t="str">
        <f t="shared" si="98"/>
        <v/>
      </c>
      <c r="AO1530" s="18" t="str">
        <f t="shared" si="99"/>
        <v/>
      </c>
      <c r="AP1530" s="19"/>
      <c r="AQ1530" s="20" t="str">
        <f t="shared" si="100"/>
        <v/>
      </c>
      <c r="AR1530" s="21"/>
    </row>
    <row r="1531" spans="2:44" ht="31.5" x14ac:dyDescent="0.5">
      <c r="B1531" s="1"/>
      <c r="C1531" s="15"/>
      <c r="D1531" s="16"/>
      <c r="E1531" s="15"/>
      <c r="F1531" s="17"/>
      <c r="G1531" s="8"/>
      <c r="H1531" s="8"/>
      <c r="I1531" s="8"/>
      <c r="J1531" s="8"/>
      <c r="K1531" s="8"/>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4"/>
      <c r="AM1531" s="5" t="str">
        <f t="shared" si="97"/>
        <v/>
      </c>
      <c r="AN1531" s="5" t="str">
        <f t="shared" si="98"/>
        <v/>
      </c>
      <c r="AO1531" s="18" t="str">
        <f t="shared" si="99"/>
        <v/>
      </c>
      <c r="AP1531" s="19"/>
      <c r="AQ1531" s="20" t="str">
        <f t="shared" si="100"/>
        <v/>
      </c>
      <c r="AR1531" s="21"/>
    </row>
    <row r="1532" spans="2:44" ht="31.5" x14ac:dyDescent="0.5">
      <c r="B1532" s="1"/>
      <c r="C1532" s="15"/>
      <c r="D1532" s="16"/>
      <c r="E1532" s="15"/>
      <c r="F1532" s="17"/>
      <c r="G1532" s="8"/>
      <c r="H1532" s="8"/>
      <c r="I1532" s="8"/>
      <c r="J1532" s="8"/>
      <c r="K1532" s="8"/>
      <c r="L1532" s="8"/>
      <c r="M1532" s="8"/>
      <c r="N1532" s="8"/>
      <c r="O1532" s="8"/>
      <c r="P1532" s="8"/>
      <c r="Q1532" s="8"/>
      <c r="R1532" s="8"/>
      <c r="S1532" s="8"/>
      <c r="T1532" s="8"/>
      <c r="U1532" s="8"/>
      <c r="V1532" s="8"/>
      <c r="W1532" s="8"/>
      <c r="X1532" s="8"/>
      <c r="Y1532" s="8"/>
      <c r="Z1532" s="8"/>
      <c r="AA1532" s="8"/>
      <c r="AB1532" s="8"/>
      <c r="AC1532" s="8"/>
      <c r="AD1532" s="8"/>
      <c r="AE1532" s="8"/>
      <c r="AF1532" s="8"/>
      <c r="AG1532" s="8"/>
      <c r="AH1532" s="8"/>
      <c r="AI1532" s="8"/>
      <c r="AJ1532" s="8"/>
      <c r="AK1532" s="8"/>
      <c r="AL1532" s="4"/>
      <c r="AM1532" s="5" t="str">
        <f t="shared" si="97"/>
        <v/>
      </c>
      <c r="AN1532" s="5" t="str">
        <f t="shared" si="98"/>
        <v/>
      </c>
      <c r="AO1532" s="18" t="str">
        <f t="shared" si="99"/>
        <v/>
      </c>
      <c r="AP1532" s="19"/>
      <c r="AQ1532" s="20" t="str">
        <f t="shared" si="100"/>
        <v/>
      </c>
      <c r="AR1532" s="21"/>
    </row>
    <row r="1533" spans="2:44" ht="31.5" x14ac:dyDescent="0.5">
      <c r="B1533" s="1"/>
      <c r="C1533" s="15"/>
      <c r="D1533" s="16"/>
      <c r="E1533" s="15"/>
      <c r="F1533" s="17"/>
      <c r="G1533" s="8"/>
      <c r="H1533" s="8"/>
      <c r="I1533" s="8"/>
      <c r="J1533" s="8"/>
      <c r="K1533" s="8"/>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4"/>
      <c r="AM1533" s="5" t="str">
        <f t="shared" si="97"/>
        <v/>
      </c>
      <c r="AN1533" s="5" t="str">
        <f t="shared" si="98"/>
        <v/>
      </c>
      <c r="AO1533" s="18" t="str">
        <f t="shared" si="99"/>
        <v/>
      </c>
      <c r="AP1533" s="19"/>
      <c r="AQ1533" s="20" t="str">
        <f t="shared" si="100"/>
        <v/>
      </c>
      <c r="AR1533" s="21"/>
    </row>
    <row r="1534" spans="2:44" ht="31.5" x14ac:dyDescent="0.5">
      <c r="B1534" s="1"/>
      <c r="C1534" s="15"/>
      <c r="D1534" s="16"/>
      <c r="E1534" s="15"/>
      <c r="F1534" s="17"/>
      <c r="G1534" s="8"/>
      <c r="H1534" s="8"/>
      <c r="I1534" s="8"/>
      <c r="J1534" s="8"/>
      <c r="K1534" s="8"/>
      <c r="L1534" s="8"/>
      <c r="M1534" s="8"/>
      <c r="N1534" s="8"/>
      <c r="O1534" s="8"/>
      <c r="P1534" s="8"/>
      <c r="Q1534" s="8"/>
      <c r="R1534" s="8"/>
      <c r="S1534" s="8"/>
      <c r="T1534" s="8"/>
      <c r="U1534" s="8"/>
      <c r="V1534" s="8"/>
      <c r="W1534" s="8"/>
      <c r="X1534" s="8"/>
      <c r="Y1534" s="8"/>
      <c r="Z1534" s="8"/>
      <c r="AA1534" s="8"/>
      <c r="AB1534" s="8"/>
      <c r="AC1534" s="8"/>
      <c r="AD1534" s="8"/>
      <c r="AE1534" s="8"/>
      <c r="AF1534" s="8"/>
      <c r="AG1534" s="8"/>
      <c r="AH1534" s="8"/>
      <c r="AI1534" s="8"/>
      <c r="AJ1534" s="8"/>
      <c r="AK1534" s="8"/>
      <c r="AL1534" s="4"/>
      <c r="AM1534" s="5" t="str">
        <f t="shared" si="97"/>
        <v/>
      </c>
      <c r="AN1534" s="5" t="str">
        <f t="shared" si="98"/>
        <v/>
      </c>
      <c r="AO1534" s="18" t="str">
        <f t="shared" si="99"/>
        <v/>
      </c>
      <c r="AP1534" s="19"/>
      <c r="AQ1534" s="20" t="str">
        <f t="shared" si="100"/>
        <v/>
      </c>
      <c r="AR1534" s="21"/>
    </row>
    <row r="1535" spans="2:44" ht="31.5" x14ac:dyDescent="0.5">
      <c r="B1535" s="1"/>
      <c r="C1535" s="15"/>
      <c r="D1535" s="16"/>
      <c r="E1535" s="15"/>
      <c r="F1535" s="17"/>
      <c r="G1535" s="8"/>
      <c r="H1535" s="8"/>
      <c r="I1535" s="8"/>
      <c r="J1535" s="8"/>
      <c r="K1535" s="8"/>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4"/>
      <c r="AM1535" s="5" t="str">
        <f t="shared" si="97"/>
        <v/>
      </c>
      <c r="AN1535" s="5" t="str">
        <f t="shared" si="98"/>
        <v/>
      </c>
      <c r="AO1535" s="18" t="str">
        <f t="shared" si="99"/>
        <v/>
      </c>
      <c r="AP1535" s="19"/>
      <c r="AQ1535" s="20" t="str">
        <f t="shared" si="100"/>
        <v/>
      </c>
      <c r="AR1535" s="21"/>
    </row>
    <row r="1536" spans="2:44" ht="31.5" x14ac:dyDescent="0.5">
      <c r="B1536" s="1"/>
      <c r="C1536" s="15"/>
      <c r="D1536" s="16"/>
      <c r="E1536" s="15"/>
      <c r="F1536" s="17"/>
      <c r="G1536" s="8"/>
      <c r="H1536" s="8"/>
      <c r="I1536" s="8"/>
      <c r="J1536" s="8"/>
      <c r="K1536" s="8"/>
      <c r="L1536" s="8"/>
      <c r="M1536" s="8"/>
      <c r="N1536" s="8"/>
      <c r="O1536" s="8"/>
      <c r="P1536" s="8"/>
      <c r="Q1536" s="8"/>
      <c r="R1536" s="8"/>
      <c r="S1536" s="8"/>
      <c r="T1536" s="8"/>
      <c r="U1536" s="8"/>
      <c r="V1536" s="8"/>
      <c r="W1536" s="8"/>
      <c r="X1536" s="8"/>
      <c r="Y1536" s="8"/>
      <c r="Z1536" s="8"/>
      <c r="AA1536" s="8"/>
      <c r="AB1536" s="8"/>
      <c r="AC1536" s="8"/>
      <c r="AD1536" s="8"/>
      <c r="AE1536" s="8"/>
      <c r="AF1536" s="8"/>
      <c r="AG1536" s="8"/>
      <c r="AH1536" s="8"/>
      <c r="AI1536" s="8"/>
      <c r="AJ1536" s="8"/>
      <c r="AK1536" s="8"/>
      <c r="AL1536" s="4"/>
      <c r="AM1536" s="5" t="str">
        <f t="shared" si="97"/>
        <v/>
      </c>
      <c r="AN1536" s="5" t="str">
        <f t="shared" si="98"/>
        <v/>
      </c>
      <c r="AO1536" s="18" t="str">
        <f t="shared" si="99"/>
        <v/>
      </c>
      <c r="AP1536" s="19"/>
      <c r="AQ1536" s="20" t="str">
        <f t="shared" si="100"/>
        <v/>
      </c>
      <c r="AR1536" s="21"/>
    </row>
    <row r="1537" spans="2:44" ht="31.5" x14ac:dyDescent="0.5">
      <c r="B1537" s="1"/>
      <c r="C1537" s="15"/>
      <c r="D1537" s="16"/>
      <c r="E1537" s="15"/>
      <c r="F1537" s="17"/>
      <c r="G1537" s="8"/>
      <c r="H1537" s="8"/>
      <c r="I1537" s="8"/>
      <c r="J1537" s="8"/>
      <c r="K1537" s="8"/>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4"/>
      <c r="AM1537" s="5" t="str">
        <f t="shared" si="97"/>
        <v/>
      </c>
      <c r="AN1537" s="5" t="str">
        <f t="shared" si="98"/>
        <v/>
      </c>
      <c r="AO1537" s="18" t="str">
        <f t="shared" si="99"/>
        <v/>
      </c>
      <c r="AP1537" s="19"/>
      <c r="AQ1537" s="20" t="str">
        <f t="shared" si="100"/>
        <v/>
      </c>
      <c r="AR1537" s="21"/>
    </row>
    <row r="1538" spans="2:44" ht="31.5" x14ac:dyDescent="0.5">
      <c r="B1538" s="1"/>
      <c r="C1538" s="15"/>
      <c r="D1538" s="16"/>
      <c r="E1538" s="15"/>
      <c r="F1538" s="17"/>
      <c r="G1538" s="8"/>
      <c r="H1538" s="8"/>
      <c r="I1538" s="8"/>
      <c r="J1538" s="8"/>
      <c r="K1538" s="8"/>
      <c r="L1538" s="8"/>
      <c r="M1538" s="8"/>
      <c r="N1538" s="8"/>
      <c r="O1538" s="8"/>
      <c r="P1538" s="8"/>
      <c r="Q1538" s="8"/>
      <c r="R1538" s="8"/>
      <c r="S1538" s="8"/>
      <c r="T1538" s="8"/>
      <c r="U1538" s="8"/>
      <c r="V1538" s="8"/>
      <c r="W1538" s="8"/>
      <c r="X1538" s="8"/>
      <c r="Y1538" s="8"/>
      <c r="Z1538" s="8"/>
      <c r="AA1538" s="8"/>
      <c r="AB1538" s="8"/>
      <c r="AC1538" s="8"/>
      <c r="AD1538" s="8"/>
      <c r="AE1538" s="8"/>
      <c r="AF1538" s="8"/>
      <c r="AG1538" s="8"/>
      <c r="AH1538" s="8"/>
      <c r="AI1538" s="8"/>
      <c r="AJ1538" s="8"/>
      <c r="AK1538" s="8"/>
      <c r="AL1538" s="4"/>
      <c r="AM1538" s="5" t="str">
        <f t="shared" si="97"/>
        <v/>
      </c>
      <c r="AN1538" s="5" t="str">
        <f t="shared" si="98"/>
        <v/>
      </c>
      <c r="AO1538" s="18" t="str">
        <f t="shared" si="99"/>
        <v/>
      </c>
      <c r="AP1538" s="19"/>
      <c r="AQ1538" s="20" t="str">
        <f t="shared" si="100"/>
        <v/>
      </c>
      <c r="AR1538" s="21"/>
    </row>
    <row r="1539" spans="2:44" ht="31.5" x14ac:dyDescent="0.5">
      <c r="B1539" s="1"/>
      <c r="C1539" s="15"/>
      <c r="D1539" s="16"/>
      <c r="E1539" s="15"/>
      <c r="F1539" s="17"/>
      <c r="G1539" s="8"/>
      <c r="H1539" s="8"/>
      <c r="I1539" s="8"/>
      <c r="J1539" s="8"/>
      <c r="K1539" s="8"/>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4"/>
      <c r="AM1539" s="5" t="str">
        <f t="shared" si="97"/>
        <v/>
      </c>
      <c r="AN1539" s="5" t="str">
        <f t="shared" si="98"/>
        <v/>
      </c>
      <c r="AO1539" s="18" t="str">
        <f t="shared" si="99"/>
        <v/>
      </c>
      <c r="AP1539" s="19"/>
      <c r="AQ1539" s="20" t="str">
        <f t="shared" si="100"/>
        <v/>
      </c>
      <c r="AR1539" s="21"/>
    </row>
    <row r="1540" spans="2:44" ht="31.5" x14ac:dyDescent="0.5">
      <c r="B1540" s="1"/>
      <c r="C1540" s="15"/>
      <c r="D1540" s="16"/>
      <c r="E1540" s="15"/>
      <c r="F1540" s="17"/>
      <c r="G1540" s="8"/>
      <c r="H1540" s="8"/>
      <c r="I1540" s="8"/>
      <c r="J1540" s="8"/>
      <c r="K1540" s="8"/>
      <c r="L1540" s="8"/>
      <c r="M1540" s="8"/>
      <c r="N1540" s="8"/>
      <c r="O1540" s="8"/>
      <c r="P1540" s="8"/>
      <c r="Q1540" s="8"/>
      <c r="R1540" s="8"/>
      <c r="S1540" s="8"/>
      <c r="T1540" s="8"/>
      <c r="U1540" s="8"/>
      <c r="V1540" s="8"/>
      <c r="W1540" s="8"/>
      <c r="X1540" s="8"/>
      <c r="Y1540" s="8"/>
      <c r="Z1540" s="8"/>
      <c r="AA1540" s="8"/>
      <c r="AB1540" s="8"/>
      <c r="AC1540" s="8"/>
      <c r="AD1540" s="8"/>
      <c r="AE1540" s="8"/>
      <c r="AF1540" s="8"/>
      <c r="AG1540" s="8"/>
      <c r="AH1540" s="8"/>
      <c r="AI1540" s="8"/>
      <c r="AJ1540" s="8"/>
      <c r="AK1540" s="8"/>
      <c r="AL1540" s="4"/>
      <c r="AM1540" s="5" t="str">
        <f t="shared" si="97"/>
        <v/>
      </c>
      <c r="AN1540" s="5" t="str">
        <f t="shared" si="98"/>
        <v/>
      </c>
      <c r="AO1540" s="18" t="str">
        <f t="shared" si="99"/>
        <v/>
      </c>
      <c r="AP1540" s="19"/>
      <c r="AQ1540" s="20" t="str">
        <f t="shared" si="100"/>
        <v/>
      </c>
      <c r="AR1540" s="21"/>
    </row>
    <row r="1541" spans="2:44" ht="31.5" x14ac:dyDescent="0.5">
      <c r="B1541" s="1"/>
      <c r="C1541" s="15"/>
      <c r="D1541" s="16"/>
      <c r="E1541" s="15"/>
      <c r="F1541" s="17"/>
      <c r="G1541" s="8"/>
      <c r="H1541" s="8"/>
      <c r="I1541" s="8"/>
      <c r="J1541" s="8"/>
      <c r="K1541" s="8"/>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4"/>
      <c r="AM1541" s="5" t="str">
        <f t="shared" si="97"/>
        <v/>
      </c>
      <c r="AN1541" s="5" t="str">
        <f t="shared" si="98"/>
        <v/>
      </c>
      <c r="AO1541" s="18" t="str">
        <f t="shared" si="99"/>
        <v/>
      </c>
      <c r="AP1541" s="19"/>
      <c r="AQ1541" s="20" t="str">
        <f t="shared" si="100"/>
        <v/>
      </c>
      <c r="AR1541" s="21"/>
    </row>
    <row r="1542" spans="2:44" ht="31.5" x14ac:dyDescent="0.5">
      <c r="B1542" s="1"/>
      <c r="C1542" s="15"/>
      <c r="D1542" s="16"/>
      <c r="E1542" s="15"/>
      <c r="F1542" s="17"/>
      <c r="G1542" s="8"/>
      <c r="H1542" s="8"/>
      <c r="I1542" s="8"/>
      <c r="J1542" s="8"/>
      <c r="K1542" s="8"/>
      <c r="L1542" s="8"/>
      <c r="M1542" s="8"/>
      <c r="N1542" s="8"/>
      <c r="O1542" s="8"/>
      <c r="P1542" s="8"/>
      <c r="Q1542" s="8"/>
      <c r="R1542" s="8"/>
      <c r="S1542" s="8"/>
      <c r="T1542" s="8"/>
      <c r="U1542" s="8"/>
      <c r="V1542" s="8"/>
      <c r="W1542" s="8"/>
      <c r="X1542" s="8"/>
      <c r="Y1542" s="8"/>
      <c r="Z1542" s="8"/>
      <c r="AA1542" s="8"/>
      <c r="AB1542" s="8"/>
      <c r="AC1542" s="8"/>
      <c r="AD1542" s="8"/>
      <c r="AE1542" s="8"/>
      <c r="AF1542" s="8"/>
      <c r="AG1542" s="8"/>
      <c r="AH1542" s="8"/>
      <c r="AI1542" s="8"/>
      <c r="AJ1542" s="8"/>
      <c r="AK1542" s="8"/>
      <c r="AL1542" s="4"/>
      <c r="AM1542" s="5" t="str">
        <f t="shared" si="97"/>
        <v/>
      </c>
      <c r="AN1542" s="5" t="str">
        <f t="shared" si="98"/>
        <v/>
      </c>
      <c r="AO1542" s="18" t="str">
        <f t="shared" si="99"/>
        <v/>
      </c>
      <c r="AP1542" s="19"/>
      <c r="AQ1542" s="20" t="str">
        <f t="shared" si="100"/>
        <v/>
      </c>
      <c r="AR1542" s="21"/>
    </row>
    <row r="1543" spans="2:44" ht="31.5" x14ac:dyDescent="0.5">
      <c r="B1543" s="1"/>
      <c r="C1543" s="15"/>
      <c r="D1543" s="16"/>
      <c r="E1543" s="15"/>
      <c r="F1543" s="17"/>
      <c r="G1543" s="8"/>
      <c r="H1543" s="8"/>
      <c r="I1543" s="8"/>
      <c r="J1543" s="8"/>
      <c r="K1543" s="8"/>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4"/>
      <c r="AM1543" s="5" t="str">
        <f t="shared" si="97"/>
        <v/>
      </c>
      <c r="AN1543" s="5" t="str">
        <f t="shared" si="98"/>
        <v/>
      </c>
      <c r="AO1543" s="18" t="str">
        <f t="shared" si="99"/>
        <v/>
      </c>
      <c r="AP1543" s="19"/>
      <c r="AQ1543" s="20" t="str">
        <f t="shared" si="100"/>
        <v/>
      </c>
      <c r="AR1543" s="21"/>
    </row>
    <row r="1544" spans="2:44" ht="31.5" x14ac:dyDescent="0.5">
      <c r="B1544" s="1"/>
      <c r="C1544" s="15"/>
      <c r="D1544" s="16"/>
      <c r="E1544" s="15"/>
      <c r="F1544" s="17"/>
      <c r="G1544" s="8"/>
      <c r="H1544" s="8"/>
      <c r="I1544" s="8"/>
      <c r="J1544" s="8"/>
      <c r="K1544" s="8"/>
      <c r="L1544" s="8"/>
      <c r="M1544" s="8"/>
      <c r="N1544" s="8"/>
      <c r="O1544" s="8"/>
      <c r="P1544" s="8"/>
      <c r="Q1544" s="8"/>
      <c r="R1544" s="8"/>
      <c r="S1544" s="8"/>
      <c r="T1544" s="8"/>
      <c r="U1544" s="8"/>
      <c r="V1544" s="8"/>
      <c r="W1544" s="8"/>
      <c r="X1544" s="8"/>
      <c r="Y1544" s="8"/>
      <c r="Z1544" s="8"/>
      <c r="AA1544" s="8"/>
      <c r="AB1544" s="8"/>
      <c r="AC1544" s="8"/>
      <c r="AD1544" s="8"/>
      <c r="AE1544" s="8"/>
      <c r="AF1544" s="8"/>
      <c r="AG1544" s="8"/>
      <c r="AH1544" s="8"/>
      <c r="AI1544" s="8"/>
      <c r="AJ1544" s="8"/>
      <c r="AK1544" s="8"/>
      <c r="AL1544" s="4"/>
      <c r="AM1544" s="5" t="str">
        <f t="shared" si="97"/>
        <v/>
      </c>
      <c r="AN1544" s="5" t="str">
        <f t="shared" si="98"/>
        <v/>
      </c>
      <c r="AO1544" s="18" t="str">
        <f t="shared" si="99"/>
        <v/>
      </c>
      <c r="AP1544" s="19"/>
      <c r="AQ1544" s="20" t="str">
        <f t="shared" si="100"/>
        <v/>
      </c>
      <c r="AR1544" s="21"/>
    </row>
    <row r="1545" spans="2:44" ht="31.5" x14ac:dyDescent="0.5">
      <c r="B1545" s="1"/>
      <c r="C1545" s="15"/>
      <c r="D1545" s="16"/>
      <c r="E1545" s="15"/>
      <c r="F1545" s="17"/>
      <c r="G1545" s="8"/>
      <c r="H1545" s="8"/>
      <c r="I1545" s="8"/>
      <c r="J1545" s="8"/>
      <c r="K1545" s="8"/>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4"/>
      <c r="AM1545" s="5" t="str">
        <f t="shared" si="97"/>
        <v/>
      </c>
      <c r="AN1545" s="5" t="str">
        <f t="shared" si="98"/>
        <v/>
      </c>
      <c r="AO1545" s="18" t="str">
        <f t="shared" si="99"/>
        <v/>
      </c>
      <c r="AP1545" s="19"/>
      <c r="AQ1545" s="20" t="str">
        <f t="shared" si="100"/>
        <v/>
      </c>
      <c r="AR1545" s="21"/>
    </row>
    <row r="1546" spans="2:44" ht="31.5" x14ac:dyDescent="0.5">
      <c r="B1546" s="1"/>
      <c r="C1546" s="15"/>
      <c r="D1546" s="16"/>
      <c r="E1546" s="15"/>
      <c r="F1546" s="17"/>
      <c r="G1546" s="8"/>
      <c r="H1546" s="8"/>
      <c r="I1546" s="8"/>
      <c r="J1546" s="8"/>
      <c r="K1546" s="8"/>
      <c r="L1546" s="8"/>
      <c r="M1546" s="8"/>
      <c r="N1546" s="8"/>
      <c r="O1546" s="8"/>
      <c r="P1546" s="8"/>
      <c r="Q1546" s="8"/>
      <c r="R1546" s="8"/>
      <c r="S1546" s="8"/>
      <c r="T1546" s="8"/>
      <c r="U1546" s="8"/>
      <c r="V1546" s="8"/>
      <c r="W1546" s="8"/>
      <c r="X1546" s="8"/>
      <c r="Y1546" s="8"/>
      <c r="Z1546" s="8"/>
      <c r="AA1546" s="8"/>
      <c r="AB1546" s="8"/>
      <c r="AC1546" s="8"/>
      <c r="AD1546" s="8"/>
      <c r="AE1546" s="8"/>
      <c r="AF1546" s="8"/>
      <c r="AG1546" s="8"/>
      <c r="AH1546" s="8"/>
      <c r="AI1546" s="8"/>
      <c r="AJ1546" s="8"/>
      <c r="AK1546" s="8"/>
      <c r="AL1546" s="4"/>
      <c r="AM1546" s="5" t="str">
        <f t="shared" si="97"/>
        <v/>
      </c>
      <c r="AN1546" s="5" t="str">
        <f t="shared" si="98"/>
        <v/>
      </c>
      <c r="AO1546" s="18" t="str">
        <f t="shared" si="99"/>
        <v/>
      </c>
      <c r="AP1546" s="19"/>
      <c r="AQ1546" s="20" t="str">
        <f t="shared" si="100"/>
        <v/>
      </c>
      <c r="AR1546" s="21"/>
    </row>
    <row r="1547" spans="2:44" ht="31.5" x14ac:dyDescent="0.5">
      <c r="B1547" s="1"/>
      <c r="C1547" s="15"/>
      <c r="D1547" s="16"/>
      <c r="E1547" s="15"/>
      <c r="F1547" s="17"/>
      <c r="G1547" s="8"/>
      <c r="H1547" s="8"/>
      <c r="I1547" s="8"/>
      <c r="J1547" s="8"/>
      <c r="K1547" s="8"/>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4"/>
      <c r="AM1547" s="5" t="str">
        <f t="shared" si="97"/>
        <v/>
      </c>
      <c r="AN1547" s="5" t="str">
        <f t="shared" si="98"/>
        <v/>
      </c>
      <c r="AO1547" s="18" t="str">
        <f t="shared" si="99"/>
        <v/>
      </c>
      <c r="AP1547" s="19"/>
      <c r="AQ1547" s="20" t="str">
        <f t="shared" si="100"/>
        <v/>
      </c>
      <c r="AR1547" s="21"/>
    </row>
    <row r="1548" spans="2:44" ht="31.5" x14ac:dyDescent="0.5">
      <c r="B1548" s="1"/>
      <c r="C1548" s="15"/>
      <c r="D1548" s="16"/>
      <c r="E1548" s="15"/>
      <c r="F1548" s="17"/>
      <c r="G1548" s="8"/>
      <c r="H1548" s="8"/>
      <c r="I1548" s="8"/>
      <c r="J1548" s="8"/>
      <c r="K1548" s="8"/>
      <c r="L1548" s="8"/>
      <c r="M1548" s="8"/>
      <c r="N1548" s="8"/>
      <c r="O1548" s="8"/>
      <c r="P1548" s="8"/>
      <c r="Q1548" s="8"/>
      <c r="R1548" s="8"/>
      <c r="S1548" s="8"/>
      <c r="T1548" s="8"/>
      <c r="U1548" s="8"/>
      <c r="V1548" s="8"/>
      <c r="W1548" s="8"/>
      <c r="X1548" s="8"/>
      <c r="Y1548" s="8"/>
      <c r="Z1548" s="8"/>
      <c r="AA1548" s="8"/>
      <c r="AB1548" s="8"/>
      <c r="AC1548" s="8"/>
      <c r="AD1548" s="8"/>
      <c r="AE1548" s="8"/>
      <c r="AF1548" s="8"/>
      <c r="AG1548" s="8"/>
      <c r="AH1548" s="8"/>
      <c r="AI1548" s="8"/>
      <c r="AJ1548" s="8"/>
      <c r="AK1548" s="8"/>
      <c r="AL1548" s="4"/>
      <c r="AM1548" s="5" t="str">
        <f t="shared" si="97"/>
        <v/>
      </c>
      <c r="AN1548" s="5" t="str">
        <f t="shared" si="98"/>
        <v/>
      </c>
      <c r="AO1548" s="18" t="str">
        <f t="shared" si="99"/>
        <v/>
      </c>
      <c r="AP1548" s="19"/>
      <c r="AQ1548" s="20" t="str">
        <f t="shared" si="100"/>
        <v/>
      </c>
      <c r="AR1548" s="21"/>
    </row>
    <row r="1549" spans="2:44" ht="31.5" x14ac:dyDescent="0.5">
      <c r="B1549" s="1"/>
      <c r="C1549" s="15"/>
      <c r="D1549" s="16"/>
      <c r="E1549" s="15"/>
      <c r="F1549" s="17"/>
      <c r="G1549" s="8"/>
      <c r="H1549" s="8"/>
      <c r="I1549" s="8"/>
      <c r="J1549" s="8"/>
      <c r="K1549" s="8"/>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4"/>
      <c r="AM1549" s="5" t="str">
        <f t="shared" si="97"/>
        <v/>
      </c>
      <c r="AN1549" s="5" t="str">
        <f t="shared" si="98"/>
        <v/>
      </c>
      <c r="AO1549" s="18" t="str">
        <f t="shared" si="99"/>
        <v/>
      </c>
      <c r="AP1549" s="19"/>
      <c r="AQ1549" s="20" t="str">
        <f t="shared" si="100"/>
        <v/>
      </c>
      <c r="AR1549" s="21"/>
    </row>
    <row r="1550" spans="2:44" ht="31.5" x14ac:dyDescent="0.5">
      <c r="B1550" s="1"/>
      <c r="C1550" s="15"/>
      <c r="D1550" s="16"/>
      <c r="E1550" s="15"/>
      <c r="F1550" s="17"/>
      <c r="G1550" s="8"/>
      <c r="H1550" s="8"/>
      <c r="I1550" s="8"/>
      <c r="J1550" s="8"/>
      <c r="K1550" s="8"/>
      <c r="L1550" s="8"/>
      <c r="M1550" s="8"/>
      <c r="N1550" s="8"/>
      <c r="O1550" s="8"/>
      <c r="P1550" s="8"/>
      <c r="Q1550" s="8"/>
      <c r="R1550" s="8"/>
      <c r="S1550" s="8"/>
      <c r="T1550" s="8"/>
      <c r="U1550" s="8"/>
      <c r="V1550" s="8"/>
      <c r="W1550" s="8"/>
      <c r="X1550" s="8"/>
      <c r="Y1550" s="8"/>
      <c r="Z1550" s="8"/>
      <c r="AA1550" s="8"/>
      <c r="AB1550" s="8"/>
      <c r="AC1550" s="8"/>
      <c r="AD1550" s="8"/>
      <c r="AE1550" s="8"/>
      <c r="AF1550" s="8"/>
      <c r="AG1550" s="8"/>
      <c r="AH1550" s="8"/>
      <c r="AI1550" s="8"/>
      <c r="AJ1550" s="8"/>
      <c r="AK1550" s="8"/>
      <c r="AL1550" s="4"/>
      <c r="AM1550" s="5" t="str">
        <f t="shared" si="97"/>
        <v/>
      </c>
      <c r="AN1550" s="5" t="str">
        <f t="shared" si="98"/>
        <v/>
      </c>
      <c r="AO1550" s="18" t="str">
        <f t="shared" si="99"/>
        <v/>
      </c>
      <c r="AP1550" s="19"/>
      <c r="AQ1550" s="20" t="str">
        <f t="shared" si="100"/>
        <v/>
      </c>
      <c r="AR1550" s="21"/>
    </row>
    <row r="1551" spans="2:44" ht="31.5" x14ac:dyDescent="0.5">
      <c r="B1551" s="1"/>
      <c r="C1551" s="15"/>
      <c r="D1551" s="16"/>
      <c r="E1551" s="15"/>
      <c r="F1551" s="17"/>
      <c r="G1551" s="8"/>
      <c r="H1551" s="8"/>
      <c r="I1551" s="8"/>
      <c r="J1551" s="8"/>
      <c r="K1551" s="8"/>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4"/>
      <c r="AM1551" s="5" t="str">
        <f t="shared" si="97"/>
        <v/>
      </c>
      <c r="AN1551" s="5" t="str">
        <f t="shared" si="98"/>
        <v/>
      </c>
      <c r="AO1551" s="18" t="str">
        <f t="shared" si="99"/>
        <v/>
      </c>
      <c r="AP1551" s="19"/>
      <c r="AQ1551" s="20" t="str">
        <f t="shared" si="100"/>
        <v/>
      </c>
      <c r="AR1551" s="21"/>
    </row>
    <row r="1552" spans="2:44" ht="31.5" x14ac:dyDescent="0.5">
      <c r="B1552" s="1"/>
      <c r="C1552" s="15"/>
      <c r="D1552" s="16"/>
      <c r="E1552" s="15"/>
      <c r="F1552" s="17"/>
      <c r="G1552" s="8"/>
      <c r="H1552" s="8"/>
      <c r="I1552" s="8"/>
      <c r="J1552" s="8"/>
      <c r="K1552" s="8"/>
      <c r="L1552" s="8"/>
      <c r="M1552" s="8"/>
      <c r="N1552" s="8"/>
      <c r="O1552" s="8"/>
      <c r="P1552" s="8"/>
      <c r="Q1552" s="8"/>
      <c r="R1552" s="8"/>
      <c r="S1552" s="8"/>
      <c r="T1552" s="8"/>
      <c r="U1552" s="8"/>
      <c r="V1552" s="8"/>
      <c r="W1552" s="8"/>
      <c r="X1552" s="8"/>
      <c r="Y1552" s="8"/>
      <c r="Z1552" s="8"/>
      <c r="AA1552" s="8"/>
      <c r="AB1552" s="8"/>
      <c r="AC1552" s="8"/>
      <c r="AD1552" s="8"/>
      <c r="AE1552" s="8"/>
      <c r="AF1552" s="8"/>
      <c r="AG1552" s="8"/>
      <c r="AH1552" s="8"/>
      <c r="AI1552" s="8"/>
      <c r="AJ1552" s="8"/>
      <c r="AK1552" s="8"/>
      <c r="AL1552" s="4"/>
      <c r="AM1552" s="5" t="str">
        <f t="shared" si="97"/>
        <v/>
      </c>
      <c r="AN1552" s="5" t="str">
        <f t="shared" si="98"/>
        <v/>
      </c>
      <c r="AO1552" s="18" t="str">
        <f t="shared" si="99"/>
        <v/>
      </c>
      <c r="AP1552" s="19"/>
      <c r="AQ1552" s="20" t="str">
        <f t="shared" si="100"/>
        <v/>
      </c>
      <c r="AR1552" s="21"/>
    </row>
    <row r="1553" spans="2:44" ht="31.5" x14ac:dyDescent="0.5">
      <c r="B1553" s="1"/>
      <c r="C1553" s="15"/>
      <c r="D1553" s="16"/>
      <c r="E1553" s="15"/>
      <c r="F1553" s="17"/>
      <c r="G1553" s="8"/>
      <c r="H1553" s="8"/>
      <c r="I1553" s="8"/>
      <c r="J1553" s="8"/>
      <c r="K1553" s="8"/>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4"/>
      <c r="AM1553" s="5" t="str">
        <f t="shared" si="97"/>
        <v/>
      </c>
      <c r="AN1553" s="5" t="str">
        <f t="shared" si="98"/>
        <v/>
      </c>
      <c r="AO1553" s="18" t="str">
        <f t="shared" si="99"/>
        <v/>
      </c>
      <c r="AP1553" s="19"/>
      <c r="AQ1553" s="20" t="str">
        <f t="shared" si="100"/>
        <v/>
      </c>
      <c r="AR1553" s="21"/>
    </row>
    <row r="1554" spans="2:44" ht="31.5" x14ac:dyDescent="0.5">
      <c r="B1554" s="1"/>
      <c r="C1554" s="15"/>
      <c r="D1554" s="16"/>
      <c r="E1554" s="15"/>
      <c r="F1554" s="17"/>
      <c r="G1554" s="8"/>
      <c r="H1554" s="8"/>
      <c r="I1554" s="8"/>
      <c r="J1554" s="8"/>
      <c r="K1554" s="8"/>
      <c r="L1554" s="8"/>
      <c r="M1554" s="8"/>
      <c r="N1554" s="8"/>
      <c r="O1554" s="8"/>
      <c r="P1554" s="8"/>
      <c r="Q1554" s="8"/>
      <c r="R1554" s="8"/>
      <c r="S1554" s="8"/>
      <c r="T1554" s="8"/>
      <c r="U1554" s="8"/>
      <c r="V1554" s="8"/>
      <c r="W1554" s="8"/>
      <c r="X1554" s="8"/>
      <c r="Y1554" s="8"/>
      <c r="Z1554" s="8"/>
      <c r="AA1554" s="8"/>
      <c r="AB1554" s="8"/>
      <c r="AC1554" s="8"/>
      <c r="AD1554" s="8"/>
      <c r="AE1554" s="8"/>
      <c r="AF1554" s="8"/>
      <c r="AG1554" s="8"/>
      <c r="AH1554" s="8"/>
      <c r="AI1554" s="8"/>
      <c r="AJ1554" s="8"/>
      <c r="AK1554" s="8"/>
      <c r="AL1554" s="4"/>
      <c r="AM1554" s="5" t="str">
        <f t="shared" si="97"/>
        <v/>
      </c>
      <c r="AN1554" s="5" t="str">
        <f t="shared" si="98"/>
        <v/>
      </c>
      <c r="AO1554" s="18" t="str">
        <f t="shared" si="99"/>
        <v/>
      </c>
      <c r="AP1554" s="19"/>
      <c r="AQ1554" s="20" t="str">
        <f t="shared" si="100"/>
        <v/>
      </c>
      <c r="AR1554" s="21"/>
    </row>
    <row r="1555" spans="2:44" ht="31.5" x14ac:dyDescent="0.5">
      <c r="B1555" s="1"/>
      <c r="C1555" s="15"/>
      <c r="D1555" s="16"/>
      <c r="E1555" s="15"/>
      <c r="F1555" s="17"/>
      <c r="G1555" s="8"/>
      <c r="H1555" s="8"/>
      <c r="I1555" s="8"/>
      <c r="J1555" s="8"/>
      <c r="K1555" s="8"/>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4"/>
      <c r="AM1555" s="5" t="str">
        <f t="shared" si="97"/>
        <v/>
      </c>
      <c r="AN1555" s="5" t="str">
        <f t="shared" si="98"/>
        <v/>
      </c>
      <c r="AO1555" s="18" t="str">
        <f t="shared" si="99"/>
        <v/>
      </c>
      <c r="AP1555" s="19"/>
      <c r="AQ1555" s="20" t="str">
        <f t="shared" si="100"/>
        <v/>
      </c>
      <c r="AR1555" s="21"/>
    </row>
    <row r="1556" spans="2:44" ht="31.5" x14ac:dyDescent="0.5">
      <c r="B1556" s="1"/>
      <c r="C1556" s="15"/>
      <c r="D1556" s="16"/>
      <c r="E1556" s="15"/>
      <c r="F1556" s="17"/>
      <c r="G1556" s="8"/>
      <c r="H1556" s="8"/>
      <c r="I1556" s="8"/>
      <c r="J1556" s="8"/>
      <c r="K1556" s="8"/>
      <c r="L1556" s="8"/>
      <c r="M1556" s="8"/>
      <c r="N1556" s="8"/>
      <c r="O1556" s="8"/>
      <c r="P1556" s="8"/>
      <c r="Q1556" s="8"/>
      <c r="R1556" s="8"/>
      <c r="S1556" s="8"/>
      <c r="T1556" s="8"/>
      <c r="U1556" s="8"/>
      <c r="V1556" s="8"/>
      <c r="W1556" s="8"/>
      <c r="X1556" s="8"/>
      <c r="Y1556" s="8"/>
      <c r="Z1556" s="8"/>
      <c r="AA1556" s="8"/>
      <c r="AB1556" s="8"/>
      <c r="AC1556" s="8"/>
      <c r="AD1556" s="8"/>
      <c r="AE1556" s="8"/>
      <c r="AF1556" s="8"/>
      <c r="AG1556" s="8"/>
      <c r="AH1556" s="8"/>
      <c r="AI1556" s="8"/>
      <c r="AJ1556" s="8"/>
      <c r="AK1556" s="8"/>
      <c r="AL1556" s="4"/>
      <c r="AM1556" s="5" t="str">
        <f t="shared" si="97"/>
        <v/>
      </c>
      <c r="AN1556" s="5" t="str">
        <f t="shared" si="98"/>
        <v/>
      </c>
      <c r="AO1556" s="18" t="str">
        <f t="shared" si="99"/>
        <v/>
      </c>
      <c r="AP1556" s="19"/>
      <c r="AQ1556" s="20" t="str">
        <f t="shared" si="100"/>
        <v/>
      </c>
      <c r="AR1556" s="21"/>
    </row>
    <row r="1557" spans="2:44" ht="31.5" x14ac:dyDescent="0.5">
      <c r="B1557" s="1"/>
      <c r="C1557" s="15"/>
      <c r="D1557" s="16"/>
      <c r="E1557" s="15"/>
      <c r="F1557" s="17"/>
      <c r="G1557" s="8"/>
      <c r="H1557" s="8"/>
      <c r="I1557" s="8"/>
      <c r="J1557" s="8"/>
      <c r="K1557" s="8"/>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4"/>
      <c r="AM1557" s="5" t="str">
        <f t="shared" si="97"/>
        <v/>
      </c>
      <c r="AN1557" s="5" t="str">
        <f t="shared" si="98"/>
        <v/>
      </c>
      <c r="AO1557" s="18" t="str">
        <f t="shared" si="99"/>
        <v/>
      </c>
      <c r="AP1557" s="19"/>
      <c r="AQ1557" s="20" t="str">
        <f t="shared" si="100"/>
        <v/>
      </c>
      <c r="AR1557" s="21"/>
    </row>
    <row r="1558" spans="2:44" ht="31.5" x14ac:dyDescent="0.5">
      <c r="B1558" s="1"/>
      <c r="C1558" s="15"/>
      <c r="D1558" s="16"/>
      <c r="E1558" s="15"/>
      <c r="F1558" s="17"/>
      <c r="G1558" s="8"/>
      <c r="H1558" s="8"/>
      <c r="I1558" s="8"/>
      <c r="J1558" s="8"/>
      <c r="K1558" s="8"/>
      <c r="L1558" s="8"/>
      <c r="M1558" s="8"/>
      <c r="N1558" s="8"/>
      <c r="O1558" s="8"/>
      <c r="P1558" s="8"/>
      <c r="Q1558" s="8"/>
      <c r="R1558" s="8"/>
      <c r="S1558" s="8"/>
      <c r="T1558" s="8"/>
      <c r="U1558" s="8"/>
      <c r="V1558" s="8"/>
      <c r="W1558" s="8"/>
      <c r="X1558" s="8"/>
      <c r="Y1558" s="8"/>
      <c r="Z1558" s="8"/>
      <c r="AA1558" s="8"/>
      <c r="AB1558" s="8"/>
      <c r="AC1558" s="8"/>
      <c r="AD1558" s="8"/>
      <c r="AE1558" s="8"/>
      <c r="AF1558" s="8"/>
      <c r="AG1558" s="8"/>
      <c r="AH1558" s="8"/>
      <c r="AI1558" s="8"/>
      <c r="AJ1558" s="8"/>
      <c r="AK1558" s="8"/>
      <c r="AL1558" s="4"/>
      <c r="AM1558" s="5" t="str">
        <f t="shared" si="97"/>
        <v/>
      </c>
      <c r="AN1558" s="5" t="str">
        <f t="shared" si="98"/>
        <v/>
      </c>
      <c r="AO1558" s="18" t="str">
        <f t="shared" si="99"/>
        <v/>
      </c>
      <c r="AP1558" s="19"/>
      <c r="AQ1558" s="20" t="str">
        <f t="shared" si="100"/>
        <v/>
      </c>
      <c r="AR1558" s="21"/>
    </row>
    <row r="1559" spans="2:44" ht="31.5" x14ac:dyDescent="0.5">
      <c r="B1559" s="1"/>
      <c r="C1559" s="15"/>
      <c r="D1559" s="16"/>
      <c r="E1559" s="15"/>
      <c r="F1559" s="17"/>
      <c r="G1559" s="8"/>
      <c r="H1559" s="8"/>
      <c r="I1559" s="8"/>
      <c r="J1559" s="8"/>
      <c r="K1559" s="8"/>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4"/>
      <c r="AM1559" s="5" t="str">
        <f t="shared" si="97"/>
        <v/>
      </c>
      <c r="AN1559" s="5" t="str">
        <f t="shared" si="98"/>
        <v/>
      </c>
      <c r="AO1559" s="18" t="str">
        <f t="shared" si="99"/>
        <v/>
      </c>
      <c r="AP1559" s="19"/>
      <c r="AQ1559" s="20" t="str">
        <f t="shared" si="100"/>
        <v/>
      </c>
      <c r="AR1559" s="21"/>
    </row>
    <row r="1560" spans="2:44" ht="31.5" x14ac:dyDescent="0.5">
      <c r="B1560" s="1"/>
      <c r="C1560" s="15"/>
      <c r="D1560" s="16"/>
      <c r="E1560" s="15"/>
      <c r="F1560" s="17"/>
      <c r="G1560" s="8"/>
      <c r="H1560" s="8"/>
      <c r="I1560" s="8"/>
      <c r="J1560" s="8"/>
      <c r="K1560" s="8"/>
      <c r="L1560" s="8"/>
      <c r="M1560" s="8"/>
      <c r="N1560" s="8"/>
      <c r="O1560" s="8"/>
      <c r="P1560" s="8"/>
      <c r="Q1560" s="8"/>
      <c r="R1560" s="8"/>
      <c r="S1560" s="8"/>
      <c r="T1560" s="8"/>
      <c r="U1560" s="8"/>
      <c r="V1560" s="8"/>
      <c r="W1560" s="8"/>
      <c r="X1560" s="8"/>
      <c r="Y1560" s="8"/>
      <c r="Z1560" s="8"/>
      <c r="AA1560" s="8"/>
      <c r="AB1560" s="8"/>
      <c r="AC1560" s="8"/>
      <c r="AD1560" s="8"/>
      <c r="AE1560" s="8"/>
      <c r="AF1560" s="8"/>
      <c r="AG1560" s="8"/>
      <c r="AH1560" s="8"/>
      <c r="AI1560" s="8"/>
      <c r="AJ1560" s="8"/>
      <c r="AK1560" s="8"/>
      <c r="AL1560" s="4"/>
      <c r="AM1560" s="5" t="str">
        <f t="shared" si="97"/>
        <v/>
      </c>
      <c r="AN1560" s="5" t="str">
        <f t="shared" si="98"/>
        <v/>
      </c>
      <c r="AO1560" s="18" t="str">
        <f t="shared" si="99"/>
        <v/>
      </c>
      <c r="AP1560" s="19"/>
      <c r="AQ1560" s="20" t="str">
        <f t="shared" si="100"/>
        <v/>
      </c>
      <c r="AR1560" s="21"/>
    </row>
    <row r="1561" spans="2:44" ht="31.5" x14ac:dyDescent="0.5">
      <c r="B1561" s="1"/>
      <c r="C1561" s="15"/>
      <c r="D1561" s="16"/>
      <c r="E1561" s="15"/>
      <c r="F1561" s="17"/>
      <c r="G1561" s="8"/>
      <c r="H1561" s="8"/>
      <c r="I1561" s="8"/>
      <c r="J1561" s="8"/>
      <c r="K1561" s="8"/>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4"/>
      <c r="AM1561" s="5" t="str">
        <f t="shared" si="97"/>
        <v/>
      </c>
      <c r="AN1561" s="5" t="str">
        <f t="shared" si="98"/>
        <v/>
      </c>
      <c r="AO1561" s="18" t="str">
        <f t="shared" si="99"/>
        <v/>
      </c>
      <c r="AP1561" s="19"/>
      <c r="AQ1561" s="20" t="str">
        <f t="shared" si="100"/>
        <v/>
      </c>
      <c r="AR1561" s="21"/>
    </row>
    <row r="1562" spans="2:44" ht="31.5" x14ac:dyDescent="0.5">
      <c r="B1562" s="1"/>
      <c r="C1562" s="15"/>
      <c r="D1562" s="16"/>
      <c r="E1562" s="15"/>
      <c r="F1562" s="17"/>
      <c r="G1562" s="8"/>
      <c r="H1562" s="8"/>
      <c r="I1562" s="8"/>
      <c r="J1562" s="8"/>
      <c r="K1562" s="8"/>
      <c r="L1562" s="8"/>
      <c r="M1562" s="8"/>
      <c r="N1562" s="8"/>
      <c r="O1562" s="8"/>
      <c r="P1562" s="8"/>
      <c r="Q1562" s="8"/>
      <c r="R1562" s="8"/>
      <c r="S1562" s="8"/>
      <c r="T1562" s="8"/>
      <c r="U1562" s="8"/>
      <c r="V1562" s="8"/>
      <c r="W1562" s="8"/>
      <c r="X1562" s="8"/>
      <c r="Y1562" s="8"/>
      <c r="Z1562" s="8"/>
      <c r="AA1562" s="8"/>
      <c r="AB1562" s="8"/>
      <c r="AC1562" s="8"/>
      <c r="AD1562" s="8"/>
      <c r="AE1562" s="8"/>
      <c r="AF1562" s="8"/>
      <c r="AG1562" s="8"/>
      <c r="AH1562" s="8"/>
      <c r="AI1562" s="8"/>
      <c r="AJ1562" s="8"/>
      <c r="AK1562" s="8"/>
      <c r="AL1562" s="4"/>
      <c r="AM1562" s="5" t="str">
        <f t="shared" si="97"/>
        <v/>
      </c>
      <c r="AN1562" s="5" t="str">
        <f t="shared" si="98"/>
        <v/>
      </c>
      <c r="AO1562" s="18" t="str">
        <f t="shared" si="99"/>
        <v/>
      </c>
      <c r="AP1562" s="19"/>
      <c r="AQ1562" s="20" t="str">
        <f t="shared" si="100"/>
        <v/>
      </c>
      <c r="AR1562" s="21"/>
    </row>
    <row r="1563" spans="2:44" ht="31.5" x14ac:dyDescent="0.5">
      <c r="B1563" s="1"/>
      <c r="C1563" s="15"/>
      <c r="D1563" s="16"/>
      <c r="E1563" s="15"/>
      <c r="F1563" s="17"/>
      <c r="G1563" s="8"/>
      <c r="H1563" s="8"/>
      <c r="I1563" s="8"/>
      <c r="J1563" s="8"/>
      <c r="K1563" s="8"/>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4"/>
      <c r="AM1563" s="5" t="str">
        <f t="shared" si="97"/>
        <v/>
      </c>
      <c r="AN1563" s="5" t="str">
        <f t="shared" si="98"/>
        <v/>
      </c>
      <c r="AO1563" s="18" t="str">
        <f t="shared" si="99"/>
        <v/>
      </c>
      <c r="AP1563" s="19"/>
      <c r="AQ1563" s="20" t="str">
        <f t="shared" si="100"/>
        <v/>
      </c>
      <c r="AR1563" s="21"/>
    </row>
    <row r="1564" spans="2:44" ht="31.5" x14ac:dyDescent="0.5">
      <c r="B1564" s="1"/>
      <c r="C1564" s="15"/>
      <c r="D1564" s="16"/>
      <c r="E1564" s="15"/>
      <c r="F1564" s="17"/>
      <c r="G1564" s="8"/>
      <c r="H1564" s="8"/>
      <c r="I1564" s="8"/>
      <c r="J1564" s="8"/>
      <c r="K1564" s="8"/>
      <c r="L1564" s="8"/>
      <c r="M1564" s="8"/>
      <c r="N1564" s="8"/>
      <c r="O1564" s="8"/>
      <c r="P1564" s="8"/>
      <c r="Q1564" s="8"/>
      <c r="R1564" s="8"/>
      <c r="S1564" s="8"/>
      <c r="T1564" s="8"/>
      <c r="U1564" s="8"/>
      <c r="V1564" s="8"/>
      <c r="W1564" s="8"/>
      <c r="X1564" s="8"/>
      <c r="Y1564" s="8"/>
      <c r="Z1564" s="8"/>
      <c r="AA1564" s="8"/>
      <c r="AB1564" s="8"/>
      <c r="AC1564" s="8"/>
      <c r="AD1564" s="8"/>
      <c r="AE1564" s="8"/>
      <c r="AF1564" s="8"/>
      <c r="AG1564" s="8"/>
      <c r="AH1564" s="8"/>
      <c r="AI1564" s="8"/>
      <c r="AJ1564" s="8"/>
      <c r="AK1564" s="8"/>
      <c r="AL1564" s="4"/>
      <c r="AM1564" s="5" t="str">
        <f t="shared" si="97"/>
        <v/>
      </c>
      <c r="AN1564" s="5" t="str">
        <f t="shared" si="98"/>
        <v/>
      </c>
      <c r="AO1564" s="18" t="str">
        <f t="shared" si="99"/>
        <v/>
      </c>
      <c r="AP1564" s="19"/>
      <c r="AQ1564" s="20" t="str">
        <f t="shared" si="100"/>
        <v/>
      </c>
      <c r="AR1564" s="21"/>
    </row>
    <row r="1565" spans="2:44" ht="31.5" x14ac:dyDescent="0.5">
      <c r="B1565" s="1"/>
      <c r="C1565" s="15"/>
      <c r="D1565" s="16"/>
      <c r="E1565" s="15"/>
      <c r="F1565" s="17"/>
      <c r="G1565" s="8"/>
      <c r="H1565" s="8"/>
      <c r="I1565" s="8"/>
      <c r="J1565" s="8"/>
      <c r="K1565" s="8"/>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4"/>
      <c r="AM1565" s="5" t="str">
        <f t="shared" si="97"/>
        <v/>
      </c>
      <c r="AN1565" s="5" t="str">
        <f t="shared" si="98"/>
        <v/>
      </c>
      <c r="AO1565" s="18" t="str">
        <f t="shared" si="99"/>
        <v/>
      </c>
      <c r="AP1565" s="19"/>
      <c r="AQ1565" s="20" t="str">
        <f t="shared" si="100"/>
        <v/>
      </c>
      <c r="AR1565" s="21"/>
    </row>
    <row r="1566" spans="2:44" ht="31.5" x14ac:dyDescent="0.5">
      <c r="B1566" s="1"/>
      <c r="C1566" s="15"/>
      <c r="D1566" s="16"/>
      <c r="E1566" s="15"/>
      <c r="F1566" s="17"/>
      <c r="G1566" s="8"/>
      <c r="H1566" s="8"/>
      <c r="I1566" s="8"/>
      <c r="J1566" s="8"/>
      <c r="K1566" s="8"/>
      <c r="L1566" s="8"/>
      <c r="M1566" s="8"/>
      <c r="N1566" s="8"/>
      <c r="O1566" s="8"/>
      <c r="P1566" s="8"/>
      <c r="Q1566" s="8"/>
      <c r="R1566" s="8"/>
      <c r="S1566" s="8"/>
      <c r="T1566" s="8"/>
      <c r="U1566" s="8"/>
      <c r="V1566" s="8"/>
      <c r="W1566" s="8"/>
      <c r="X1566" s="8"/>
      <c r="Y1566" s="8"/>
      <c r="Z1566" s="8"/>
      <c r="AA1566" s="8"/>
      <c r="AB1566" s="8"/>
      <c r="AC1566" s="8"/>
      <c r="AD1566" s="8"/>
      <c r="AE1566" s="8"/>
      <c r="AF1566" s="8"/>
      <c r="AG1566" s="8"/>
      <c r="AH1566" s="8"/>
      <c r="AI1566" s="8"/>
      <c r="AJ1566" s="8"/>
      <c r="AK1566" s="8"/>
      <c r="AL1566" s="4"/>
      <c r="AM1566" s="5" t="str">
        <f t="shared" si="97"/>
        <v/>
      </c>
      <c r="AN1566" s="5" t="str">
        <f t="shared" si="98"/>
        <v/>
      </c>
      <c r="AO1566" s="18" t="str">
        <f t="shared" si="99"/>
        <v/>
      </c>
      <c r="AP1566" s="19"/>
      <c r="AQ1566" s="20" t="str">
        <f t="shared" si="100"/>
        <v/>
      </c>
      <c r="AR1566" s="21"/>
    </row>
    <row r="1567" spans="2:44" ht="31.5" x14ac:dyDescent="0.5">
      <c r="B1567" s="1"/>
      <c r="C1567" s="15"/>
      <c r="D1567" s="16"/>
      <c r="E1567" s="15"/>
      <c r="F1567" s="17"/>
      <c r="G1567" s="8"/>
      <c r="H1567" s="8"/>
      <c r="I1567" s="8"/>
      <c r="J1567" s="8"/>
      <c r="K1567" s="8"/>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4"/>
      <c r="AM1567" s="5" t="str">
        <f t="shared" si="97"/>
        <v/>
      </c>
      <c r="AN1567" s="5" t="str">
        <f t="shared" si="98"/>
        <v/>
      </c>
      <c r="AO1567" s="18" t="str">
        <f t="shared" si="99"/>
        <v/>
      </c>
      <c r="AP1567" s="19"/>
      <c r="AQ1567" s="20" t="str">
        <f t="shared" si="100"/>
        <v/>
      </c>
      <c r="AR1567" s="21"/>
    </row>
    <row r="1568" spans="2:44" ht="31.5" x14ac:dyDescent="0.5">
      <c r="B1568" s="1"/>
      <c r="C1568" s="15"/>
      <c r="D1568" s="16"/>
      <c r="E1568" s="15"/>
      <c r="F1568" s="17"/>
      <c r="G1568" s="8"/>
      <c r="H1568" s="8"/>
      <c r="I1568" s="8"/>
      <c r="J1568" s="8"/>
      <c r="K1568" s="8"/>
      <c r="L1568" s="8"/>
      <c r="M1568" s="8"/>
      <c r="N1568" s="8"/>
      <c r="O1568" s="8"/>
      <c r="P1568" s="8"/>
      <c r="Q1568" s="8"/>
      <c r="R1568" s="8"/>
      <c r="S1568" s="8"/>
      <c r="T1568" s="8"/>
      <c r="U1568" s="8"/>
      <c r="V1568" s="8"/>
      <c r="W1568" s="8"/>
      <c r="X1568" s="8"/>
      <c r="Y1568" s="8"/>
      <c r="Z1568" s="8"/>
      <c r="AA1568" s="8"/>
      <c r="AB1568" s="8"/>
      <c r="AC1568" s="8"/>
      <c r="AD1568" s="8"/>
      <c r="AE1568" s="8"/>
      <c r="AF1568" s="8"/>
      <c r="AG1568" s="8"/>
      <c r="AH1568" s="8"/>
      <c r="AI1568" s="8"/>
      <c r="AJ1568" s="8"/>
      <c r="AK1568" s="8"/>
      <c r="AL1568" s="4"/>
      <c r="AM1568" s="5" t="str">
        <f t="shared" si="97"/>
        <v/>
      </c>
      <c r="AN1568" s="5" t="str">
        <f t="shared" si="98"/>
        <v/>
      </c>
      <c r="AO1568" s="18" t="str">
        <f t="shared" si="99"/>
        <v/>
      </c>
      <c r="AP1568" s="19"/>
      <c r="AQ1568" s="20" t="str">
        <f t="shared" si="100"/>
        <v/>
      </c>
      <c r="AR1568" s="21"/>
    </row>
    <row r="1569" spans="2:44" ht="31.5" x14ac:dyDescent="0.5">
      <c r="B1569" s="1"/>
      <c r="C1569" s="15"/>
      <c r="D1569" s="16"/>
      <c r="E1569" s="15"/>
      <c r="F1569" s="17"/>
      <c r="G1569" s="8"/>
      <c r="H1569" s="8"/>
      <c r="I1569" s="8"/>
      <c r="J1569" s="8"/>
      <c r="K1569" s="8"/>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4"/>
      <c r="AM1569" s="5" t="str">
        <f t="shared" si="97"/>
        <v/>
      </c>
      <c r="AN1569" s="5" t="str">
        <f t="shared" si="98"/>
        <v/>
      </c>
      <c r="AO1569" s="18" t="str">
        <f t="shared" si="99"/>
        <v/>
      </c>
      <c r="AP1569" s="19"/>
      <c r="AQ1569" s="20" t="str">
        <f t="shared" si="100"/>
        <v/>
      </c>
      <c r="AR1569" s="21"/>
    </row>
    <row r="1570" spans="2:44" ht="31.5" x14ac:dyDescent="0.5">
      <c r="B1570" s="1"/>
      <c r="C1570" s="15"/>
      <c r="D1570" s="16"/>
      <c r="E1570" s="15"/>
      <c r="F1570" s="17"/>
      <c r="G1570" s="8"/>
      <c r="H1570" s="8"/>
      <c r="I1570" s="8"/>
      <c r="J1570" s="8"/>
      <c r="K1570" s="8"/>
      <c r="L1570" s="8"/>
      <c r="M1570" s="8"/>
      <c r="N1570" s="8"/>
      <c r="O1570" s="8"/>
      <c r="P1570" s="8"/>
      <c r="Q1570" s="8"/>
      <c r="R1570" s="8"/>
      <c r="S1570" s="8"/>
      <c r="T1570" s="8"/>
      <c r="U1570" s="8"/>
      <c r="V1570" s="8"/>
      <c r="W1570" s="8"/>
      <c r="X1570" s="8"/>
      <c r="Y1570" s="8"/>
      <c r="Z1570" s="8"/>
      <c r="AA1570" s="8"/>
      <c r="AB1570" s="8"/>
      <c r="AC1570" s="8"/>
      <c r="AD1570" s="8"/>
      <c r="AE1570" s="8"/>
      <c r="AF1570" s="8"/>
      <c r="AG1570" s="8"/>
      <c r="AH1570" s="8"/>
      <c r="AI1570" s="8"/>
      <c r="AJ1570" s="8"/>
      <c r="AK1570" s="8"/>
      <c r="AL1570" s="4"/>
      <c r="AM1570" s="5" t="str">
        <f t="shared" si="97"/>
        <v/>
      </c>
      <c r="AN1570" s="5" t="str">
        <f t="shared" si="98"/>
        <v/>
      </c>
      <c r="AO1570" s="18" t="str">
        <f t="shared" si="99"/>
        <v/>
      </c>
      <c r="AP1570" s="19"/>
      <c r="AQ1570" s="20" t="str">
        <f t="shared" si="100"/>
        <v/>
      </c>
      <c r="AR1570" s="21"/>
    </row>
    <row r="1571" spans="2:44" ht="31.5" x14ac:dyDescent="0.5">
      <c r="B1571" s="1"/>
      <c r="C1571" s="15"/>
      <c r="D1571" s="16"/>
      <c r="E1571" s="15"/>
      <c r="F1571" s="17"/>
      <c r="G1571" s="8"/>
      <c r="H1571" s="8"/>
      <c r="I1571" s="8"/>
      <c r="J1571" s="8"/>
      <c r="K1571" s="8"/>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4"/>
      <c r="AM1571" s="5" t="str">
        <f t="shared" si="97"/>
        <v/>
      </c>
      <c r="AN1571" s="5" t="str">
        <f t="shared" si="98"/>
        <v/>
      </c>
      <c r="AO1571" s="18" t="str">
        <f t="shared" si="99"/>
        <v/>
      </c>
      <c r="AP1571" s="19"/>
      <c r="AQ1571" s="20" t="str">
        <f t="shared" si="100"/>
        <v/>
      </c>
      <c r="AR1571" s="21"/>
    </row>
    <row r="1572" spans="2:44" ht="31.5" x14ac:dyDescent="0.5">
      <c r="B1572" s="1"/>
      <c r="C1572" s="15"/>
      <c r="D1572" s="16"/>
      <c r="E1572" s="15"/>
      <c r="F1572" s="17"/>
      <c r="G1572" s="8"/>
      <c r="H1572" s="8"/>
      <c r="I1572" s="8"/>
      <c r="J1572" s="8"/>
      <c r="K1572" s="8"/>
      <c r="L1572" s="8"/>
      <c r="M1572" s="8"/>
      <c r="N1572" s="8"/>
      <c r="O1572" s="8"/>
      <c r="P1572" s="8"/>
      <c r="Q1572" s="8"/>
      <c r="R1572" s="8"/>
      <c r="S1572" s="8"/>
      <c r="T1572" s="8"/>
      <c r="U1572" s="8"/>
      <c r="V1572" s="8"/>
      <c r="W1572" s="8"/>
      <c r="X1572" s="8"/>
      <c r="Y1572" s="8"/>
      <c r="Z1572" s="8"/>
      <c r="AA1572" s="8"/>
      <c r="AB1572" s="8"/>
      <c r="AC1572" s="8"/>
      <c r="AD1572" s="8"/>
      <c r="AE1572" s="8"/>
      <c r="AF1572" s="8"/>
      <c r="AG1572" s="8"/>
      <c r="AH1572" s="8"/>
      <c r="AI1572" s="8"/>
      <c r="AJ1572" s="8"/>
      <c r="AK1572" s="8"/>
      <c r="AL1572" s="4"/>
      <c r="AM1572" s="5" t="str">
        <f t="shared" si="97"/>
        <v/>
      </c>
      <c r="AN1572" s="5" t="str">
        <f t="shared" si="98"/>
        <v/>
      </c>
      <c r="AO1572" s="18" t="str">
        <f t="shared" si="99"/>
        <v/>
      </c>
      <c r="AP1572" s="19"/>
      <c r="AQ1572" s="20" t="str">
        <f t="shared" si="100"/>
        <v/>
      </c>
      <c r="AR1572" s="21"/>
    </row>
    <row r="1573" spans="2:44" ht="31.5" x14ac:dyDescent="0.5">
      <c r="B1573" s="1"/>
      <c r="C1573" s="15"/>
      <c r="D1573" s="16"/>
      <c r="E1573" s="15"/>
      <c r="F1573" s="17"/>
      <c r="G1573" s="8"/>
      <c r="H1573" s="8"/>
      <c r="I1573" s="8"/>
      <c r="J1573" s="8"/>
      <c r="K1573" s="8"/>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4"/>
      <c r="AM1573" s="5" t="str">
        <f t="shared" si="97"/>
        <v/>
      </c>
      <c r="AN1573" s="5" t="str">
        <f t="shared" si="98"/>
        <v/>
      </c>
      <c r="AO1573" s="18" t="str">
        <f t="shared" si="99"/>
        <v/>
      </c>
      <c r="AP1573" s="19"/>
      <c r="AQ1573" s="20" t="str">
        <f t="shared" si="100"/>
        <v/>
      </c>
      <c r="AR1573" s="21"/>
    </row>
    <row r="1574" spans="2:44" ht="31.5" x14ac:dyDescent="0.5">
      <c r="B1574" s="1"/>
      <c r="C1574" s="15"/>
      <c r="D1574" s="16"/>
      <c r="E1574" s="15"/>
      <c r="F1574" s="17"/>
      <c r="G1574" s="8"/>
      <c r="H1574" s="8"/>
      <c r="I1574" s="8"/>
      <c r="J1574" s="8"/>
      <c r="K1574" s="8"/>
      <c r="L1574" s="8"/>
      <c r="M1574" s="8"/>
      <c r="N1574" s="8"/>
      <c r="O1574" s="8"/>
      <c r="P1574" s="8"/>
      <c r="Q1574" s="8"/>
      <c r="R1574" s="8"/>
      <c r="S1574" s="8"/>
      <c r="T1574" s="8"/>
      <c r="U1574" s="8"/>
      <c r="V1574" s="8"/>
      <c r="W1574" s="8"/>
      <c r="X1574" s="8"/>
      <c r="Y1574" s="8"/>
      <c r="Z1574" s="8"/>
      <c r="AA1574" s="8"/>
      <c r="AB1574" s="8"/>
      <c r="AC1574" s="8"/>
      <c r="AD1574" s="8"/>
      <c r="AE1574" s="8"/>
      <c r="AF1574" s="8"/>
      <c r="AG1574" s="8"/>
      <c r="AH1574" s="8"/>
      <c r="AI1574" s="8"/>
      <c r="AJ1574" s="8"/>
      <c r="AK1574" s="8"/>
      <c r="AL1574" s="4"/>
      <c r="AM1574" s="5" t="str">
        <f t="shared" si="97"/>
        <v/>
      </c>
      <c r="AN1574" s="5" t="str">
        <f t="shared" si="98"/>
        <v/>
      </c>
      <c r="AO1574" s="18" t="str">
        <f t="shared" si="99"/>
        <v/>
      </c>
      <c r="AP1574" s="19"/>
      <c r="AQ1574" s="20" t="str">
        <f t="shared" si="100"/>
        <v/>
      </c>
      <c r="AR1574" s="21"/>
    </row>
    <row r="1575" spans="2:44" ht="31.5" x14ac:dyDescent="0.5">
      <c r="B1575" s="1"/>
      <c r="C1575" s="15"/>
      <c r="D1575" s="16"/>
      <c r="E1575" s="15"/>
      <c r="F1575" s="17"/>
      <c r="G1575" s="8"/>
      <c r="H1575" s="8"/>
      <c r="I1575" s="8"/>
      <c r="J1575" s="8"/>
      <c r="K1575" s="8"/>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4"/>
      <c r="AM1575" s="5" t="str">
        <f t="shared" si="97"/>
        <v/>
      </c>
      <c r="AN1575" s="5" t="str">
        <f t="shared" si="98"/>
        <v/>
      </c>
      <c r="AO1575" s="18" t="str">
        <f t="shared" si="99"/>
        <v/>
      </c>
      <c r="AP1575" s="19"/>
      <c r="AQ1575" s="20" t="str">
        <f t="shared" si="100"/>
        <v/>
      </c>
      <c r="AR1575" s="21"/>
    </row>
    <row r="1576" spans="2:44" ht="31.5" x14ac:dyDescent="0.5">
      <c r="B1576" s="1"/>
      <c r="C1576" s="15"/>
      <c r="D1576" s="16"/>
      <c r="E1576" s="15"/>
      <c r="F1576" s="17"/>
      <c r="G1576" s="8"/>
      <c r="H1576" s="8"/>
      <c r="I1576" s="8"/>
      <c r="J1576" s="8"/>
      <c r="K1576" s="8"/>
      <c r="L1576" s="8"/>
      <c r="M1576" s="8"/>
      <c r="N1576" s="8"/>
      <c r="O1576" s="8"/>
      <c r="P1576" s="8"/>
      <c r="Q1576" s="8"/>
      <c r="R1576" s="8"/>
      <c r="S1576" s="8"/>
      <c r="T1576" s="8"/>
      <c r="U1576" s="8"/>
      <c r="V1576" s="8"/>
      <c r="W1576" s="8"/>
      <c r="X1576" s="8"/>
      <c r="Y1576" s="8"/>
      <c r="Z1576" s="8"/>
      <c r="AA1576" s="8"/>
      <c r="AB1576" s="8"/>
      <c r="AC1576" s="8"/>
      <c r="AD1576" s="8"/>
      <c r="AE1576" s="8"/>
      <c r="AF1576" s="8"/>
      <c r="AG1576" s="8"/>
      <c r="AH1576" s="8"/>
      <c r="AI1576" s="8"/>
      <c r="AJ1576" s="8"/>
      <c r="AK1576" s="8"/>
      <c r="AL1576" s="4"/>
      <c r="AM1576" s="5" t="str">
        <f t="shared" si="97"/>
        <v/>
      </c>
      <c r="AN1576" s="5" t="str">
        <f t="shared" si="98"/>
        <v/>
      </c>
      <c r="AO1576" s="18" t="str">
        <f t="shared" si="99"/>
        <v/>
      </c>
      <c r="AP1576" s="19"/>
      <c r="AQ1576" s="20" t="str">
        <f t="shared" si="100"/>
        <v/>
      </c>
      <c r="AR1576" s="21"/>
    </row>
    <row r="1577" spans="2:44" ht="31.5" x14ac:dyDescent="0.5">
      <c r="B1577" s="1"/>
      <c r="C1577" s="15"/>
      <c r="D1577" s="16"/>
      <c r="E1577" s="15"/>
      <c r="F1577" s="17"/>
      <c r="G1577" s="8"/>
      <c r="H1577" s="8"/>
      <c r="I1577" s="8"/>
      <c r="J1577" s="8"/>
      <c r="K1577" s="8"/>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4"/>
      <c r="AM1577" s="5" t="str">
        <f t="shared" si="97"/>
        <v/>
      </c>
      <c r="AN1577" s="5" t="str">
        <f t="shared" si="98"/>
        <v/>
      </c>
      <c r="AO1577" s="18" t="str">
        <f t="shared" si="99"/>
        <v/>
      </c>
      <c r="AP1577" s="19"/>
      <c r="AQ1577" s="20" t="str">
        <f t="shared" si="100"/>
        <v/>
      </c>
      <c r="AR1577" s="21"/>
    </row>
    <row r="1578" spans="2:44" ht="31.5" x14ac:dyDescent="0.5">
      <c r="B1578" s="1"/>
      <c r="C1578" s="15"/>
      <c r="D1578" s="16"/>
      <c r="E1578" s="15"/>
      <c r="F1578" s="17"/>
      <c r="G1578" s="8"/>
      <c r="H1578" s="8"/>
      <c r="I1578" s="8"/>
      <c r="J1578" s="8"/>
      <c r="K1578" s="8"/>
      <c r="L1578" s="8"/>
      <c r="M1578" s="8"/>
      <c r="N1578" s="8"/>
      <c r="O1578" s="8"/>
      <c r="P1578" s="8"/>
      <c r="Q1578" s="8"/>
      <c r="R1578" s="8"/>
      <c r="S1578" s="8"/>
      <c r="T1578" s="8"/>
      <c r="U1578" s="8"/>
      <c r="V1578" s="8"/>
      <c r="W1578" s="8"/>
      <c r="X1578" s="8"/>
      <c r="Y1578" s="8"/>
      <c r="Z1578" s="8"/>
      <c r="AA1578" s="8"/>
      <c r="AB1578" s="8"/>
      <c r="AC1578" s="8"/>
      <c r="AD1578" s="8"/>
      <c r="AE1578" s="8"/>
      <c r="AF1578" s="8"/>
      <c r="AG1578" s="8"/>
      <c r="AH1578" s="8"/>
      <c r="AI1578" s="8"/>
      <c r="AJ1578" s="8"/>
      <c r="AK1578" s="8"/>
      <c r="AL1578" s="4"/>
      <c r="AM1578" s="5" t="str">
        <f t="shared" si="97"/>
        <v/>
      </c>
      <c r="AN1578" s="5" t="str">
        <f t="shared" si="98"/>
        <v/>
      </c>
      <c r="AO1578" s="18" t="str">
        <f t="shared" si="99"/>
        <v/>
      </c>
      <c r="AP1578" s="19"/>
      <c r="AQ1578" s="20" t="str">
        <f t="shared" si="100"/>
        <v/>
      </c>
      <c r="AR1578" s="21"/>
    </row>
    <row r="1579" spans="2:44" ht="31.5" x14ac:dyDescent="0.5">
      <c r="B1579" s="1"/>
      <c r="C1579" s="15"/>
      <c r="D1579" s="16"/>
      <c r="E1579" s="15"/>
      <c r="F1579" s="17"/>
      <c r="G1579" s="8"/>
      <c r="H1579" s="8"/>
      <c r="I1579" s="8"/>
      <c r="J1579" s="8"/>
      <c r="K1579" s="8"/>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4"/>
      <c r="AM1579" s="5" t="str">
        <f t="shared" si="97"/>
        <v/>
      </c>
      <c r="AN1579" s="5" t="str">
        <f t="shared" si="98"/>
        <v/>
      </c>
      <c r="AO1579" s="18" t="str">
        <f t="shared" si="99"/>
        <v/>
      </c>
      <c r="AP1579" s="19"/>
      <c r="AQ1579" s="20" t="str">
        <f t="shared" si="100"/>
        <v/>
      </c>
      <c r="AR1579" s="21"/>
    </row>
    <row r="1580" spans="2:44" ht="31.5" x14ac:dyDescent="0.5">
      <c r="B1580" s="1"/>
      <c r="C1580" s="15"/>
      <c r="D1580" s="16"/>
      <c r="E1580" s="15"/>
      <c r="F1580" s="17"/>
      <c r="G1580" s="8"/>
      <c r="H1580" s="8"/>
      <c r="I1580" s="8"/>
      <c r="J1580" s="8"/>
      <c r="K1580" s="8"/>
      <c r="L1580" s="8"/>
      <c r="M1580" s="8"/>
      <c r="N1580" s="8"/>
      <c r="O1580" s="8"/>
      <c r="P1580" s="8"/>
      <c r="Q1580" s="8"/>
      <c r="R1580" s="8"/>
      <c r="S1580" s="8"/>
      <c r="T1580" s="8"/>
      <c r="U1580" s="8"/>
      <c r="V1580" s="8"/>
      <c r="W1580" s="8"/>
      <c r="X1580" s="8"/>
      <c r="Y1580" s="8"/>
      <c r="Z1580" s="8"/>
      <c r="AA1580" s="8"/>
      <c r="AB1580" s="8"/>
      <c r="AC1580" s="8"/>
      <c r="AD1580" s="8"/>
      <c r="AE1580" s="8"/>
      <c r="AF1580" s="8"/>
      <c r="AG1580" s="8"/>
      <c r="AH1580" s="8"/>
      <c r="AI1580" s="8"/>
      <c r="AJ1580" s="8"/>
      <c r="AK1580" s="8"/>
      <c r="AL1580" s="4"/>
      <c r="AM1580" s="5" t="str">
        <f t="shared" si="97"/>
        <v/>
      </c>
      <c r="AN1580" s="5" t="str">
        <f t="shared" si="98"/>
        <v/>
      </c>
      <c r="AO1580" s="18" t="str">
        <f t="shared" si="99"/>
        <v/>
      </c>
      <c r="AP1580" s="19"/>
      <c r="AQ1580" s="20" t="str">
        <f t="shared" si="100"/>
        <v/>
      </c>
      <c r="AR1580" s="21"/>
    </row>
    <row r="1581" spans="2:44" ht="31.5" x14ac:dyDescent="0.5">
      <c r="B1581" s="1"/>
      <c r="C1581" s="15"/>
      <c r="D1581" s="16"/>
      <c r="E1581" s="15"/>
      <c r="F1581" s="17"/>
      <c r="G1581" s="8"/>
      <c r="H1581" s="8"/>
      <c r="I1581" s="8"/>
      <c r="J1581" s="8"/>
      <c r="K1581" s="8"/>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4"/>
      <c r="AM1581" s="5" t="str">
        <f t="shared" si="97"/>
        <v/>
      </c>
      <c r="AN1581" s="5" t="str">
        <f t="shared" si="98"/>
        <v/>
      </c>
      <c r="AO1581" s="18" t="str">
        <f t="shared" si="99"/>
        <v/>
      </c>
      <c r="AP1581" s="19"/>
      <c r="AQ1581" s="20" t="str">
        <f t="shared" si="100"/>
        <v/>
      </c>
      <c r="AR1581" s="21"/>
    </row>
    <row r="1582" spans="2:44" ht="31.5" x14ac:dyDescent="0.5">
      <c r="B1582" s="1"/>
      <c r="C1582" s="15"/>
      <c r="D1582" s="16"/>
      <c r="E1582" s="15"/>
      <c r="F1582" s="17"/>
      <c r="G1582" s="8"/>
      <c r="H1582" s="8"/>
      <c r="I1582" s="8"/>
      <c r="J1582" s="8"/>
      <c r="K1582" s="8"/>
      <c r="L1582" s="8"/>
      <c r="M1582" s="8"/>
      <c r="N1582" s="8"/>
      <c r="O1582" s="8"/>
      <c r="P1582" s="8"/>
      <c r="Q1582" s="8"/>
      <c r="R1582" s="8"/>
      <c r="S1582" s="8"/>
      <c r="T1582" s="8"/>
      <c r="U1582" s="8"/>
      <c r="V1582" s="8"/>
      <c r="W1582" s="8"/>
      <c r="X1582" s="8"/>
      <c r="Y1582" s="8"/>
      <c r="Z1582" s="8"/>
      <c r="AA1582" s="8"/>
      <c r="AB1582" s="8"/>
      <c r="AC1582" s="8"/>
      <c r="AD1582" s="8"/>
      <c r="AE1582" s="8"/>
      <c r="AF1582" s="8"/>
      <c r="AG1582" s="8"/>
      <c r="AH1582" s="8"/>
      <c r="AI1582" s="8"/>
      <c r="AJ1582" s="8"/>
      <c r="AK1582" s="8"/>
      <c r="AL1582" s="4"/>
      <c r="AM1582" s="5" t="str">
        <f t="shared" si="97"/>
        <v/>
      </c>
      <c r="AN1582" s="5" t="str">
        <f t="shared" si="98"/>
        <v/>
      </c>
      <c r="AO1582" s="18" t="str">
        <f t="shared" si="99"/>
        <v/>
      </c>
      <c r="AP1582" s="19"/>
      <c r="AQ1582" s="20" t="str">
        <f t="shared" si="100"/>
        <v/>
      </c>
      <c r="AR1582" s="21"/>
    </row>
    <row r="1583" spans="2:44" ht="31.5" x14ac:dyDescent="0.5">
      <c r="B1583" s="1"/>
      <c r="C1583" s="15"/>
      <c r="D1583" s="16"/>
      <c r="E1583" s="15"/>
      <c r="F1583" s="17"/>
      <c r="G1583" s="8"/>
      <c r="H1583" s="8"/>
      <c r="I1583" s="8"/>
      <c r="J1583" s="8"/>
      <c r="K1583" s="8"/>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4"/>
      <c r="AM1583" s="5" t="str">
        <f t="shared" si="97"/>
        <v/>
      </c>
      <c r="AN1583" s="5" t="str">
        <f t="shared" si="98"/>
        <v/>
      </c>
      <c r="AO1583" s="18" t="str">
        <f t="shared" si="99"/>
        <v/>
      </c>
      <c r="AP1583" s="19"/>
      <c r="AQ1583" s="20" t="str">
        <f t="shared" si="100"/>
        <v/>
      </c>
      <c r="AR1583" s="21"/>
    </row>
    <row r="1584" spans="2:44" ht="31.5" x14ac:dyDescent="0.5">
      <c r="B1584" s="1"/>
      <c r="C1584" s="15"/>
      <c r="D1584" s="16"/>
      <c r="E1584" s="15"/>
      <c r="F1584" s="17"/>
      <c r="G1584" s="8"/>
      <c r="H1584" s="8"/>
      <c r="I1584" s="8"/>
      <c r="J1584" s="8"/>
      <c r="K1584" s="8"/>
      <c r="L1584" s="8"/>
      <c r="M1584" s="8"/>
      <c r="N1584" s="8"/>
      <c r="O1584" s="8"/>
      <c r="P1584" s="8"/>
      <c r="Q1584" s="8"/>
      <c r="R1584" s="8"/>
      <c r="S1584" s="8"/>
      <c r="T1584" s="8"/>
      <c r="U1584" s="8"/>
      <c r="V1584" s="8"/>
      <c r="W1584" s="8"/>
      <c r="X1584" s="8"/>
      <c r="Y1584" s="8"/>
      <c r="Z1584" s="8"/>
      <c r="AA1584" s="8"/>
      <c r="AB1584" s="8"/>
      <c r="AC1584" s="8"/>
      <c r="AD1584" s="8"/>
      <c r="AE1584" s="8"/>
      <c r="AF1584" s="8"/>
      <c r="AG1584" s="8"/>
      <c r="AH1584" s="8"/>
      <c r="AI1584" s="8"/>
      <c r="AJ1584" s="8"/>
      <c r="AK1584" s="8"/>
      <c r="AL1584" s="4"/>
      <c r="AM1584" s="5" t="str">
        <f t="shared" si="97"/>
        <v/>
      </c>
      <c r="AN1584" s="5" t="str">
        <f t="shared" si="98"/>
        <v/>
      </c>
      <c r="AO1584" s="18" t="str">
        <f t="shared" si="99"/>
        <v/>
      </c>
      <c r="AP1584" s="19"/>
      <c r="AQ1584" s="20" t="str">
        <f t="shared" si="100"/>
        <v/>
      </c>
      <c r="AR1584" s="21"/>
    </row>
    <row r="1585" spans="2:44" ht="31.5" x14ac:dyDescent="0.5">
      <c r="B1585" s="1"/>
      <c r="C1585" s="15"/>
      <c r="D1585" s="16"/>
      <c r="E1585" s="15"/>
      <c r="F1585" s="17"/>
      <c r="G1585" s="8"/>
      <c r="H1585" s="8"/>
      <c r="I1585" s="8"/>
      <c r="J1585" s="8"/>
      <c r="K1585" s="8"/>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4"/>
      <c r="AM1585" s="5" t="str">
        <f t="shared" si="97"/>
        <v/>
      </c>
      <c r="AN1585" s="5" t="str">
        <f t="shared" si="98"/>
        <v/>
      </c>
      <c r="AO1585" s="18" t="str">
        <f t="shared" si="99"/>
        <v/>
      </c>
      <c r="AP1585" s="19"/>
      <c r="AQ1585" s="20" t="str">
        <f t="shared" si="100"/>
        <v/>
      </c>
      <c r="AR1585" s="21"/>
    </row>
    <row r="1586" spans="2:44" ht="31.5" x14ac:dyDescent="0.5">
      <c r="B1586" s="1"/>
      <c r="C1586" s="15"/>
      <c r="D1586" s="16"/>
      <c r="E1586" s="15"/>
      <c r="F1586" s="17"/>
      <c r="G1586" s="8"/>
      <c r="H1586" s="8"/>
      <c r="I1586" s="8"/>
      <c r="J1586" s="8"/>
      <c r="K1586" s="8"/>
      <c r="L1586" s="8"/>
      <c r="M1586" s="8"/>
      <c r="N1586" s="8"/>
      <c r="O1586" s="8"/>
      <c r="P1586" s="8"/>
      <c r="Q1586" s="8"/>
      <c r="R1586" s="8"/>
      <c r="S1586" s="8"/>
      <c r="T1586" s="8"/>
      <c r="U1586" s="8"/>
      <c r="V1586" s="8"/>
      <c r="W1586" s="8"/>
      <c r="X1586" s="8"/>
      <c r="Y1586" s="8"/>
      <c r="Z1586" s="8"/>
      <c r="AA1586" s="8"/>
      <c r="AB1586" s="8"/>
      <c r="AC1586" s="8"/>
      <c r="AD1586" s="8"/>
      <c r="AE1586" s="8"/>
      <c r="AF1586" s="8"/>
      <c r="AG1586" s="8"/>
      <c r="AH1586" s="8"/>
      <c r="AI1586" s="8"/>
      <c r="AJ1586" s="8"/>
      <c r="AK1586" s="8"/>
      <c r="AL1586" s="4"/>
      <c r="AM1586" s="5" t="str">
        <f t="shared" si="97"/>
        <v/>
      </c>
      <c r="AN1586" s="5" t="str">
        <f t="shared" si="98"/>
        <v/>
      </c>
      <c r="AO1586" s="18" t="str">
        <f t="shared" si="99"/>
        <v/>
      </c>
      <c r="AP1586" s="19"/>
      <c r="AQ1586" s="20" t="str">
        <f t="shared" si="100"/>
        <v/>
      </c>
      <c r="AR1586" s="21"/>
    </row>
    <row r="1587" spans="2:44" ht="31.5" x14ac:dyDescent="0.5">
      <c r="B1587" s="1"/>
      <c r="C1587" s="15"/>
      <c r="D1587" s="16"/>
      <c r="E1587" s="15"/>
      <c r="F1587" s="17"/>
      <c r="G1587" s="8"/>
      <c r="H1587" s="8"/>
      <c r="I1587" s="8"/>
      <c r="J1587" s="8"/>
      <c r="K1587" s="8"/>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4"/>
      <c r="AM1587" s="5" t="str">
        <f t="shared" ref="AM1587:AM1650" si="101">IF($B1587="","",COUNTIF($G1587:$AK1587,"P"))</f>
        <v/>
      </c>
      <c r="AN1587" s="5" t="str">
        <f t="shared" ref="AN1587:AN1650" si="102">IF($B1587="","",COUNTIF($G1587:$AK1587,"AB"))</f>
        <v/>
      </c>
      <c r="AO1587" s="18" t="str">
        <f t="shared" ref="AO1587:AO1650" si="103">IF($B1587="","",SUMPRODUCT(--($G$11:$AK$11&lt;&gt;""),--($G$12:$AK$12&lt;&gt;"Sun")))</f>
        <v/>
      </c>
      <c r="AP1587" s="19"/>
      <c r="AQ1587" s="20" t="str">
        <f t="shared" ref="AQ1587:AQ1650" si="104">IF($B1587="","",IF(AO1587=0,"",AM1587/AO1587))</f>
        <v/>
      </c>
      <c r="AR1587" s="21"/>
    </row>
    <row r="1588" spans="2:44" ht="31.5" x14ac:dyDescent="0.5">
      <c r="B1588" s="1"/>
      <c r="C1588" s="15"/>
      <c r="D1588" s="16"/>
      <c r="E1588" s="15"/>
      <c r="F1588" s="17"/>
      <c r="G1588" s="8"/>
      <c r="H1588" s="8"/>
      <c r="I1588" s="8"/>
      <c r="J1588" s="8"/>
      <c r="K1588" s="8"/>
      <c r="L1588" s="8"/>
      <c r="M1588" s="8"/>
      <c r="N1588" s="8"/>
      <c r="O1588" s="8"/>
      <c r="P1588" s="8"/>
      <c r="Q1588" s="8"/>
      <c r="R1588" s="8"/>
      <c r="S1588" s="8"/>
      <c r="T1588" s="8"/>
      <c r="U1588" s="8"/>
      <c r="V1588" s="8"/>
      <c r="W1588" s="8"/>
      <c r="X1588" s="8"/>
      <c r="Y1588" s="8"/>
      <c r="Z1588" s="8"/>
      <c r="AA1588" s="8"/>
      <c r="AB1588" s="8"/>
      <c r="AC1588" s="8"/>
      <c r="AD1588" s="8"/>
      <c r="AE1588" s="8"/>
      <c r="AF1588" s="8"/>
      <c r="AG1588" s="8"/>
      <c r="AH1588" s="8"/>
      <c r="AI1588" s="8"/>
      <c r="AJ1588" s="8"/>
      <c r="AK1588" s="8"/>
      <c r="AL1588" s="4"/>
      <c r="AM1588" s="5" t="str">
        <f t="shared" si="101"/>
        <v/>
      </c>
      <c r="AN1588" s="5" t="str">
        <f t="shared" si="102"/>
        <v/>
      </c>
      <c r="AO1588" s="18" t="str">
        <f t="shared" si="103"/>
        <v/>
      </c>
      <c r="AP1588" s="19"/>
      <c r="AQ1588" s="20" t="str">
        <f t="shared" si="104"/>
        <v/>
      </c>
      <c r="AR1588" s="21"/>
    </row>
    <row r="1589" spans="2:44" ht="31.5" x14ac:dyDescent="0.5">
      <c r="B1589" s="1"/>
      <c r="C1589" s="15"/>
      <c r="D1589" s="16"/>
      <c r="E1589" s="15"/>
      <c r="F1589" s="17"/>
      <c r="G1589" s="8"/>
      <c r="H1589" s="8"/>
      <c r="I1589" s="8"/>
      <c r="J1589" s="8"/>
      <c r="K1589" s="8"/>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4"/>
      <c r="AM1589" s="5" t="str">
        <f t="shared" si="101"/>
        <v/>
      </c>
      <c r="AN1589" s="5" t="str">
        <f t="shared" si="102"/>
        <v/>
      </c>
      <c r="AO1589" s="18" t="str">
        <f t="shared" si="103"/>
        <v/>
      </c>
      <c r="AP1589" s="19"/>
      <c r="AQ1589" s="20" t="str">
        <f t="shared" si="104"/>
        <v/>
      </c>
      <c r="AR1589" s="21"/>
    </row>
    <row r="1590" spans="2:44" ht="31.5" x14ac:dyDescent="0.5">
      <c r="B1590" s="1"/>
      <c r="C1590" s="15"/>
      <c r="D1590" s="16"/>
      <c r="E1590" s="15"/>
      <c r="F1590" s="17"/>
      <c r="G1590" s="8"/>
      <c r="H1590" s="8"/>
      <c r="I1590" s="8"/>
      <c r="J1590" s="8"/>
      <c r="K1590" s="8"/>
      <c r="L1590" s="8"/>
      <c r="M1590" s="8"/>
      <c r="N1590" s="8"/>
      <c r="O1590" s="8"/>
      <c r="P1590" s="8"/>
      <c r="Q1590" s="8"/>
      <c r="R1590" s="8"/>
      <c r="S1590" s="8"/>
      <c r="T1590" s="8"/>
      <c r="U1590" s="8"/>
      <c r="V1590" s="8"/>
      <c r="W1590" s="8"/>
      <c r="X1590" s="8"/>
      <c r="Y1590" s="8"/>
      <c r="Z1590" s="8"/>
      <c r="AA1590" s="8"/>
      <c r="AB1590" s="8"/>
      <c r="AC1590" s="8"/>
      <c r="AD1590" s="8"/>
      <c r="AE1590" s="8"/>
      <c r="AF1590" s="8"/>
      <c r="AG1590" s="8"/>
      <c r="AH1590" s="8"/>
      <c r="AI1590" s="8"/>
      <c r="AJ1590" s="8"/>
      <c r="AK1590" s="8"/>
      <c r="AL1590" s="4"/>
      <c r="AM1590" s="5" t="str">
        <f t="shared" si="101"/>
        <v/>
      </c>
      <c r="AN1590" s="5" t="str">
        <f t="shared" si="102"/>
        <v/>
      </c>
      <c r="AO1590" s="18" t="str">
        <f t="shared" si="103"/>
        <v/>
      </c>
      <c r="AP1590" s="19"/>
      <c r="AQ1590" s="20" t="str">
        <f t="shared" si="104"/>
        <v/>
      </c>
      <c r="AR1590" s="21"/>
    </row>
    <row r="1591" spans="2:44" ht="31.5" x14ac:dyDescent="0.5">
      <c r="B1591" s="1"/>
      <c r="C1591" s="15"/>
      <c r="D1591" s="16"/>
      <c r="E1591" s="15"/>
      <c r="F1591" s="17"/>
      <c r="G1591" s="8"/>
      <c r="H1591" s="8"/>
      <c r="I1591" s="8"/>
      <c r="J1591" s="8"/>
      <c r="K1591" s="8"/>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4"/>
      <c r="AM1591" s="5" t="str">
        <f t="shared" si="101"/>
        <v/>
      </c>
      <c r="AN1591" s="5" t="str">
        <f t="shared" si="102"/>
        <v/>
      </c>
      <c r="AO1591" s="18" t="str">
        <f t="shared" si="103"/>
        <v/>
      </c>
      <c r="AP1591" s="19"/>
      <c r="AQ1591" s="20" t="str">
        <f t="shared" si="104"/>
        <v/>
      </c>
      <c r="AR1591" s="21"/>
    </row>
    <row r="1592" spans="2:44" ht="31.5" x14ac:dyDescent="0.5">
      <c r="B1592" s="1"/>
      <c r="C1592" s="15"/>
      <c r="D1592" s="16"/>
      <c r="E1592" s="15"/>
      <c r="F1592" s="17"/>
      <c r="G1592" s="8"/>
      <c r="H1592" s="8"/>
      <c r="I1592" s="8"/>
      <c r="J1592" s="8"/>
      <c r="K1592" s="8"/>
      <c r="L1592" s="8"/>
      <c r="M1592" s="8"/>
      <c r="N1592" s="8"/>
      <c r="O1592" s="8"/>
      <c r="P1592" s="8"/>
      <c r="Q1592" s="8"/>
      <c r="R1592" s="8"/>
      <c r="S1592" s="8"/>
      <c r="T1592" s="8"/>
      <c r="U1592" s="8"/>
      <c r="V1592" s="8"/>
      <c r="W1592" s="8"/>
      <c r="X1592" s="8"/>
      <c r="Y1592" s="8"/>
      <c r="Z1592" s="8"/>
      <c r="AA1592" s="8"/>
      <c r="AB1592" s="8"/>
      <c r="AC1592" s="8"/>
      <c r="AD1592" s="8"/>
      <c r="AE1592" s="8"/>
      <c r="AF1592" s="8"/>
      <c r="AG1592" s="8"/>
      <c r="AH1592" s="8"/>
      <c r="AI1592" s="8"/>
      <c r="AJ1592" s="8"/>
      <c r="AK1592" s="8"/>
      <c r="AL1592" s="4"/>
      <c r="AM1592" s="5" t="str">
        <f t="shared" si="101"/>
        <v/>
      </c>
      <c r="AN1592" s="5" t="str">
        <f t="shared" si="102"/>
        <v/>
      </c>
      <c r="AO1592" s="18" t="str">
        <f t="shared" si="103"/>
        <v/>
      </c>
      <c r="AP1592" s="19"/>
      <c r="AQ1592" s="20" t="str">
        <f t="shared" si="104"/>
        <v/>
      </c>
      <c r="AR1592" s="21"/>
    </row>
    <row r="1593" spans="2:44" ht="31.5" x14ac:dyDescent="0.5">
      <c r="B1593" s="1"/>
      <c r="C1593" s="15"/>
      <c r="D1593" s="16"/>
      <c r="E1593" s="15"/>
      <c r="F1593" s="17"/>
      <c r="G1593" s="8"/>
      <c r="H1593" s="8"/>
      <c r="I1593" s="8"/>
      <c r="J1593" s="8"/>
      <c r="K1593" s="8"/>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4"/>
      <c r="AM1593" s="5" t="str">
        <f t="shared" si="101"/>
        <v/>
      </c>
      <c r="AN1593" s="5" t="str">
        <f t="shared" si="102"/>
        <v/>
      </c>
      <c r="AO1593" s="18" t="str">
        <f t="shared" si="103"/>
        <v/>
      </c>
      <c r="AP1593" s="19"/>
      <c r="AQ1593" s="20" t="str">
        <f t="shared" si="104"/>
        <v/>
      </c>
      <c r="AR1593" s="21"/>
    </row>
    <row r="1594" spans="2:44" ht="31.5" x14ac:dyDescent="0.5">
      <c r="B1594" s="1"/>
      <c r="C1594" s="15"/>
      <c r="D1594" s="16"/>
      <c r="E1594" s="15"/>
      <c r="F1594" s="17"/>
      <c r="G1594" s="8"/>
      <c r="H1594" s="8"/>
      <c r="I1594" s="8"/>
      <c r="J1594" s="8"/>
      <c r="K1594" s="8"/>
      <c r="L1594" s="8"/>
      <c r="M1594" s="8"/>
      <c r="N1594" s="8"/>
      <c r="O1594" s="8"/>
      <c r="P1594" s="8"/>
      <c r="Q1594" s="8"/>
      <c r="R1594" s="8"/>
      <c r="S1594" s="8"/>
      <c r="T1594" s="8"/>
      <c r="U1594" s="8"/>
      <c r="V1594" s="8"/>
      <c r="W1594" s="8"/>
      <c r="X1594" s="8"/>
      <c r="Y1594" s="8"/>
      <c r="Z1594" s="8"/>
      <c r="AA1594" s="8"/>
      <c r="AB1594" s="8"/>
      <c r="AC1594" s="8"/>
      <c r="AD1594" s="8"/>
      <c r="AE1594" s="8"/>
      <c r="AF1594" s="8"/>
      <c r="AG1594" s="8"/>
      <c r="AH1594" s="8"/>
      <c r="AI1594" s="8"/>
      <c r="AJ1594" s="8"/>
      <c r="AK1594" s="8"/>
      <c r="AL1594" s="4"/>
      <c r="AM1594" s="5" t="str">
        <f t="shared" si="101"/>
        <v/>
      </c>
      <c r="AN1594" s="5" t="str">
        <f t="shared" si="102"/>
        <v/>
      </c>
      <c r="AO1594" s="18" t="str">
        <f t="shared" si="103"/>
        <v/>
      </c>
      <c r="AP1594" s="19"/>
      <c r="AQ1594" s="20" t="str">
        <f t="shared" si="104"/>
        <v/>
      </c>
      <c r="AR1594" s="21"/>
    </row>
    <row r="1595" spans="2:44" ht="31.5" x14ac:dyDescent="0.5">
      <c r="B1595" s="1"/>
      <c r="C1595" s="15"/>
      <c r="D1595" s="16"/>
      <c r="E1595" s="15"/>
      <c r="F1595" s="17"/>
      <c r="G1595" s="8"/>
      <c r="H1595" s="8"/>
      <c r="I1595" s="8"/>
      <c r="J1595" s="8"/>
      <c r="K1595" s="8"/>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4"/>
      <c r="AM1595" s="5" t="str">
        <f t="shared" si="101"/>
        <v/>
      </c>
      <c r="AN1595" s="5" t="str">
        <f t="shared" si="102"/>
        <v/>
      </c>
      <c r="AO1595" s="18" t="str">
        <f t="shared" si="103"/>
        <v/>
      </c>
      <c r="AP1595" s="19"/>
      <c r="AQ1595" s="20" t="str">
        <f t="shared" si="104"/>
        <v/>
      </c>
      <c r="AR1595" s="21"/>
    </row>
    <row r="1596" spans="2:44" ht="31.5" x14ac:dyDescent="0.5">
      <c r="B1596" s="1"/>
      <c r="C1596" s="15"/>
      <c r="D1596" s="16"/>
      <c r="E1596" s="15"/>
      <c r="F1596" s="17"/>
      <c r="G1596" s="8"/>
      <c r="H1596" s="8"/>
      <c r="I1596" s="8"/>
      <c r="J1596" s="8"/>
      <c r="K1596" s="8"/>
      <c r="L1596" s="8"/>
      <c r="M1596" s="8"/>
      <c r="N1596" s="8"/>
      <c r="O1596" s="8"/>
      <c r="P1596" s="8"/>
      <c r="Q1596" s="8"/>
      <c r="R1596" s="8"/>
      <c r="S1596" s="8"/>
      <c r="T1596" s="8"/>
      <c r="U1596" s="8"/>
      <c r="V1596" s="8"/>
      <c r="W1596" s="8"/>
      <c r="X1596" s="8"/>
      <c r="Y1596" s="8"/>
      <c r="Z1596" s="8"/>
      <c r="AA1596" s="8"/>
      <c r="AB1596" s="8"/>
      <c r="AC1596" s="8"/>
      <c r="AD1596" s="8"/>
      <c r="AE1596" s="8"/>
      <c r="AF1596" s="8"/>
      <c r="AG1596" s="8"/>
      <c r="AH1596" s="8"/>
      <c r="AI1596" s="8"/>
      <c r="AJ1596" s="8"/>
      <c r="AK1596" s="8"/>
      <c r="AL1596" s="4"/>
      <c r="AM1596" s="5" t="str">
        <f t="shared" si="101"/>
        <v/>
      </c>
      <c r="AN1596" s="5" t="str">
        <f t="shared" si="102"/>
        <v/>
      </c>
      <c r="AO1596" s="18" t="str">
        <f t="shared" si="103"/>
        <v/>
      </c>
      <c r="AP1596" s="19"/>
      <c r="AQ1596" s="20" t="str">
        <f t="shared" si="104"/>
        <v/>
      </c>
      <c r="AR1596" s="21"/>
    </row>
    <row r="1597" spans="2:44" ht="31.5" x14ac:dyDescent="0.5">
      <c r="B1597" s="1"/>
      <c r="C1597" s="15"/>
      <c r="D1597" s="16"/>
      <c r="E1597" s="15"/>
      <c r="F1597" s="17"/>
      <c r="G1597" s="8"/>
      <c r="H1597" s="8"/>
      <c r="I1597" s="8"/>
      <c r="J1597" s="8"/>
      <c r="K1597" s="8"/>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4"/>
      <c r="AM1597" s="5" t="str">
        <f t="shared" si="101"/>
        <v/>
      </c>
      <c r="AN1597" s="5" t="str">
        <f t="shared" si="102"/>
        <v/>
      </c>
      <c r="AO1597" s="18" t="str">
        <f t="shared" si="103"/>
        <v/>
      </c>
      <c r="AP1597" s="19"/>
      <c r="AQ1597" s="20" t="str">
        <f t="shared" si="104"/>
        <v/>
      </c>
      <c r="AR1597" s="21"/>
    </row>
    <row r="1598" spans="2:44" ht="31.5" x14ac:dyDescent="0.5">
      <c r="B1598" s="1"/>
      <c r="C1598" s="15"/>
      <c r="D1598" s="16"/>
      <c r="E1598" s="15"/>
      <c r="F1598" s="17"/>
      <c r="G1598" s="8"/>
      <c r="H1598" s="8"/>
      <c r="I1598" s="8"/>
      <c r="J1598" s="8"/>
      <c r="K1598" s="8"/>
      <c r="L1598" s="8"/>
      <c r="M1598" s="8"/>
      <c r="N1598" s="8"/>
      <c r="O1598" s="8"/>
      <c r="P1598" s="8"/>
      <c r="Q1598" s="8"/>
      <c r="R1598" s="8"/>
      <c r="S1598" s="8"/>
      <c r="T1598" s="8"/>
      <c r="U1598" s="8"/>
      <c r="V1598" s="8"/>
      <c r="W1598" s="8"/>
      <c r="X1598" s="8"/>
      <c r="Y1598" s="8"/>
      <c r="Z1598" s="8"/>
      <c r="AA1598" s="8"/>
      <c r="AB1598" s="8"/>
      <c r="AC1598" s="8"/>
      <c r="AD1598" s="8"/>
      <c r="AE1598" s="8"/>
      <c r="AF1598" s="8"/>
      <c r="AG1598" s="8"/>
      <c r="AH1598" s="8"/>
      <c r="AI1598" s="8"/>
      <c r="AJ1598" s="8"/>
      <c r="AK1598" s="8"/>
      <c r="AL1598" s="4"/>
      <c r="AM1598" s="5" t="str">
        <f t="shared" si="101"/>
        <v/>
      </c>
      <c r="AN1598" s="5" t="str">
        <f t="shared" si="102"/>
        <v/>
      </c>
      <c r="AO1598" s="18" t="str">
        <f t="shared" si="103"/>
        <v/>
      </c>
      <c r="AP1598" s="19"/>
      <c r="AQ1598" s="20" t="str">
        <f t="shared" si="104"/>
        <v/>
      </c>
      <c r="AR1598" s="21"/>
    </row>
    <row r="1599" spans="2:44" ht="31.5" x14ac:dyDescent="0.5">
      <c r="B1599" s="1"/>
      <c r="C1599" s="15"/>
      <c r="D1599" s="16"/>
      <c r="E1599" s="15"/>
      <c r="F1599" s="17"/>
      <c r="G1599" s="8"/>
      <c r="H1599" s="8"/>
      <c r="I1599" s="8"/>
      <c r="J1599" s="8"/>
      <c r="K1599" s="8"/>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4"/>
      <c r="AM1599" s="5" t="str">
        <f t="shared" si="101"/>
        <v/>
      </c>
      <c r="AN1599" s="5" t="str">
        <f t="shared" si="102"/>
        <v/>
      </c>
      <c r="AO1599" s="18" t="str">
        <f t="shared" si="103"/>
        <v/>
      </c>
      <c r="AP1599" s="19"/>
      <c r="AQ1599" s="20" t="str">
        <f t="shared" si="104"/>
        <v/>
      </c>
      <c r="AR1599" s="21"/>
    </row>
    <row r="1600" spans="2:44" ht="31.5" x14ac:dyDescent="0.5">
      <c r="B1600" s="1"/>
      <c r="C1600" s="15"/>
      <c r="D1600" s="16"/>
      <c r="E1600" s="15"/>
      <c r="F1600" s="17"/>
      <c r="G1600" s="8"/>
      <c r="H1600" s="8"/>
      <c r="I1600" s="8"/>
      <c r="J1600" s="8"/>
      <c r="K1600" s="8"/>
      <c r="L1600" s="8"/>
      <c r="M1600" s="8"/>
      <c r="N1600" s="8"/>
      <c r="O1600" s="8"/>
      <c r="P1600" s="8"/>
      <c r="Q1600" s="8"/>
      <c r="R1600" s="8"/>
      <c r="S1600" s="8"/>
      <c r="T1600" s="8"/>
      <c r="U1600" s="8"/>
      <c r="V1600" s="8"/>
      <c r="W1600" s="8"/>
      <c r="X1600" s="8"/>
      <c r="Y1600" s="8"/>
      <c r="Z1600" s="8"/>
      <c r="AA1600" s="8"/>
      <c r="AB1600" s="8"/>
      <c r="AC1600" s="8"/>
      <c r="AD1600" s="8"/>
      <c r="AE1600" s="8"/>
      <c r="AF1600" s="8"/>
      <c r="AG1600" s="8"/>
      <c r="AH1600" s="8"/>
      <c r="AI1600" s="8"/>
      <c r="AJ1600" s="8"/>
      <c r="AK1600" s="8"/>
      <c r="AL1600" s="4"/>
      <c r="AM1600" s="5" t="str">
        <f t="shared" si="101"/>
        <v/>
      </c>
      <c r="AN1600" s="5" t="str">
        <f t="shared" si="102"/>
        <v/>
      </c>
      <c r="AO1600" s="18" t="str">
        <f t="shared" si="103"/>
        <v/>
      </c>
      <c r="AP1600" s="19"/>
      <c r="AQ1600" s="20" t="str">
        <f t="shared" si="104"/>
        <v/>
      </c>
      <c r="AR1600" s="21"/>
    </row>
    <row r="1601" spans="2:44" ht="31.5" x14ac:dyDescent="0.5">
      <c r="B1601" s="1"/>
      <c r="C1601" s="15"/>
      <c r="D1601" s="16"/>
      <c r="E1601" s="15"/>
      <c r="F1601" s="17"/>
      <c r="G1601" s="8"/>
      <c r="H1601" s="8"/>
      <c r="I1601" s="8"/>
      <c r="J1601" s="8"/>
      <c r="K1601" s="8"/>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4"/>
      <c r="AM1601" s="5" t="str">
        <f t="shared" si="101"/>
        <v/>
      </c>
      <c r="AN1601" s="5" t="str">
        <f t="shared" si="102"/>
        <v/>
      </c>
      <c r="AO1601" s="18" t="str">
        <f t="shared" si="103"/>
        <v/>
      </c>
      <c r="AP1601" s="19"/>
      <c r="AQ1601" s="20" t="str">
        <f t="shared" si="104"/>
        <v/>
      </c>
      <c r="AR1601" s="21"/>
    </row>
    <row r="1602" spans="2:44" ht="31.5" x14ac:dyDescent="0.5">
      <c r="B1602" s="1"/>
      <c r="C1602" s="15"/>
      <c r="D1602" s="16"/>
      <c r="E1602" s="15"/>
      <c r="F1602" s="17"/>
      <c r="G1602" s="8"/>
      <c r="H1602" s="8"/>
      <c r="I1602" s="8"/>
      <c r="J1602" s="8"/>
      <c r="K1602" s="8"/>
      <c r="L1602" s="8"/>
      <c r="M1602" s="8"/>
      <c r="N1602" s="8"/>
      <c r="O1602" s="8"/>
      <c r="P1602" s="8"/>
      <c r="Q1602" s="8"/>
      <c r="R1602" s="8"/>
      <c r="S1602" s="8"/>
      <c r="T1602" s="8"/>
      <c r="U1602" s="8"/>
      <c r="V1602" s="8"/>
      <c r="W1602" s="8"/>
      <c r="X1602" s="8"/>
      <c r="Y1602" s="8"/>
      <c r="Z1602" s="8"/>
      <c r="AA1602" s="8"/>
      <c r="AB1602" s="8"/>
      <c r="AC1602" s="8"/>
      <c r="AD1602" s="8"/>
      <c r="AE1602" s="8"/>
      <c r="AF1602" s="8"/>
      <c r="AG1602" s="8"/>
      <c r="AH1602" s="8"/>
      <c r="AI1602" s="8"/>
      <c r="AJ1602" s="8"/>
      <c r="AK1602" s="8"/>
      <c r="AL1602" s="4"/>
      <c r="AM1602" s="5" t="str">
        <f t="shared" si="101"/>
        <v/>
      </c>
      <c r="AN1602" s="5" t="str">
        <f t="shared" si="102"/>
        <v/>
      </c>
      <c r="AO1602" s="18" t="str">
        <f t="shared" si="103"/>
        <v/>
      </c>
      <c r="AP1602" s="19"/>
      <c r="AQ1602" s="20" t="str">
        <f t="shared" si="104"/>
        <v/>
      </c>
      <c r="AR1602" s="21"/>
    </row>
    <row r="1603" spans="2:44" ht="31.5" x14ac:dyDescent="0.5">
      <c r="B1603" s="1"/>
      <c r="C1603" s="15"/>
      <c r="D1603" s="16"/>
      <c r="E1603" s="15"/>
      <c r="F1603" s="17"/>
      <c r="G1603" s="8"/>
      <c r="H1603" s="8"/>
      <c r="I1603" s="8"/>
      <c r="J1603" s="8"/>
      <c r="K1603" s="8"/>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4"/>
      <c r="AM1603" s="5" t="str">
        <f t="shared" si="101"/>
        <v/>
      </c>
      <c r="AN1603" s="5" t="str">
        <f t="shared" si="102"/>
        <v/>
      </c>
      <c r="AO1603" s="18" t="str">
        <f t="shared" si="103"/>
        <v/>
      </c>
      <c r="AP1603" s="19"/>
      <c r="AQ1603" s="20" t="str">
        <f t="shared" si="104"/>
        <v/>
      </c>
      <c r="AR1603" s="21"/>
    </row>
    <row r="1604" spans="2:44" ht="31.5" x14ac:dyDescent="0.5">
      <c r="B1604" s="1"/>
      <c r="C1604" s="15"/>
      <c r="D1604" s="16"/>
      <c r="E1604" s="15"/>
      <c r="F1604" s="17"/>
      <c r="G1604" s="8"/>
      <c r="H1604" s="8"/>
      <c r="I1604" s="8"/>
      <c r="J1604" s="8"/>
      <c r="K1604" s="8"/>
      <c r="L1604" s="8"/>
      <c r="M1604" s="8"/>
      <c r="N1604" s="8"/>
      <c r="O1604" s="8"/>
      <c r="P1604" s="8"/>
      <c r="Q1604" s="8"/>
      <c r="R1604" s="8"/>
      <c r="S1604" s="8"/>
      <c r="T1604" s="8"/>
      <c r="U1604" s="8"/>
      <c r="V1604" s="8"/>
      <c r="W1604" s="8"/>
      <c r="X1604" s="8"/>
      <c r="Y1604" s="8"/>
      <c r="Z1604" s="8"/>
      <c r="AA1604" s="8"/>
      <c r="AB1604" s="8"/>
      <c r="AC1604" s="8"/>
      <c r="AD1604" s="8"/>
      <c r="AE1604" s="8"/>
      <c r="AF1604" s="8"/>
      <c r="AG1604" s="8"/>
      <c r="AH1604" s="8"/>
      <c r="AI1604" s="8"/>
      <c r="AJ1604" s="8"/>
      <c r="AK1604" s="8"/>
      <c r="AL1604" s="4"/>
      <c r="AM1604" s="5" t="str">
        <f t="shared" si="101"/>
        <v/>
      </c>
      <c r="AN1604" s="5" t="str">
        <f t="shared" si="102"/>
        <v/>
      </c>
      <c r="AO1604" s="18" t="str">
        <f t="shared" si="103"/>
        <v/>
      </c>
      <c r="AP1604" s="19"/>
      <c r="AQ1604" s="20" t="str">
        <f t="shared" si="104"/>
        <v/>
      </c>
      <c r="AR1604" s="21"/>
    </row>
    <row r="1605" spans="2:44" ht="31.5" x14ac:dyDescent="0.5">
      <c r="B1605" s="1"/>
      <c r="C1605" s="15"/>
      <c r="D1605" s="16"/>
      <c r="E1605" s="15"/>
      <c r="F1605" s="17"/>
      <c r="G1605" s="8"/>
      <c r="H1605" s="8"/>
      <c r="I1605" s="8"/>
      <c r="J1605" s="8"/>
      <c r="K1605" s="8"/>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4"/>
      <c r="AM1605" s="5" t="str">
        <f t="shared" si="101"/>
        <v/>
      </c>
      <c r="AN1605" s="5" t="str">
        <f t="shared" si="102"/>
        <v/>
      </c>
      <c r="AO1605" s="18" t="str">
        <f t="shared" si="103"/>
        <v/>
      </c>
      <c r="AP1605" s="19"/>
      <c r="AQ1605" s="20" t="str">
        <f t="shared" si="104"/>
        <v/>
      </c>
      <c r="AR1605" s="21"/>
    </row>
    <row r="1606" spans="2:44" ht="31.5" x14ac:dyDescent="0.5">
      <c r="B1606" s="1"/>
      <c r="C1606" s="15"/>
      <c r="D1606" s="16"/>
      <c r="E1606" s="15"/>
      <c r="F1606" s="17"/>
      <c r="G1606" s="8"/>
      <c r="H1606" s="8"/>
      <c r="I1606" s="8"/>
      <c r="J1606" s="8"/>
      <c r="K1606" s="8"/>
      <c r="L1606" s="8"/>
      <c r="M1606" s="8"/>
      <c r="N1606" s="8"/>
      <c r="O1606" s="8"/>
      <c r="P1606" s="8"/>
      <c r="Q1606" s="8"/>
      <c r="R1606" s="8"/>
      <c r="S1606" s="8"/>
      <c r="T1606" s="8"/>
      <c r="U1606" s="8"/>
      <c r="V1606" s="8"/>
      <c r="W1606" s="8"/>
      <c r="X1606" s="8"/>
      <c r="Y1606" s="8"/>
      <c r="Z1606" s="8"/>
      <c r="AA1606" s="8"/>
      <c r="AB1606" s="8"/>
      <c r="AC1606" s="8"/>
      <c r="AD1606" s="8"/>
      <c r="AE1606" s="8"/>
      <c r="AF1606" s="8"/>
      <c r="AG1606" s="8"/>
      <c r="AH1606" s="8"/>
      <c r="AI1606" s="8"/>
      <c r="AJ1606" s="8"/>
      <c r="AK1606" s="8"/>
      <c r="AL1606" s="4"/>
      <c r="AM1606" s="5" t="str">
        <f t="shared" si="101"/>
        <v/>
      </c>
      <c r="AN1606" s="5" t="str">
        <f t="shared" si="102"/>
        <v/>
      </c>
      <c r="AO1606" s="18" t="str">
        <f t="shared" si="103"/>
        <v/>
      </c>
      <c r="AP1606" s="19"/>
      <c r="AQ1606" s="20" t="str">
        <f t="shared" si="104"/>
        <v/>
      </c>
      <c r="AR1606" s="21"/>
    </row>
    <row r="1607" spans="2:44" ht="31.5" x14ac:dyDescent="0.5">
      <c r="B1607" s="1"/>
      <c r="C1607" s="15"/>
      <c r="D1607" s="16"/>
      <c r="E1607" s="15"/>
      <c r="F1607" s="17"/>
      <c r="G1607" s="8"/>
      <c r="H1607" s="8"/>
      <c r="I1607" s="8"/>
      <c r="J1607" s="8"/>
      <c r="K1607" s="8"/>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4"/>
      <c r="AM1607" s="5" t="str">
        <f t="shared" si="101"/>
        <v/>
      </c>
      <c r="AN1607" s="5" t="str">
        <f t="shared" si="102"/>
        <v/>
      </c>
      <c r="AO1607" s="18" t="str">
        <f t="shared" si="103"/>
        <v/>
      </c>
      <c r="AP1607" s="19"/>
      <c r="AQ1607" s="20" t="str">
        <f t="shared" si="104"/>
        <v/>
      </c>
      <c r="AR1607" s="21"/>
    </row>
    <row r="1608" spans="2:44" ht="31.5" x14ac:dyDescent="0.5">
      <c r="B1608" s="1"/>
      <c r="C1608" s="15"/>
      <c r="D1608" s="16"/>
      <c r="E1608" s="15"/>
      <c r="F1608" s="17"/>
      <c r="G1608" s="8"/>
      <c r="H1608" s="8"/>
      <c r="I1608" s="8"/>
      <c r="J1608" s="8"/>
      <c r="K1608" s="8"/>
      <c r="L1608" s="8"/>
      <c r="M1608" s="8"/>
      <c r="N1608" s="8"/>
      <c r="O1608" s="8"/>
      <c r="P1608" s="8"/>
      <c r="Q1608" s="8"/>
      <c r="R1608" s="8"/>
      <c r="S1608" s="8"/>
      <c r="T1608" s="8"/>
      <c r="U1608" s="8"/>
      <c r="V1608" s="8"/>
      <c r="W1608" s="8"/>
      <c r="X1608" s="8"/>
      <c r="Y1608" s="8"/>
      <c r="Z1608" s="8"/>
      <c r="AA1608" s="8"/>
      <c r="AB1608" s="8"/>
      <c r="AC1608" s="8"/>
      <c r="AD1608" s="8"/>
      <c r="AE1608" s="8"/>
      <c r="AF1608" s="8"/>
      <c r="AG1608" s="8"/>
      <c r="AH1608" s="8"/>
      <c r="AI1608" s="8"/>
      <c r="AJ1608" s="8"/>
      <c r="AK1608" s="8"/>
      <c r="AL1608" s="4"/>
      <c r="AM1608" s="5" t="str">
        <f t="shared" si="101"/>
        <v/>
      </c>
      <c r="AN1608" s="5" t="str">
        <f t="shared" si="102"/>
        <v/>
      </c>
      <c r="AO1608" s="18" t="str">
        <f t="shared" si="103"/>
        <v/>
      </c>
      <c r="AP1608" s="19"/>
      <c r="AQ1608" s="20" t="str">
        <f t="shared" si="104"/>
        <v/>
      </c>
      <c r="AR1608" s="21"/>
    </row>
    <row r="1609" spans="2:44" ht="31.5" x14ac:dyDescent="0.5">
      <c r="B1609" s="1"/>
      <c r="C1609" s="15"/>
      <c r="D1609" s="16"/>
      <c r="E1609" s="15"/>
      <c r="F1609" s="17"/>
      <c r="G1609" s="8"/>
      <c r="H1609" s="8"/>
      <c r="I1609" s="8"/>
      <c r="J1609" s="8"/>
      <c r="K1609" s="8"/>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4"/>
      <c r="AM1609" s="5" t="str">
        <f t="shared" si="101"/>
        <v/>
      </c>
      <c r="AN1609" s="5" t="str">
        <f t="shared" si="102"/>
        <v/>
      </c>
      <c r="AO1609" s="18" t="str">
        <f t="shared" si="103"/>
        <v/>
      </c>
      <c r="AP1609" s="19"/>
      <c r="AQ1609" s="20" t="str">
        <f t="shared" si="104"/>
        <v/>
      </c>
      <c r="AR1609" s="21"/>
    </row>
    <row r="1610" spans="2:44" ht="31.5" x14ac:dyDescent="0.5">
      <c r="B1610" s="1"/>
      <c r="C1610" s="15"/>
      <c r="D1610" s="16"/>
      <c r="E1610" s="15"/>
      <c r="F1610" s="17"/>
      <c r="G1610" s="8"/>
      <c r="H1610" s="8"/>
      <c r="I1610" s="8"/>
      <c r="J1610" s="8"/>
      <c r="K1610" s="8"/>
      <c r="L1610" s="8"/>
      <c r="M1610" s="8"/>
      <c r="N1610" s="8"/>
      <c r="O1610" s="8"/>
      <c r="P1610" s="8"/>
      <c r="Q1610" s="8"/>
      <c r="R1610" s="8"/>
      <c r="S1610" s="8"/>
      <c r="T1610" s="8"/>
      <c r="U1610" s="8"/>
      <c r="V1610" s="8"/>
      <c r="W1610" s="8"/>
      <c r="X1610" s="8"/>
      <c r="Y1610" s="8"/>
      <c r="Z1610" s="8"/>
      <c r="AA1610" s="8"/>
      <c r="AB1610" s="8"/>
      <c r="AC1610" s="8"/>
      <c r="AD1610" s="8"/>
      <c r="AE1610" s="8"/>
      <c r="AF1610" s="8"/>
      <c r="AG1610" s="8"/>
      <c r="AH1610" s="8"/>
      <c r="AI1610" s="8"/>
      <c r="AJ1610" s="8"/>
      <c r="AK1610" s="8"/>
      <c r="AL1610" s="4"/>
      <c r="AM1610" s="5" t="str">
        <f t="shared" si="101"/>
        <v/>
      </c>
      <c r="AN1610" s="5" t="str">
        <f t="shared" si="102"/>
        <v/>
      </c>
      <c r="AO1610" s="18" t="str">
        <f t="shared" si="103"/>
        <v/>
      </c>
      <c r="AP1610" s="19"/>
      <c r="AQ1610" s="20" t="str">
        <f t="shared" si="104"/>
        <v/>
      </c>
      <c r="AR1610" s="21"/>
    </row>
    <row r="1611" spans="2:44" ht="31.5" x14ac:dyDescent="0.5">
      <c r="B1611" s="1"/>
      <c r="C1611" s="15"/>
      <c r="D1611" s="16"/>
      <c r="E1611" s="15"/>
      <c r="F1611" s="17"/>
      <c r="G1611" s="8"/>
      <c r="H1611" s="8"/>
      <c r="I1611" s="8"/>
      <c r="J1611" s="8"/>
      <c r="K1611" s="8"/>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4"/>
      <c r="AM1611" s="5" t="str">
        <f t="shared" si="101"/>
        <v/>
      </c>
      <c r="AN1611" s="5" t="str">
        <f t="shared" si="102"/>
        <v/>
      </c>
      <c r="AO1611" s="18" t="str">
        <f t="shared" si="103"/>
        <v/>
      </c>
      <c r="AP1611" s="19"/>
      <c r="AQ1611" s="20" t="str">
        <f t="shared" si="104"/>
        <v/>
      </c>
      <c r="AR1611" s="21"/>
    </row>
    <row r="1612" spans="2:44" ht="31.5" x14ac:dyDescent="0.5">
      <c r="B1612" s="1"/>
      <c r="C1612" s="15"/>
      <c r="D1612" s="16"/>
      <c r="E1612" s="15"/>
      <c r="F1612" s="17"/>
      <c r="G1612" s="8"/>
      <c r="H1612" s="8"/>
      <c r="I1612" s="8"/>
      <c r="J1612" s="8"/>
      <c r="K1612" s="8"/>
      <c r="L1612" s="8"/>
      <c r="M1612" s="8"/>
      <c r="N1612" s="8"/>
      <c r="O1612" s="8"/>
      <c r="P1612" s="8"/>
      <c r="Q1612" s="8"/>
      <c r="R1612" s="8"/>
      <c r="S1612" s="8"/>
      <c r="T1612" s="8"/>
      <c r="U1612" s="8"/>
      <c r="V1612" s="8"/>
      <c r="W1612" s="8"/>
      <c r="X1612" s="8"/>
      <c r="Y1612" s="8"/>
      <c r="Z1612" s="8"/>
      <c r="AA1612" s="8"/>
      <c r="AB1612" s="8"/>
      <c r="AC1612" s="8"/>
      <c r="AD1612" s="8"/>
      <c r="AE1612" s="8"/>
      <c r="AF1612" s="8"/>
      <c r="AG1612" s="8"/>
      <c r="AH1612" s="8"/>
      <c r="AI1612" s="8"/>
      <c r="AJ1612" s="8"/>
      <c r="AK1612" s="8"/>
      <c r="AL1612" s="4"/>
      <c r="AM1612" s="5" t="str">
        <f t="shared" si="101"/>
        <v/>
      </c>
      <c r="AN1612" s="5" t="str">
        <f t="shared" si="102"/>
        <v/>
      </c>
      <c r="AO1612" s="18" t="str">
        <f t="shared" si="103"/>
        <v/>
      </c>
      <c r="AP1612" s="19"/>
      <c r="AQ1612" s="20" t="str">
        <f t="shared" si="104"/>
        <v/>
      </c>
      <c r="AR1612" s="21"/>
    </row>
    <row r="1613" spans="2:44" ht="31.5" x14ac:dyDescent="0.5">
      <c r="B1613" s="1"/>
      <c r="C1613" s="15"/>
      <c r="D1613" s="16"/>
      <c r="E1613" s="15"/>
      <c r="F1613" s="17"/>
      <c r="G1613" s="8"/>
      <c r="H1613" s="8"/>
      <c r="I1613" s="8"/>
      <c r="J1613" s="8"/>
      <c r="K1613" s="8"/>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4"/>
      <c r="AM1613" s="5" t="str">
        <f t="shared" si="101"/>
        <v/>
      </c>
      <c r="AN1613" s="5" t="str">
        <f t="shared" si="102"/>
        <v/>
      </c>
      <c r="AO1613" s="18" t="str">
        <f t="shared" si="103"/>
        <v/>
      </c>
      <c r="AP1613" s="19"/>
      <c r="AQ1613" s="20" t="str">
        <f t="shared" si="104"/>
        <v/>
      </c>
      <c r="AR1613" s="21"/>
    </row>
    <row r="1614" spans="2:44" ht="31.5" x14ac:dyDescent="0.5">
      <c r="B1614" s="1"/>
      <c r="C1614" s="15"/>
      <c r="D1614" s="16"/>
      <c r="E1614" s="15"/>
      <c r="F1614" s="17"/>
      <c r="G1614" s="8"/>
      <c r="H1614" s="8"/>
      <c r="I1614" s="8"/>
      <c r="J1614" s="8"/>
      <c r="K1614" s="8"/>
      <c r="L1614" s="8"/>
      <c r="M1614" s="8"/>
      <c r="N1614" s="8"/>
      <c r="O1614" s="8"/>
      <c r="P1614" s="8"/>
      <c r="Q1614" s="8"/>
      <c r="R1614" s="8"/>
      <c r="S1614" s="8"/>
      <c r="T1614" s="8"/>
      <c r="U1614" s="8"/>
      <c r="V1614" s="8"/>
      <c r="W1614" s="8"/>
      <c r="X1614" s="8"/>
      <c r="Y1614" s="8"/>
      <c r="Z1614" s="8"/>
      <c r="AA1614" s="8"/>
      <c r="AB1614" s="8"/>
      <c r="AC1614" s="8"/>
      <c r="AD1614" s="8"/>
      <c r="AE1614" s="8"/>
      <c r="AF1614" s="8"/>
      <c r="AG1614" s="8"/>
      <c r="AH1614" s="8"/>
      <c r="AI1614" s="8"/>
      <c r="AJ1614" s="8"/>
      <c r="AK1614" s="8"/>
      <c r="AL1614" s="4"/>
      <c r="AM1614" s="5" t="str">
        <f t="shared" si="101"/>
        <v/>
      </c>
      <c r="AN1614" s="5" t="str">
        <f t="shared" si="102"/>
        <v/>
      </c>
      <c r="AO1614" s="18" t="str">
        <f t="shared" si="103"/>
        <v/>
      </c>
      <c r="AP1614" s="19"/>
      <c r="AQ1614" s="20" t="str">
        <f t="shared" si="104"/>
        <v/>
      </c>
      <c r="AR1614" s="21"/>
    </row>
    <row r="1615" spans="2:44" ht="31.5" x14ac:dyDescent="0.5">
      <c r="B1615" s="1"/>
      <c r="C1615" s="15"/>
      <c r="D1615" s="16"/>
      <c r="E1615" s="15"/>
      <c r="F1615" s="17"/>
      <c r="G1615" s="8"/>
      <c r="H1615" s="8"/>
      <c r="I1615" s="8"/>
      <c r="J1615" s="8"/>
      <c r="K1615" s="8"/>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4"/>
      <c r="AM1615" s="5" t="str">
        <f t="shared" si="101"/>
        <v/>
      </c>
      <c r="AN1615" s="5" t="str">
        <f t="shared" si="102"/>
        <v/>
      </c>
      <c r="AO1615" s="18" t="str">
        <f t="shared" si="103"/>
        <v/>
      </c>
      <c r="AP1615" s="19"/>
      <c r="AQ1615" s="20" t="str">
        <f t="shared" si="104"/>
        <v/>
      </c>
      <c r="AR1615" s="21"/>
    </row>
    <row r="1616" spans="2:44" ht="31.5" x14ac:dyDescent="0.5">
      <c r="B1616" s="1"/>
      <c r="C1616" s="15"/>
      <c r="D1616" s="16"/>
      <c r="E1616" s="15"/>
      <c r="F1616" s="17"/>
      <c r="G1616" s="8"/>
      <c r="H1616" s="8"/>
      <c r="I1616" s="8"/>
      <c r="J1616" s="8"/>
      <c r="K1616" s="8"/>
      <c r="L1616" s="8"/>
      <c r="M1616" s="8"/>
      <c r="N1616" s="8"/>
      <c r="O1616" s="8"/>
      <c r="P1616" s="8"/>
      <c r="Q1616" s="8"/>
      <c r="R1616" s="8"/>
      <c r="S1616" s="8"/>
      <c r="T1616" s="8"/>
      <c r="U1616" s="8"/>
      <c r="V1616" s="8"/>
      <c r="W1616" s="8"/>
      <c r="X1616" s="8"/>
      <c r="Y1616" s="8"/>
      <c r="Z1616" s="8"/>
      <c r="AA1616" s="8"/>
      <c r="AB1616" s="8"/>
      <c r="AC1616" s="8"/>
      <c r="AD1616" s="8"/>
      <c r="AE1616" s="8"/>
      <c r="AF1616" s="8"/>
      <c r="AG1616" s="8"/>
      <c r="AH1616" s="8"/>
      <c r="AI1616" s="8"/>
      <c r="AJ1616" s="8"/>
      <c r="AK1616" s="8"/>
      <c r="AL1616" s="4"/>
      <c r="AM1616" s="5" t="str">
        <f t="shared" si="101"/>
        <v/>
      </c>
      <c r="AN1616" s="5" t="str">
        <f t="shared" si="102"/>
        <v/>
      </c>
      <c r="AO1616" s="18" t="str">
        <f t="shared" si="103"/>
        <v/>
      </c>
      <c r="AP1616" s="19"/>
      <c r="AQ1616" s="20" t="str">
        <f t="shared" si="104"/>
        <v/>
      </c>
      <c r="AR1616" s="21"/>
    </row>
    <row r="1617" spans="2:44" ht="31.5" x14ac:dyDescent="0.5">
      <c r="B1617" s="1"/>
      <c r="C1617" s="15"/>
      <c r="D1617" s="16"/>
      <c r="E1617" s="15"/>
      <c r="F1617" s="17"/>
      <c r="G1617" s="8"/>
      <c r="H1617" s="8"/>
      <c r="I1617" s="8"/>
      <c r="J1617" s="8"/>
      <c r="K1617" s="8"/>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4"/>
      <c r="AM1617" s="5" t="str">
        <f t="shared" si="101"/>
        <v/>
      </c>
      <c r="AN1617" s="5" t="str">
        <f t="shared" si="102"/>
        <v/>
      </c>
      <c r="AO1617" s="18" t="str">
        <f t="shared" si="103"/>
        <v/>
      </c>
      <c r="AP1617" s="19"/>
      <c r="AQ1617" s="20" t="str">
        <f t="shared" si="104"/>
        <v/>
      </c>
      <c r="AR1617" s="21"/>
    </row>
    <row r="1618" spans="2:44" ht="31.5" x14ac:dyDescent="0.5">
      <c r="B1618" s="1"/>
      <c r="C1618" s="15"/>
      <c r="D1618" s="16"/>
      <c r="E1618" s="15"/>
      <c r="F1618" s="17"/>
      <c r="G1618" s="8"/>
      <c r="H1618" s="8"/>
      <c r="I1618" s="8"/>
      <c r="J1618" s="8"/>
      <c r="K1618" s="8"/>
      <c r="L1618" s="8"/>
      <c r="M1618" s="8"/>
      <c r="N1618" s="8"/>
      <c r="O1618" s="8"/>
      <c r="P1618" s="8"/>
      <c r="Q1618" s="8"/>
      <c r="R1618" s="8"/>
      <c r="S1618" s="8"/>
      <c r="T1618" s="8"/>
      <c r="U1618" s="8"/>
      <c r="V1618" s="8"/>
      <c r="W1618" s="8"/>
      <c r="X1618" s="8"/>
      <c r="Y1618" s="8"/>
      <c r="Z1618" s="8"/>
      <c r="AA1618" s="8"/>
      <c r="AB1618" s="8"/>
      <c r="AC1618" s="8"/>
      <c r="AD1618" s="8"/>
      <c r="AE1618" s="8"/>
      <c r="AF1618" s="8"/>
      <c r="AG1618" s="8"/>
      <c r="AH1618" s="8"/>
      <c r="AI1618" s="8"/>
      <c r="AJ1618" s="8"/>
      <c r="AK1618" s="8"/>
      <c r="AL1618" s="4"/>
      <c r="AM1618" s="5" t="str">
        <f t="shared" si="101"/>
        <v/>
      </c>
      <c r="AN1618" s="5" t="str">
        <f t="shared" si="102"/>
        <v/>
      </c>
      <c r="AO1618" s="18" t="str">
        <f t="shared" si="103"/>
        <v/>
      </c>
      <c r="AP1618" s="19"/>
      <c r="AQ1618" s="20" t="str">
        <f t="shared" si="104"/>
        <v/>
      </c>
      <c r="AR1618" s="21"/>
    </row>
    <row r="1619" spans="2:44" ht="31.5" x14ac:dyDescent="0.5">
      <c r="B1619" s="1"/>
      <c r="C1619" s="15"/>
      <c r="D1619" s="16"/>
      <c r="E1619" s="15"/>
      <c r="F1619" s="17"/>
      <c r="G1619" s="8"/>
      <c r="H1619" s="8"/>
      <c r="I1619" s="8"/>
      <c r="J1619" s="8"/>
      <c r="K1619" s="8"/>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4"/>
      <c r="AM1619" s="5" t="str">
        <f t="shared" si="101"/>
        <v/>
      </c>
      <c r="AN1619" s="5" t="str">
        <f t="shared" si="102"/>
        <v/>
      </c>
      <c r="AO1619" s="18" t="str">
        <f t="shared" si="103"/>
        <v/>
      </c>
      <c r="AP1619" s="19"/>
      <c r="AQ1619" s="20" t="str">
        <f t="shared" si="104"/>
        <v/>
      </c>
      <c r="AR1619" s="21"/>
    </row>
    <row r="1620" spans="2:44" ht="31.5" x14ac:dyDescent="0.5">
      <c r="B1620" s="1"/>
      <c r="C1620" s="15"/>
      <c r="D1620" s="16"/>
      <c r="E1620" s="15"/>
      <c r="F1620" s="17"/>
      <c r="G1620" s="8"/>
      <c r="H1620" s="8"/>
      <c r="I1620" s="8"/>
      <c r="J1620" s="8"/>
      <c r="K1620" s="8"/>
      <c r="L1620" s="8"/>
      <c r="M1620" s="8"/>
      <c r="N1620" s="8"/>
      <c r="O1620" s="8"/>
      <c r="P1620" s="8"/>
      <c r="Q1620" s="8"/>
      <c r="R1620" s="8"/>
      <c r="S1620" s="8"/>
      <c r="T1620" s="8"/>
      <c r="U1620" s="8"/>
      <c r="V1620" s="8"/>
      <c r="W1620" s="8"/>
      <c r="X1620" s="8"/>
      <c r="Y1620" s="8"/>
      <c r="Z1620" s="8"/>
      <c r="AA1620" s="8"/>
      <c r="AB1620" s="8"/>
      <c r="AC1620" s="8"/>
      <c r="AD1620" s="8"/>
      <c r="AE1620" s="8"/>
      <c r="AF1620" s="8"/>
      <c r="AG1620" s="8"/>
      <c r="AH1620" s="8"/>
      <c r="AI1620" s="8"/>
      <c r="AJ1620" s="8"/>
      <c r="AK1620" s="8"/>
      <c r="AL1620" s="4"/>
      <c r="AM1620" s="5" t="str">
        <f t="shared" si="101"/>
        <v/>
      </c>
      <c r="AN1620" s="5" t="str">
        <f t="shared" si="102"/>
        <v/>
      </c>
      <c r="AO1620" s="18" t="str">
        <f t="shared" si="103"/>
        <v/>
      </c>
      <c r="AP1620" s="19"/>
      <c r="AQ1620" s="20" t="str">
        <f t="shared" si="104"/>
        <v/>
      </c>
      <c r="AR1620" s="21"/>
    </row>
    <row r="1621" spans="2:44" ht="31.5" x14ac:dyDescent="0.5">
      <c r="B1621" s="1"/>
      <c r="C1621" s="15"/>
      <c r="D1621" s="16"/>
      <c r="E1621" s="15"/>
      <c r="F1621" s="17"/>
      <c r="G1621" s="8"/>
      <c r="H1621" s="8"/>
      <c r="I1621" s="8"/>
      <c r="J1621" s="8"/>
      <c r="K1621" s="8"/>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4"/>
      <c r="AM1621" s="5" t="str">
        <f t="shared" si="101"/>
        <v/>
      </c>
      <c r="AN1621" s="5" t="str">
        <f t="shared" si="102"/>
        <v/>
      </c>
      <c r="AO1621" s="18" t="str">
        <f t="shared" si="103"/>
        <v/>
      </c>
      <c r="AP1621" s="19"/>
      <c r="AQ1621" s="20" t="str">
        <f t="shared" si="104"/>
        <v/>
      </c>
      <c r="AR1621" s="21"/>
    </row>
    <row r="1622" spans="2:44" ht="31.5" x14ac:dyDescent="0.5">
      <c r="B1622" s="1"/>
      <c r="C1622" s="15"/>
      <c r="D1622" s="16"/>
      <c r="E1622" s="15"/>
      <c r="F1622" s="17"/>
      <c r="G1622" s="8"/>
      <c r="H1622" s="8"/>
      <c r="I1622" s="8"/>
      <c r="J1622" s="8"/>
      <c r="K1622" s="8"/>
      <c r="L1622" s="8"/>
      <c r="M1622" s="8"/>
      <c r="N1622" s="8"/>
      <c r="O1622" s="8"/>
      <c r="P1622" s="8"/>
      <c r="Q1622" s="8"/>
      <c r="R1622" s="8"/>
      <c r="S1622" s="8"/>
      <c r="T1622" s="8"/>
      <c r="U1622" s="8"/>
      <c r="V1622" s="8"/>
      <c r="W1622" s="8"/>
      <c r="X1622" s="8"/>
      <c r="Y1622" s="8"/>
      <c r="Z1622" s="8"/>
      <c r="AA1622" s="8"/>
      <c r="AB1622" s="8"/>
      <c r="AC1622" s="8"/>
      <c r="AD1622" s="8"/>
      <c r="AE1622" s="8"/>
      <c r="AF1622" s="8"/>
      <c r="AG1622" s="8"/>
      <c r="AH1622" s="8"/>
      <c r="AI1622" s="8"/>
      <c r="AJ1622" s="8"/>
      <c r="AK1622" s="8"/>
      <c r="AL1622" s="4"/>
      <c r="AM1622" s="5" t="str">
        <f t="shared" si="101"/>
        <v/>
      </c>
      <c r="AN1622" s="5" t="str">
        <f t="shared" si="102"/>
        <v/>
      </c>
      <c r="AO1622" s="18" t="str">
        <f t="shared" si="103"/>
        <v/>
      </c>
      <c r="AP1622" s="19"/>
      <c r="AQ1622" s="20" t="str">
        <f t="shared" si="104"/>
        <v/>
      </c>
      <c r="AR1622" s="21"/>
    </row>
    <row r="1623" spans="2:44" ht="31.5" x14ac:dyDescent="0.5">
      <c r="B1623" s="1"/>
      <c r="C1623" s="15"/>
      <c r="D1623" s="16"/>
      <c r="E1623" s="15"/>
      <c r="F1623" s="17"/>
      <c r="G1623" s="8"/>
      <c r="H1623" s="8"/>
      <c r="I1623" s="8"/>
      <c r="J1623" s="8"/>
      <c r="K1623" s="8"/>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4"/>
      <c r="AM1623" s="5" t="str">
        <f t="shared" si="101"/>
        <v/>
      </c>
      <c r="AN1623" s="5" t="str">
        <f t="shared" si="102"/>
        <v/>
      </c>
      <c r="AO1623" s="18" t="str">
        <f t="shared" si="103"/>
        <v/>
      </c>
      <c r="AP1623" s="19"/>
      <c r="AQ1623" s="20" t="str">
        <f t="shared" si="104"/>
        <v/>
      </c>
      <c r="AR1623" s="21"/>
    </row>
    <row r="1624" spans="2:44" ht="31.5" x14ac:dyDescent="0.5">
      <c r="B1624" s="1"/>
      <c r="C1624" s="15"/>
      <c r="D1624" s="16"/>
      <c r="E1624" s="15"/>
      <c r="F1624" s="17"/>
      <c r="G1624" s="8"/>
      <c r="H1624" s="8"/>
      <c r="I1624" s="8"/>
      <c r="J1624" s="8"/>
      <c r="K1624" s="8"/>
      <c r="L1624" s="8"/>
      <c r="M1624" s="8"/>
      <c r="N1624" s="8"/>
      <c r="O1624" s="8"/>
      <c r="P1624" s="8"/>
      <c r="Q1624" s="8"/>
      <c r="R1624" s="8"/>
      <c r="S1624" s="8"/>
      <c r="T1624" s="8"/>
      <c r="U1624" s="8"/>
      <c r="V1624" s="8"/>
      <c r="W1624" s="8"/>
      <c r="X1624" s="8"/>
      <c r="Y1624" s="8"/>
      <c r="Z1624" s="8"/>
      <c r="AA1624" s="8"/>
      <c r="AB1624" s="8"/>
      <c r="AC1624" s="8"/>
      <c r="AD1624" s="8"/>
      <c r="AE1624" s="8"/>
      <c r="AF1624" s="8"/>
      <c r="AG1624" s="8"/>
      <c r="AH1624" s="8"/>
      <c r="AI1624" s="8"/>
      <c r="AJ1624" s="8"/>
      <c r="AK1624" s="8"/>
      <c r="AL1624" s="4"/>
      <c r="AM1624" s="5" t="str">
        <f t="shared" si="101"/>
        <v/>
      </c>
      <c r="AN1624" s="5" t="str">
        <f t="shared" si="102"/>
        <v/>
      </c>
      <c r="AO1624" s="18" t="str">
        <f t="shared" si="103"/>
        <v/>
      </c>
      <c r="AP1624" s="19"/>
      <c r="AQ1624" s="20" t="str">
        <f t="shared" si="104"/>
        <v/>
      </c>
      <c r="AR1624" s="21"/>
    </row>
    <row r="1625" spans="2:44" ht="31.5" x14ac:dyDescent="0.5">
      <c r="B1625" s="1"/>
      <c r="C1625" s="15"/>
      <c r="D1625" s="16"/>
      <c r="E1625" s="15"/>
      <c r="F1625" s="17"/>
      <c r="G1625" s="8"/>
      <c r="H1625" s="8"/>
      <c r="I1625" s="8"/>
      <c r="J1625" s="8"/>
      <c r="K1625" s="8"/>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4"/>
      <c r="AM1625" s="5" t="str">
        <f t="shared" si="101"/>
        <v/>
      </c>
      <c r="AN1625" s="5" t="str">
        <f t="shared" si="102"/>
        <v/>
      </c>
      <c r="AO1625" s="18" t="str">
        <f t="shared" si="103"/>
        <v/>
      </c>
      <c r="AP1625" s="19"/>
      <c r="AQ1625" s="20" t="str">
        <f t="shared" si="104"/>
        <v/>
      </c>
      <c r="AR1625" s="21"/>
    </row>
    <row r="1626" spans="2:44" ht="31.5" x14ac:dyDescent="0.5">
      <c r="B1626" s="1"/>
      <c r="C1626" s="15"/>
      <c r="D1626" s="16"/>
      <c r="E1626" s="15"/>
      <c r="F1626" s="17"/>
      <c r="G1626" s="8"/>
      <c r="H1626" s="8"/>
      <c r="I1626" s="8"/>
      <c r="J1626" s="8"/>
      <c r="K1626" s="8"/>
      <c r="L1626" s="8"/>
      <c r="M1626" s="8"/>
      <c r="N1626" s="8"/>
      <c r="O1626" s="8"/>
      <c r="P1626" s="8"/>
      <c r="Q1626" s="8"/>
      <c r="R1626" s="8"/>
      <c r="S1626" s="8"/>
      <c r="T1626" s="8"/>
      <c r="U1626" s="8"/>
      <c r="V1626" s="8"/>
      <c r="W1626" s="8"/>
      <c r="X1626" s="8"/>
      <c r="Y1626" s="8"/>
      <c r="Z1626" s="8"/>
      <c r="AA1626" s="8"/>
      <c r="AB1626" s="8"/>
      <c r="AC1626" s="8"/>
      <c r="AD1626" s="8"/>
      <c r="AE1626" s="8"/>
      <c r="AF1626" s="8"/>
      <c r="AG1626" s="8"/>
      <c r="AH1626" s="8"/>
      <c r="AI1626" s="8"/>
      <c r="AJ1626" s="8"/>
      <c r="AK1626" s="8"/>
      <c r="AL1626" s="4"/>
      <c r="AM1626" s="5" t="str">
        <f t="shared" si="101"/>
        <v/>
      </c>
      <c r="AN1626" s="5" t="str">
        <f t="shared" si="102"/>
        <v/>
      </c>
      <c r="AO1626" s="18" t="str">
        <f t="shared" si="103"/>
        <v/>
      </c>
      <c r="AP1626" s="19"/>
      <c r="AQ1626" s="20" t="str">
        <f t="shared" si="104"/>
        <v/>
      </c>
      <c r="AR1626" s="21"/>
    </row>
    <row r="1627" spans="2:44" ht="31.5" x14ac:dyDescent="0.5">
      <c r="B1627" s="1"/>
      <c r="C1627" s="15"/>
      <c r="D1627" s="16"/>
      <c r="E1627" s="15"/>
      <c r="F1627" s="17"/>
      <c r="G1627" s="8"/>
      <c r="H1627" s="8"/>
      <c r="I1627" s="8"/>
      <c r="J1627" s="8"/>
      <c r="K1627" s="8"/>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4"/>
      <c r="AM1627" s="5" t="str">
        <f t="shared" si="101"/>
        <v/>
      </c>
      <c r="AN1627" s="5" t="str">
        <f t="shared" si="102"/>
        <v/>
      </c>
      <c r="AO1627" s="18" t="str">
        <f t="shared" si="103"/>
        <v/>
      </c>
      <c r="AP1627" s="19"/>
      <c r="AQ1627" s="20" t="str">
        <f t="shared" si="104"/>
        <v/>
      </c>
      <c r="AR1627" s="21"/>
    </row>
    <row r="1628" spans="2:44" ht="31.5" x14ac:dyDescent="0.5">
      <c r="B1628" s="1"/>
      <c r="C1628" s="15"/>
      <c r="D1628" s="16"/>
      <c r="E1628" s="15"/>
      <c r="F1628" s="17"/>
      <c r="G1628" s="8"/>
      <c r="H1628" s="8"/>
      <c r="I1628" s="8"/>
      <c r="J1628" s="8"/>
      <c r="K1628" s="8"/>
      <c r="L1628" s="8"/>
      <c r="M1628" s="8"/>
      <c r="N1628" s="8"/>
      <c r="O1628" s="8"/>
      <c r="P1628" s="8"/>
      <c r="Q1628" s="8"/>
      <c r="R1628" s="8"/>
      <c r="S1628" s="8"/>
      <c r="T1628" s="8"/>
      <c r="U1628" s="8"/>
      <c r="V1628" s="8"/>
      <c r="W1628" s="8"/>
      <c r="X1628" s="8"/>
      <c r="Y1628" s="8"/>
      <c r="Z1628" s="8"/>
      <c r="AA1628" s="8"/>
      <c r="AB1628" s="8"/>
      <c r="AC1628" s="8"/>
      <c r="AD1628" s="8"/>
      <c r="AE1628" s="8"/>
      <c r="AF1628" s="8"/>
      <c r="AG1628" s="8"/>
      <c r="AH1628" s="8"/>
      <c r="AI1628" s="8"/>
      <c r="AJ1628" s="8"/>
      <c r="AK1628" s="8"/>
      <c r="AL1628" s="4"/>
      <c r="AM1628" s="5" t="str">
        <f t="shared" si="101"/>
        <v/>
      </c>
      <c r="AN1628" s="5" t="str">
        <f t="shared" si="102"/>
        <v/>
      </c>
      <c r="AO1628" s="18" t="str">
        <f t="shared" si="103"/>
        <v/>
      </c>
      <c r="AP1628" s="19"/>
      <c r="AQ1628" s="20" t="str">
        <f t="shared" si="104"/>
        <v/>
      </c>
      <c r="AR1628" s="21"/>
    </row>
    <row r="1629" spans="2:44" ht="31.5" x14ac:dyDescent="0.5">
      <c r="B1629" s="1"/>
      <c r="C1629" s="15"/>
      <c r="D1629" s="16"/>
      <c r="E1629" s="15"/>
      <c r="F1629" s="17"/>
      <c r="G1629" s="8"/>
      <c r="H1629" s="8"/>
      <c r="I1629" s="8"/>
      <c r="J1629" s="8"/>
      <c r="K1629" s="8"/>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4"/>
      <c r="AM1629" s="5" t="str">
        <f t="shared" si="101"/>
        <v/>
      </c>
      <c r="AN1629" s="5" t="str">
        <f t="shared" si="102"/>
        <v/>
      </c>
      <c r="AO1629" s="18" t="str">
        <f t="shared" si="103"/>
        <v/>
      </c>
      <c r="AP1629" s="19"/>
      <c r="AQ1629" s="20" t="str">
        <f t="shared" si="104"/>
        <v/>
      </c>
      <c r="AR1629" s="21"/>
    </row>
    <row r="1630" spans="2:44" ht="31.5" x14ac:dyDescent="0.5">
      <c r="B1630" s="1"/>
      <c r="C1630" s="15"/>
      <c r="D1630" s="16"/>
      <c r="E1630" s="15"/>
      <c r="F1630" s="17"/>
      <c r="G1630" s="8"/>
      <c r="H1630" s="8"/>
      <c r="I1630" s="8"/>
      <c r="J1630" s="8"/>
      <c r="K1630" s="8"/>
      <c r="L1630" s="8"/>
      <c r="M1630" s="8"/>
      <c r="N1630" s="8"/>
      <c r="O1630" s="8"/>
      <c r="P1630" s="8"/>
      <c r="Q1630" s="8"/>
      <c r="R1630" s="8"/>
      <c r="S1630" s="8"/>
      <c r="T1630" s="8"/>
      <c r="U1630" s="8"/>
      <c r="V1630" s="8"/>
      <c r="W1630" s="8"/>
      <c r="X1630" s="8"/>
      <c r="Y1630" s="8"/>
      <c r="Z1630" s="8"/>
      <c r="AA1630" s="8"/>
      <c r="AB1630" s="8"/>
      <c r="AC1630" s="8"/>
      <c r="AD1630" s="8"/>
      <c r="AE1630" s="8"/>
      <c r="AF1630" s="8"/>
      <c r="AG1630" s="8"/>
      <c r="AH1630" s="8"/>
      <c r="AI1630" s="8"/>
      <c r="AJ1630" s="8"/>
      <c r="AK1630" s="8"/>
      <c r="AL1630" s="4"/>
      <c r="AM1630" s="5" t="str">
        <f t="shared" si="101"/>
        <v/>
      </c>
      <c r="AN1630" s="5" t="str">
        <f t="shared" si="102"/>
        <v/>
      </c>
      <c r="AO1630" s="18" t="str">
        <f t="shared" si="103"/>
        <v/>
      </c>
      <c r="AP1630" s="19"/>
      <c r="AQ1630" s="20" t="str">
        <f t="shared" si="104"/>
        <v/>
      </c>
      <c r="AR1630" s="21"/>
    </row>
    <row r="1631" spans="2:44" ht="31.5" x14ac:dyDescent="0.5">
      <c r="B1631" s="1"/>
      <c r="C1631" s="15"/>
      <c r="D1631" s="16"/>
      <c r="E1631" s="15"/>
      <c r="F1631" s="17"/>
      <c r="G1631" s="8"/>
      <c r="H1631" s="8"/>
      <c r="I1631" s="8"/>
      <c r="J1631" s="8"/>
      <c r="K1631" s="8"/>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4"/>
      <c r="AM1631" s="5" t="str">
        <f t="shared" si="101"/>
        <v/>
      </c>
      <c r="AN1631" s="5" t="str">
        <f t="shared" si="102"/>
        <v/>
      </c>
      <c r="AO1631" s="18" t="str">
        <f t="shared" si="103"/>
        <v/>
      </c>
      <c r="AP1631" s="19"/>
      <c r="AQ1631" s="20" t="str">
        <f t="shared" si="104"/>
        <v/>
      </c>
      <c r="AR1631" s="21"/>
    </row>
    <row r="1632" spans="2:44" ht="31.5" x14ac:dyDescent="0.5">
      <c r="B1632" s="1"/>
      <c r="C1632" s="15"/>
      <c r="D1632" s="16"/>
      <c r="E1632" s="15"/>
      <c r="F1632" s="17"/>
      <c r="G1632" s="8"/>
      <c r="H1632" s="8"/>
      <c r="I1632" s="8"/>
      <c r="J1632" s="8"/>
      <c r="K1632" s="8"/>
      <c r="L1632" s="8"/>
      <c r="M1632" s="8"/>
      <c r="N1632" s="8"/>
      <c r="O1632" s="8"/>
      <c r="P1632" s="8"/>
      <c r="Q1632" s="8"/>
      <c r="R1632" s="8"/>
      <c r="S1632" s="8"/>
      <c r="T1632" s="8"/>
      <c r="U1632" s="8"/>
      <c r="V1632" s="8"/>
      <c r="W1632" s="8"/>
      <c r="X1632" s="8"/>
      <c r="Y1632" s="8"/>
      <c r="Z1632" s="8"/>
      <c r="AA1632" s="8"/>
      <c r="AB1632" s="8"/>
      <c r="AC1632" s="8"/>
      <c r="AD1632" s="8"/>
      <c r="AE1632" s="8"/>
      <c r="AF1632" s="8"/>
      <c r="AG1632" s="8"/>
      <c r="AH1632" s="8"/>
      <c r="AI1632" s="8"/>
      <c r="AJ1632" s="8"/>
      <c r="AK1632" s="8"/>
      <c r="AL1632" s="4"/>
      <c r="AM1632" s="5" t="str">
        <f t="shared" si="101"/>
        <v/>
      </c>
      <c r="AN1632" s="5" t="str">
        <f t="shared" si="102"/>
        <v/>
      </c>
      <c r="AO1632" s="18" t="str">
        <f t="shared" si="103"/>
        <v/>
      </c>
      <c r="AP1632" s="19"/>
      <c r="AQ1632" s="20" t="str">
        <f t="shared" si="104"/>
        <v/>
      </c>
      <c r="AR1632" s="21"/>
    </row>
    <row r="1633" spans="2:44" ht="31.5" x14ac:dyDescent="0.5">
      <c r="B1633" s="1"/>
      <c r="C1633" s="15"/>
      <c r="D1633" s="16"/>
      <c r="E1633" s="15"/>
      <c r="F1633" s="17"/>
      <c r="G1633" s="8"/>
      <c r="H1633" s="8"/>
      <c r="I1633" s="8"/>
      <c r="J1633" s="8"/>
      <c r="K1633" s="8"/>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4"/>
      <c r="AM1633" s="5" t="str">
        <f t="shared" si="101"/>
        <v/>
      </c>
      <c r="AN1633" s="5" t="str">
        <f t="shared" si="102"/>
        <v/>
      </c>
      <c r="AO1633" s="18" t="str">
        <f t="shared" si="103"/>
        <v/>
      </c>
      <c r="AP1633" s="19"/>
      <c r="AQ1633" s="20" t="str">
        <f t="shared" si="104"/>
        <v/>
      </c>
      <c r="AR1633" s="21"/>
    </row>
    <row r="1634" spans="2:44" ht="31.5" x14ac:dyDescent="0.5">
      <c r="B1634" s="1"/>
      <c r="C1634" s="15"/>
      <c r="D1634" s="16"/>
      <c r="E1634" s="15"/>
      <c r="F1634" s="17"/>
      <c r="G1634" s="8"/>
      <c r="H1634" s="8"/>
      <c r="I1634" s="8"/>
      <c r="J1634" s="8"/>
      <c r="K1634" s="8"/>
      <c r="L1634" s="8"/>
      <c r="M1634" s="8"/>
      <c r="N1634" s="8"/>
      <c r="O1634" s="8"/>
      <c r="P1634" s="8"/>
      <c r="Q1634" s="8"/>
      <c r="R1634" s="8"/>
      <c r="S1634" s="8"/>
      <c r="T1634" s="8"/>
      <c r="U1634" s="8"/>
      <c r="V1634" s="8"/>
      <c r="W1634" s="8"/>
      <c r="X1634" s="8"/>
      <c r="Y1634" s="8"/>
      <c r="Z1634" s="8"/>
      <c r="AA1634" s="8"/>
      <c r="AB1634" s="8"/>
      <c r="AC1634" s="8"/>
      <c r="AD1634" s="8"/>
      <c r="AE1634" s="8"/>
      <c r="AF1634" s="8"/>
      <c r="AG1634" s="8"/>
      <c r="AH1634" s="8"/>
      <c r="AI1634" s="8"/>
      <c r="AJ1634" s="8"/>
      <c r="AK1634" s="8"/>
      <c r="AL1634" s="4"/>
      <c r="AM1634" s="5" t="str">
        <f t="shared" si="101"/>
        <v/>
      </c>
      <c r="AN1634" s="5" t="str">
        <f t="shared" si="102"/>
        <v/>
      </c>
      <c r="AO1634" s="18" t="str">
        <f t="shared" si="103"/>
        <v/>
      </c>
      <c r="AP1634" s="19"/>
      <c r="AQ1634" s="20" t="str">
        <f t="shared" si="104"/>
        <v/>
      </c>
      <c r="AR1634" s="21"/>
    </row>
    <row r="1635" spans="2:44" ht="31.5" x14ac:dyDescent="0.5">
      <c r="B1635" s="1"/>
      <c r="C1635" s="15"/>
      <c r="D1635" s="16"/>
      <c r="E1635" s="15"/>
      <c r="F1635" s="17"/>
      <c r="G1635" s="8"/>
      <c r="H1635" s="8"/>
      <c r="I1635" s="8"/>
      <c r="J1635" s="8"/>
      <c r="K1635" s="8"/>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4"/>
      <c r="AM1635" s="5" t="str">
        <f t="shared" si="101"/>
        <v/>
      </c>
      <c r="AN1635" s="5" t="str">
        <f t="shared" si="102"/>
        <v/>
      </c>
      <c r="AO1635" s="18" t="str">
        <f t="shared" si="103"/>
        <v/>
      </c>
      <c r="AP1635" s="19"/>
      <c r="AQ1635" s="20" t="str">
        <f t="shared" si="104"/>
        <v/>
      </c>
      <c r="AR1635" s="21"/>
    </row>
    <row r="1636" spans="2:44" ht="31.5" x14ac:dyDescent="0.5">
      <c r="B1636" s="1"/>
      <c r="C1636" s="15"/>
      <c r="D1636" s="16"/>
      <c r="E1636" s="15"/>
      <c r="F1636" s="17"/>
      <c r="G1636" s="8"/>
      <c r="H1636" s="8"/>
      <c r="I1636" s="8"/>
      <c r="J1636" s="8"/>
      <c r="K1636" s="8"/>
      <c r="L1636" s="8"/>
      <c r="M1636" s="8"/>
      <c r="N1636" s="8"/>
      <c r="O1636" s="8"/>
      <c r="P1636" s="8"/>
      <c r="Q1636" s="8"/>
      <c r="R1636" s="8"/>
      <c r="S1636" s="8"/>
      <c r="T1636" s="8"/>
      <c r="U1636" s="8"/>
      <c r="V1636" s="8"/>
      <c r="W1636" s="8"/>
      <c r="X1636" s="8"/>
      <c r="Y1636" s="8"/>
      <c r="Z1636" s="8"/>
      <c r="AA1636" s="8"/>
      <c r="AB1636" s="8"/>
      <c r="AC1636" s="8"/>
      <c r="AD1636" s="8"/>
      <c r="AE1636" s="8"/>
      <c r="AF1636" s="8"/>
      <c r="AG1636" s="8"/>
      <c r="AH1636" s="8"/>
      <c r="AI1636" s="8"/>
      <c r="AJ1636" s="8"/>
      <c r="AK1636" s="8"/>
      <c r="AL1636" s="4"/>
      <c r="AM1636" s="5" t="str">
        <f t="shared" si="101"/>
        <v/>
      </c>
      <c r="AN1636" s="5" t="str">
        <f t="shared" si="102"/>
        <v/>
      </c>
      <c r="AO1636" s="18" t="str">
        <f t="shared" si="103"/>
        <v/>
      </c>
      <c r="AP1636" s="19"/>
      <c r="AQ1636" s="20" t="str">
        <f t="shared" si="104"/>
        <v/>
      </c>
      <c r="AR1636" s="21"/>
    </row>
    <row r="1637" spans="2:44" ht="31.5" x14ac:dyDescent="0.5">
      <c r="B1637" s="1"/>
      <c r="C1637" s="15"/>
      <c r="D1637" s="16"/>
      <c r="E1637" s="15"/>
      <c r="F1637" s="17"/>
      <c r="G1637" s="8"/>
      <c r="H1637" s="8"/>
      <c r="I1637" s="8"/>
      <c r="J1637" s="8"/>
      <c r="K1637" s="8"/>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4"/>
      <c r="AM1637" s="5" t="str">
        <f t="shared" si="101"/>
        <v/>
      </c>
      <c r="AN1637" s="5" t="str">
        <f t="shared" si="102"/>
        <v/>
      </c>
      <c r="AO1637" s="18" t="str">
        <f t="shared" si="103"/>
        <v/>
      </c>
      <c r="AP1637" s="19"/>
      <c r="AQ1637" s="20" t="str">
        <f t="shared" si="104"/>
        <v/>
      </c>
      <c r="AR1637" s="21"/>
    </row>
    <row r="1638" spans="2:44" ht="31.5" x14ac:dyDescent="0.5">
      <c r="B1638" s="1"/>
      <c r="C1638" s="15"/>
      <c r="D1638" s="16"/>
      <c r="E1638" s="15"/>
      <c r="F1638" s="17"/>
      <c r="G1638" s="8"/>
      <c r="H1638" s="8"/>
      <c r="I1638" s="8"/>
      <c r="J1638" s="8"/>
      <c r="K1638" s="8"/>
      <c r="L1638" s="8"/>
      <c r="M1638" s="8"/>
      <c r="N1638" s="8"/>
      <c r="O1638" s="8"/>
      <c r="P1638" s="8"/>
      <c r="Q1638" s="8"/>
      <c r="R1638" s="8"/>
      <c r="S1638" s="8"/>
      <c r="T1638" s="8"/>
      <c r="U1638" s="8"/>
      <c r="V1638" s="8"/>
      <c r="W1638" s="8"/>
      <c r="X1638" s="8"/>
      <c r="Y1638" s="8"/>
      <c r="Z1638" s="8"/>
      <c r="AA1638" s="8"/>
      <c r="AB1638" s="8"/>
      <c r="AC1638" s="8"/>
      <c r="AD1638" s="8"/>
      <c r="AE1638" s="8"/>
      <c r="AF1638" s="8"/>
      <c r="AG1638" s="8"/>
      <c r="AH1638" s="8"/>
      <c r="AI1638" s="8"/>
      <c r="AJ1638" s="8"/>
      <c r="AK1638" s="8"/>
      <c r="AL1638" s="4"/>
      <c r="AM1638" s="5" t="str">
        <f t="shared" si="101"/>
        <v/>
      </c>
      <c r="AN1638" s="5" t="str">
        <f t="shared" si="102"/>
        <v/>
      </c>
      <c r="AO1638" s="18" t="str">
        <f t="shared" si="103"/>
        <v/>
      </c>
      <c r="AP1638" s="19"/>
      <c r="AQ1638" s="20" t="str">
        <f t="shared" si="104"/>
        <v/>
      </c>
      <c r="AR1638" s="21"/>
    </row>
    <row r="1639" spans="2:44" ht="31.5" x14ac:dyDescent="0.5">
      <c r="B1639" s="1"/>
      <c r="C1639" s="15"/>
      <c r="D1639" s="16"/>
      <c r="E1639" s="15"/>
      <c r="F1639" s="17"/>
      <c r="G1639" s="8"/>
      <c r="H1639" s="8"/>
      <c r="I1639" s="8"/>
      <c r="J1639" s="8"/>
      <c r="K1639" s="8"/>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4"/>
      <c r="AM1639" s="5" t="str">
        <f t="shared" si="101"/>
        <v/>
      </c>
      <c r="AN1639" s="5" t="str">
        <f t="shared" si="102"/>
        <v/>
      </c>
      <c r="AO1639" s="18" t="str">
        <f t="shared" si="103"/>
        <v/>
      </c>
      <c r="AP1639" s="19"/>
      <c r="AQ1639" s="20" t="str">
        <f t="shared" si="104"/>
        <v/>
      </c>
      <c r="AR1639" s="21"/>
    </row>
    <row r="1640" spans="2:44" ht="31.5" x14ac:dyDescent="0.5">
      <c r="B1640" s="1"/>
      <c r="C1640" s="15"/>
      <c r="D1640" s="16"/>
      <c r="E1640" s="15"/>
      <c r="F1640" s="17"/>
      <c r="G1640" s="8"/>
      <c r="H1640" s="8"/>
      <c r="I1640" s="8"/>
      <c r="J1640" s="8"/>
      <c r="K1640" s="8"/>
      <c r="L1640" s="8"/>
      <c r="M1640" s="8"/>
      <c r="N1640" s="8"/>
      <c r="O1640" s="8"/>
      <c r="P1640" s="8"/>
      <c r="Q1640" s="8"/>
      <c r="R1640" s="8"/>
      <c r="S1640" s="8"/>
      <c r="T1640" s="8"/>
      <c r="U1640" s="8"/>
      <c r="V1640" s="8"/>
      <c r="W1640" s="8"/>
      <c r="X1640" s="8"/>
      <c r="Y1640" s="8"/>
      <c r="Z1640" s="8"/>
      <c r="AA1640" s="8"/>
      <c r="AB1640" s="8"/>
      <c r="AC1640" s="8"/>
      <c r="AD1640" s="8"/>
      <c r="AE1640" s="8"/>
      <c r="AF1640" s="8"/>
      <c r="AG1640" s="8"/>
      <c r="AH1640" s="8"/>
      <c r="AI1640" s="8"/>
      <c r="AJ1640" s="8"/>
      <c r="AK1640" s="8"/>
      <c r="AL1640" s="4"/>
      <c r="AM1640" s="5" t="str">
        <f t="shared" si="101"/>
        <v/>
      </c>
      <c r="AN1640" s="5" t="str">
        <f t="shared" si="102"/>
        <v/>
      </c>
      <c r="AO1640" s="18" t="str">
        <f t="shared" si="103"/>
        <v/>
      </c>
      <c r="AP1640" s="19"/>
      <c r="AQ1640" s="20" t="str">
        <f t="shared" si="104"/>
        <v/>
      </c>
      <c r="AR1640" s="21"/>
    </row>
    <row r="1641" spans="2:44" ht="31.5" x14ac:dyDescent="0.5">
      <c r="B1641" s="1"/>
      <c r="C1641" s="15"/>
      <c r="D1641" s="16"/>
      <c r="E1641" s="15"/>
      <c r="F1641" s="17"/>
      <c r="G1641" s="8"/>
      <c r="H1641" s="8"/>
      <c r="I1641" s="8"/>
      <c r="J1641" s="8"/>
      <c r="K1641" s="8"/>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4"/>
      <c r="AM1641" s="5" t="str">
        <f t="shared" si="101"/>
        <v/>
      </c>
      <c r="AN1641" s="5" t="str">
        <f t="shared" si="102"/>
        <v/>
      </c>
      <c r="AO1641" s="18" t="str">
        <f t="shared" si="103"/>
        <v/>
      </c>
      <c r="AP1641" s="19"/>
      <c r="AQ1641" s="20" t="str">
        <f t="shared" si="104"/>
        <v/>
      </c>
      <c r="AR1641" s="21"/>
    </row>
    <row r="1642" spans="2:44" ht="31.5" x14ac:dyDescent="0.5">
      <c r="B1642" s="1"/>
      <c r="C1642" s="15"/>
      <c r="D1642" s="16"/>
      <c r="E1642" s="15"/>
      <c r="F1642" s="17"/>
      <c r="G1642" s="8"/>
      <c r="H1642" s="8"/>
      <c r="I1642" s="8"/>
      <c r="J1642" s="8"/>
      <c r="K1642" s="8"/>
      <c r="L1642" s="8"/>
      <c r="M1642" s="8"/>
      <c r="N1642" s="8"/>
      <c r="O1642" s="8"/>
      <c r="P1642" s="8"/>
      <c r="Q1642" s="8"/>
      <c r="R1642" s="8"/>
      <c r="S1642" s="8"/>
      <c r="T1642" s="8"/>
      <c r="U1642" s="8"/>
      <c r="V1642" s="8"/>
      <c r="W1642" s="8"/>
      <c r="X1642" s="8"/>
      <c r="Y1642" s="8"/>
      <c r="Z1642" s="8"/>
      <c r="AA1642" s="8"/>
      <c r="AB1642" s="8"/>
      <c r="AC1642" s="8"/>
      <c r="AD1642" s="8"/>
      <c r="AE1642" s="8"/>
      <c r="AF1642" s="8"/>
      <c r="AG1642" s="8"/>
      <c r="AH1642" s="8"/>
      <c r="AI1642" s="8"/>
      <c r="AJ1642" s="8"/>
      <c r="AK1642" s="8"/>
      <c r="AL1642" s="4"/>
      <c r="AM1642" s="5" t="str">
        <f t="shared" si="101"/>
        <v/>
      </c>
      <c r="AN1642" s="5" t="str">
        <f t="shared" si="102"/>
        <v/>
      </c>
      <c r="AO1642" s="18" t="str">
        <f t="shared" si="103"/>
        <v/>
      </c>
      <c r="AP1642" s="19"/>
      <c r="AQ1642" s="20" t="str">
        <f t="shared" si="104"/>
        <v/>
      </c>
      <c r="AR1642" s="21"/>
    </row>
    <row r="1643" spans="2:44" ht="31.5" x14ac:dyDescent="0.5">
      <c r="B1643" s="1"/>
      <c r="C1643" s="15"/>
      <c r="D1643" s="16"/>
      <c r="E1643" s="15"/>
      <c r="F1643" s="17"/>
      <c r="G1643" s="8"/>
      <c r="H1643" s="8"/>
      <c r="I1643" s="8"/>
      <c r="J1643" s="8"/>
      <c r="K1643" s="8"/>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4"/>
      <c r="AM1643" s="5" t="str">
        <f t="shared" si="101"/>
        <v/>
      </c>
      <c r="AN1643" s="5" t="str">
        <f t="shared" si="102"/>
        <v/>
      </c>
      <c r="AO1643" s="18" t="str">
        <f t="shared" si="103"/>
        <v/>
      </c>
      <c r="AP1643" s="19"/>
      <c r="AQ1643" s="20" t="str">
        <f t="shared" si="104"/>
        <v/>
      </c>
      <c r="AR1643" s="21"/>
    </row>
    <row r="1644" spans="2:44" ht="31.5" x14ac:dyDescent="0.5">
      <c r="B1644" s="1"/>
      <c r="C1644" s="15"/>
      <c r="D1644" s="16"/>
      <c r="E1644" s="15"/>
      <c r="F1644" s="17"/>
      <c r="G1644" s="8"/>
      <c r="H1644" s="8"/>
      <c r="I1644" s="8"/>
      <c r="J1644" s="8"/>
      <c r="K1644" s="8"/>
      <c r="L1644" s="8"/>
      <c r="M1644" s="8"/>
      <c r="N1644" s="8"/>
      <c r="O1644" s="8"/>
      <c r="P1644" s="8"/>
      <c r="Q1644" s="8"/>
      <c r="R1644" s="8"/>
      <c r="S1644" s="8"/>
      <c r="T1644" s="8"/>
      <c r="U1644" s="8"/>
      <c r="V1644" s="8"/>
      <c r="W1644" s="8"/>
      <c r="X1644" s="8"/>
      <c r="Y1644" s="8"/>
      <c r="Z1644" s="8"/>
      <c r="AA1644" s="8"/>
      <c r="AB1644" s="8"/>
      <c r="AC1644" s="8"/>
      <c r="AD1644" s="8"/>
      <c r="AE1644" s="8"/>
      <c r="AF1644" s="8"/>
      <c r="AG1644" s="8"/>
      <c r="AH1644" s="8"/>
      <c r="AI1644" s="8"/>
      <c r="AJ1644" s="8"/>
      <c r="AK1644" s="8"/>
      <c r="AL1644" s="4"/>
      <c r="AM1644" s="5" t="str">
        <f t="shared" si="101"/>
        <v/>
      </c>
      <c r="AN1644" s="5" t="str">
        <f t="shared" si="102"/>
        <v/>
      </c>
      <c r="AO1644" s="18" t="str">
        <f t="shared" si="103"/>
        <v/>
      </c>
      <c r="AP1644" s="19"/>
      <c r="AQ1644" s="20" t="str">
        <f t="shared" si="104"/>
        <v/>
      </c>
      <c r="AR1644" s="21"/>
    </row>
    <row r="1645" spans="2:44" ht="31.5" x14ac:dyDescent="0.5">
      <c r="B1645" s="1"/>
      <c r="C1645" s="15"/>
      <c r="D1645" s="16"/>
      <c r="E1645" s="15"/>
      <c r="F1645" s="17"/>
      <c r="G1645" s="8"/>
      <c r="H1645" s="8"/>
      <c r="I1645" s="8"/>
      <c r="J1645" s="8"/>
      <c r="K1645" s="8"/>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4"/>
      <c r="AM1645" s="5" t="str">
        <f t="shared" si="101"/>
        <v/>
      </c>
      <c r="AN1645" s="5" t="str">
        <f t="shared" si="102"/>
        <v/>
      </c>
      <c r="AO1645" s="18" t="str">
        <f t="shared" si="103"/>
        <v/>
      </c>
      <c r="AP1645" s="19"/>
      <c r="AQ1645" s="20" t="str">
        <f t="shared" si="104"/>
        <v/>
      </c>
      <c r="AR1645" s="21"/>
    </row>
    <row r="1646" spans="2:44" ht="31.5" x14ac:dyDescent="0.5">
      <c r="B1646" s="1"/>
      <c r="C1646" s="15"/>
      <c r="D1646" s="16"/>
      <c r="E1646" s="15"/>
      <c r="F1646" s="17"/>
      <c r="G1646" s="8"/>
      <c r="H1646" s="8"/>
      <c r="I1646" s="8"/>
      <c r="J1646" s="8"/>
      <c r="K1646" s="8"/>
      <c r="L1646" s="8"/>
      <c r="M1646" s="8"/>
      <c r="N1646" s="8"/>
      <c r="O1646" s="8"/>
      <c r="P1646" s="8"/>
      <c r="Q1646" s="8"/>
      <c r="R1646" s="8"/>
      <c r="S1646" s="8"/>
      <c r="T1646" s="8"/>
      <c r="U1646" s="8"/>
      <c r="V1646" s="8"/>
      <c r="W1646" s="8"/>
      <c r="X1646" s="8"/>
      <c r="Y1646" s="8"/>
      <c r="Z1646" s="8"/>
      <c r="AA1646" s="8"/>
      <c r="AB1646" s="8"/>
      <c r="AC1646" s="8"/>
      <c r="AD1646" s="8"/>
      <c r="AE1646" s="8"/>
      <c r="AF1646" s="8"/>
      <c r="AG1646" s="8"/>
      <c r="AH1646" s="8"/>
      <c r="AI1646" s="8"/>
      <c r="AJ1646" s="8"/>
      <c r="AK1646" s="8"/>
      <c r="AL1646" s="4"/>
      <c r="AM1646" s="5" t="str">
        <f t="shared" si="101"/>
        <v/>
      </c>
      <c r="AN1646" s="5" t="str">
        <f t="shared" si="102"/>
        <v/>
      </c>
      <c r="AO1646" s="18" t="str">
        <f t="shared" si="103"/>
        <v/>
      </c>
      <c r="AP1646" s="19"/>
      <c r="AQ1646" s="20" t="str">
        <f t="shared" si="104"/>
        <v/>
      </c>
      <c r="AR1646" s="21"/>
    </row>
    <row r="1647" spans="2:44" ht="31.5" x14ac:dyDescent="0.5">
      <c r="B1647" s="1"/>
      <c r="C1647" s="15"/>
      <c r="D1647" s="16"/>
      <c r="E1647" s="15"/>
      <c r="F1647" s="17"/>
      <c r="G1647" s="8"/>
      <c r="H1647" s="8"/>
      <c r="I1647" s="8"/>
      <c r="J1647" s="8"/>
      <c r="K1647" s="8"/>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4"/>
      <c r="AM1647" s="5" t="str">
        <f t="shared" si="101"/>
        <v/>
      </c>
      <c r="AN1647" s="5" t="str">
        <f t="shared" si="102"/>
        <v/>
      </c>
      <c r="AO1647" s="18" t="str">
        <f t="shared" si="103"/>
        <v/>
      </c>
      <c r="AP1647" s="19"/>
      <c r="AQ1647" s="20" t="str">
        <f t="shared" si="104"/>
        <v/>
      </c>
      <c r="AR1647" s="21"/>
    </row>
    <row r="1648" spans="2:44" ht="31.5" x14ac:dyDescent="0.5">
      <c r="B1648" s="1"/>
      <c r="C1648" s="15"/>
      <c r="D1648" s="16"/>
      <c r="E1648" s="15"/>
      <c r="F1648" s="17"/>
      <c r="G1648" s="8"/>
      <c r="H1648" s="8"/>
      <c r="I1648" s="8"/>
      <c r="J1648" s="8"/>
      <c r="K1648" s="8"/>
      <c r="L1648" s="8"/>
      <c r="M1648" s="8"/>
      <c r="N1648" s="8"/>
      <c r="O1648" s="8"/>
      <c r="P1648" s="8"/>
      <c r="Q1648" s="8"/>
      <c r="R1648" s="8"/>
      <c r="S1648" s="8"/>
      <c r="T1648" s="8"/>
      <c r="U1648" s="8"/>
      <c r="V1648" s="8"/>
      <c r="W1648" s="8"/>
      <c r="X1648" s="8"/>
      <c r="Y1648" s="8"/>
      <c r="Z1648" s="8"/>
      <c r="AA1648" s="8"/>
      <c r="AB1648" s="8"/>
      <c r="AC1648" s="8"/>
      <c r="AD1648" s="8"/>
      <c r="AE1648" s="8"/>
      <c r="AF1648" s="8"/>
      <c r="AG1648" s="8"/>
      <c r="AH1648" s="8"/>
      <c r="AI1648" s="8"/>
      <c r="AJ1648" s="8"/>
      <c r="AK1648" s="8"/>
      <c r="AL1648" s="4"/>
      <c r="AM1648" s="5" t="str">
        <f t="shared" si="101"/>
        <v/>
      </c>
      <c r="AN1648" s="5" t="str">
        <f t="shared" si="102"/>
        <v/>
      </c>
      <c r="AO1648" s="18" t="str">
        <f t="shared" si="103"/>
        <v/>
      </c>
      <c r="AP1648" s="19"/>
      <c r="AQ1648" s="20" t="str">
        <f t="shared" si="104"/>
        <v/>
      </c>
      <c r="AR1648" s="21"/>
    </row>
    <row r="1649" spans="2:44" ht="31.5" x14ac:dyDescent="0.5">
      <c r="B1649" s="1"/>
      <c r="C1649" s="15"/>
      <c r="D1649" s="16"/>
      <c r="E1649" s="15"/>
      <c r="F1649" s="17"/>
      <c r="G1649" s="8"/>
      <c r="H1649" s="8"/>
      <c r="I1649" s="8"/>
      <c r="J1649" s="8"/>
      <c r="K1649" s="8"/>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4"/>
      <c r="AM1649" s="5" t="str">
        <f t="shared" si="101"/>
        <v/>
      </c>
      <c r="AN1649" s="5" t="str">
        <f t="shared" si="102"/>
        <v/>
      </c>
      <c r="AO1649" s="18" t="str">
        <f t="shared" si="103"/>
        <v/>
      </c>
      <c r="AP1649" s="19"/>
      <c r="AQ1649" s="20" t="str">
        <f t="shared" si="104"/>
        <v/>
      </c>
      <c r="AR1649" s="21"/>
    </row>
    <row r="1650" spans="2:44" ht="31.5" x14ac:dyDescent="0.5">
      <c r="B1650" s="1"/>
      <c r="C1650" s="15"/>
      <c r="D1650" s="16"/>
      <c r="E1650" s="15"/>
      <c r="F1650" s="17"/>
      <c r="G1650" s="8"/>
      <c r="H1650" s="8"/>
      <c r="I1650" s="8"/>
      <c r="J1650" s="8"/>
      <c r="K1650" s="8"/>
      <c r="L1650" s="8"/>
      <c r="M1650" s="8"/>
      <c r="N1650" s="8"/>
      <c r="O1650" s="8"/>
      <c r="P1650" s="8"/>
      <c r="Q1650" s="8"/>
      <c r="R1650" s="8"/>
      <c r="S1650" s="8"/>
      <c r="T1650" s="8"/>
      <c r="U1650" s="8"/>
      <c r="V1650" s="8"/>
      <c r="W1650" s="8"/>
      <c r="X1650" s="8"/>
      <c r="Y1650" s="8"/>
      <c r="Z1650" s="8"/>
      <c r="AA1650" s="8"/>
      <c r="AB1650" s="8"/>
      <c r="AC1650" s="8"/>
      <c r="AD1650" s="8"/>
      <c r="AE1650" s="8"/>
      <c r="AF1650" s="8"/>
      <c r="AG1650" s="8"/>
      <c r="AH1650" s="8"/>
      <c r="AI1650" s="8"/>
      <c r="AJ1650" s="8"/>
      <c r="AK1650" s="8"/>
      <c r="AL1650" s="4"/>
      <c r="AM1650" s="5" t="str">
        <f t="shared" si="101"/>
        <v/>
      </c>
      <c r="AN1650" s="5" t="str">
        <f t="shared" si="102"/>
        <v/>
      </c>
      <c r="AO1650" s="18" t="str">
        <f t="shared" si="103"/>
        <v/>
      </c>
      <c r="AP1650" s="19"/>
      <c r="AQ1650" s="20" t="str">
        <f t="shared" si="104"/>
        <v/>
      </c>
      <c r="AR1650" s="21"/>
    </row>
    <row r="1651" spans="2:44" ht="31.5" x14ac:dyDescent="0.5">
      <c r="B1651" s="1"/>
      <c r="C1651" s="15"/>
      <c r="D1651" s="16"/>
      <c r="E1651" s="15"/>
      <c r="F1651" s="17"/>
      <c r="G1651" s="8"/>
      <c r="H1651" s="8"/>
      <c r="I1651" s="8"/>
      <c r="J1651" s="8"/>
      <c r="K1651" s="8"/>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4"/>
      <c r="AM1651" s="5" t="str">
        <f t="shared" ref="AM1651:AM1714" si="105">IF($B1651="","",COUNTIF($G1651:$AK1651,"P"))</f>
        <v/>
      </c>
      <c r="AN1651" s="5" t="str">
        <f t="shared" ref="AN1651:AN1714" si="106">IF($B1651="","",COUNTIF($G1651:$AK1651,"AB"))</f>
        <v/>
      </c>
      <c r="AO1651" s="18" t="str">
        <f t="shared" ref="AO1651:AO1714" si="107">IF($B1651="","",SUMPRODUCT(--($G$11:$AK$11&lt;&gt;""),--($G$12:$AK$12&lt;&gt;"Sun")))</f>
        <v/>
      </c>
      <c r="AP1651" s="19"/>
      <c r="AQ1651" s="20" t="str">
        <f t="shared" ref="AQ1651:AQ1714" si="108">IF($B1651="","",IF(AO1651=0,"",AM1651/AO1651))</f>
        <v/>
      </c>
      <c r="AR1651" s="21"/>
    </row>
    <row r="1652" spans="2:44" ht="31.5" x14ac:dyDescent="0.5">
      <c r="B1652" s="1"/>
      <c r="C1652" s="15"/>
      <c r="D1652" s="16"/>
      <c r="E1652" s="15"/>
      <c r="F1652" s="17"/>
      <c r="G1652" s="8"/>
      <c r="H1652" s="8"/>
      <c r="I1652" s="8"/>
      <c r="J1652" s="8"/>
      <c r="K1652" s="8"/>
      <c r="L1652" s="8"/>
      <c r="M1652" s="8"/>
      <c r="N1652" s="8"/>
      <c r="O1652" s="8"/>
      <c r="P1652" s="8"/>
      <c r="Q1652" s="8"/>
      <c r="R1652" s="8"/>
      <c r="S1652" s="8"/>
      <c r="T1652" s="8"/>
      <c r="U1652" s="8"/>
      <c r="V1652" s="8"/>
      <c r="W1652" s="8"/>
      <c r="X1652" s="8"/>
      <c r="Y1652" s="8"/>
      <c r="Z1652" s="8"/>
      <c r="AA1652" s="8"/>
      <c r="AB1652" s="8"/>
      <c r="AC1652" s="8"/>
      <c r="AD1652" s="8"/>
      <c r="AE1652" s="8"/>
      <c r="AF1652" s="8"/>
      <c r="AG1652" s="8"/>
      <c r="AH1652" s="8"/>
      <c r="AI1652" s="8"/>
      <c r="AJ1652" s="8"/>
      <c r="AK1652" s="8"/>
      <c r="AL1652" s="4"/>
      <c r="AM1652" s="5" t="str">
        <f t="shared" si="105"/>
        <v/>
      </c>
      <c r="AN1652" s="5" t="str">
        <f t="shared" si="106"/>
        <v/>
      </c>
      <c r="AO1652" s="18" t="str">
        <f t="shared" si="107"/>
        <v/>
      </c>
      <c r="AP1652" s="19"/>
      <c r="AQ1652" s="20" t="str">
        <f t="shared" si="108"/>
        <v/>
      </c>
      <c r="AR1652" s="21"/>
    </row>
    <row r="1653" spans="2:44" ht="31.5" x14ac:dyDescent="0.5">
      <c r="B1653" s="1"/>
      <c r="C1653" s="15"/>
      <c r="D1653" s="16"/>
      <c r="E1653" s="15"/>
      <c r="F1653" s="17"/>
      <c r="G1653" s="8"/>
      <c r="H1653" s="8"/>
      <c r="I1653" s="8"/>
      <c r="J1653" s="8"/>
      <c r="K1653" s="8"/>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4"/>
      <c r="AM1653" s="5" t="str">
        <f t="shared" si="105"/>
        <v/>
      </c>
      <c r="AN1653" s="5" t="str">
        <f t="shared" si="106"/>
        <v/>
      </c>
      <c r="AO1653" s="18" t="str">
        <f t="shared" si="107"/>
        <v/>
      </c>
      <c r="AP1653" s="19"/>
      <c r="AQ1653" s="20" t="str">
        <f t="shared" si="108"/>
        <v/>
      </c>
      <c r="AR1653" s="21"/>
    </row>
    <row r="1654" spans="2:44" ht="31.5" x14ac:dyDescent="0.5">
      <c r="B1654" s="1"/>
      <c r="C1654" s="15"/>
      <c r="D1654" s="16"/>
      <c r="E1654" s="15"/>
      <c r="F1654" s="17"/>
      <c r="G1654" s="8"/>
      <c r="H1654" s="8"/>
      <c r="I1654" s="8"/>
      <c r="J1654" s="8"/>
      <c r="K1654" s="8"/>
      <c r="L1654" s="8"/>
      <c r="M1654" s="8"/>
      <c r="N1654" s="8"/>
      <c r="O1654" s="8"/>
      <c r="P1654" s="8"/>
      <c r="Q1654" s="8"/>
      <c r="R1654" s="8"/>
      <c r="S1654" s="8"/>
      <c r="T1654" s="8"/>
      <c r="U1654" s="8"/>
      <c r="V1654" s="8"/>
      <c r="W1654" s="8"/>
      <c r="X1654" s="8"/>
      <c r="Y1654" s="8"/>
      <c r="Z1654" s="8"/>
      <c r="AA1654" s="8"/>
      <c r="AB1654" s="8"/>
      <c r="AC1654" s="8"/>
      <c r="AD1654" s="8"/>
      <c r="AE1654" s="8"/>
      <c r="AF1654" s="8"/>
      <c r="AG1654" s="8"/>
      <c r="AH1654" s="8"/>
      <c r="AI1654" s="8"/>
      <c r="AJ1654" s="8"/>
      <c r="AK1654" s="8"/>
      <c r="AL1654" s="4"/>
      <c r="AM1654" s="5" t="str">
        <f t="shared" si="105"/>
        <v/>
      </c>
      <c r="AN1654" s="5" t="str">
        <f t="shared" si="106"/>
        <v/>
      </c>
      <c r="AO1654" s="18" t="str">
        <f t="shared" si="107"/>
        <v/>
      </c>
      <c r="AP1654" s="19"/>
      <c r="AQ1654" s="20" t="str">
        <f t="shared" si="108"/>
        <v/>
      </c>
      <c r="AR1654" s="21"/>
    </row>
    <row r="1655" spans="2:44" ht="31.5" x14ac:dyDescent="0.5">
      <c r="B1655" s="1"/>
      <c r="C1655" s="15"/>
      <c r="D1655" s="16"/>
      <c r="E1655" s="15"/>
      <c r="F1655" s="17"/>
      <c r="G1655" s="8"/>
      <c r="H1655" s="8"/>
      <c r="I1655" s="8"/>
      <c r="J1655" s="8"/>
      <c r="K1655" s="8"/>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4"/>
      <c r="AM1655" s="5" t="str">
        <f t="shared" si="105"/>
        <v/>
      </c>
      <c r="AN1655" s="5" t="str">
        <f t="shared" si="106"/>
        <v/>
      </c>
      <c r="AO1655" s="18" t="str">
        <f t="shared" si="107"/>
        <v/>
      </c>
      <c r="AP1655" s="19"/>
      <c r="AQ1655" s="20" t="str">
        <f t="shared" si="108"/>
        <v/>
      </c>
      <c r="AR1655" s="21"/>
    </row>
    <row r="1656" spans="2:44" ht="31.5" x14ac:dyDescent="0.5">
      <c r="B1656" s="1"/>
      <c r="C1656" s="15"/>
      <c r="D1656" s="16"/>
      <c r="E1656" s="15"/>
      <c r="F1656" s="17"/>
      <c r="G1656" s="8"/>
      <c r="H1656" s="8"/>
      <c r="I1656" s="8"/>
      <c r="J1656" s="8"/>
      <c r="K1656" s="8"/>
      <c r="L1656" s="8"/>
      <c r="M1656" s="8"/>
      <c r="N1656" s="8"/>
      <c r="O1656" s="8"/>
      <c r="P1656" s="8"/>
      <c r="Q1656" s="8"/>
      <c r="R1656" s="8"/>
      <c r="S1656" s="8"/>
      <c r="T1656" s="8"/>
      <c r="U1656" s="8"/>
      <c r="V1656" s="8"/>
      <c r="W1656" s="8"/>
      <c r="X1656" s="8"/>
      <c r="Y1656" s="8"/>
      <c r="Z1656" s="8"/>
      <c r="AA1656" s="8"/>
      <c r="AB1656" s="8"/>
      <c r="AC1656" s="8"/>
      <c r="AD1656" s="8"/>
      <c r="AE1656" s="8"/>
      <c r="AF1656" s="8"/>
      <c r="AG1656" s="8"/>
      <c r="AH1656" s="8"/>
      <c r="AI1656" s="8"/>
      <c r="AJ1656" s="8"/>
      <c r="AK1656" s="8"/>
      <c r="AL1656" s="4"/>
      <c r="AM1656" s="5" t="str">
        <f t="shared" si="105"/>
        <v/>
      </c>
      <c r="AN1656" s="5" t="str">
        <f t="shared" si="106"/>
        <v/>
      </c>
      <c r="AO1656" s="18" t="str">
        <f t="shared" si="107"/>
        <v/>
      </c>
      <c r="AP1656" s="19"/>
      <c r="AQ1656" s="20" t="str">
        <f t="shared" si="108"/>
        <v/>
      </c>
      <c r="AR1656" s="21"/>
    </row>
    <row r="1657" spans="2:44" ht="31.5" x14ac:dyDescent="0.5">
      <c r="B1657" s="1"/>
      <c r="C1657" s="15"/>
      <c r="D1657" s="16"/>
      <c r="E1657" s="15"/>
      <c r="F1657" s="17"/>
      <c r="G1657" s="8"/>
      <c r="H1657" s="8"/>
      <c r="I1657" s="8"/>
      <c r="J1657" s="8"/>
      <c r="K1657" s="8"/>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4"/>
      <c r="AM1657" s="5" t="str">
        <f t="shared" si="105"/>
        <v/>
      </c>
      <c r="AN1657" s="5" t="str">
        <f t="shared" si="106"/>
        <v/>
      </c>
      <c r="AO1657" s="18" t="str">
        <f t="shared" si="107"/>
        <v/>
      </c>
      <c r="AP1657" s="19"/>
      <c r="AQ1657" s="20" t="str">
        <f t="shared" si="108"/>
        <v/>
      </c>
      <c r="AR1657" s="21"/>
    </row>
    <row r="1658" spans="2:44" ht="31.5" x14ac:dyDescent="0.5">
      <c r="B1658" s="1"/>
      <c r="C1658" s="15"/>
      <c r="D1658" s="16"/>
      <c r="E1658" s="15"/>
      <c r="F1658" s="17"/>
      <c r="G1658" s="8"/>
      <c r="H1658" s="8"/>
      <c r="I1658" s="8"/>
      <c r="J1658" s="8"/>
      <c r="K1658" s="8"/>
      <c r="L1658" s="8"/>
      <c r="M1658" s="8"/>
      <c r="N1658" s="8"/>
      <c r="O1658" s="8"/>
      <c r="P1658" s="8"/>
      <c r="Q1658" s="8"/>
      <c r="R1658" s="8"/>
      <c r="S1658" s="8"/>
      <c r="T1658" s="8"/>
      <c r="U1658" s="8"/>
      <c r="V1658" s="8"/>
      <c r="W1658" s="8"/>
      <c r="X1658" s="8"/>
      <c r="Y1658" s="8"/>
      <c r="Z1658" s="8"/>
      <c r="AA1658" s="8"/>
      <c r="AB1658" s="8"/>
      <c r="AC1658" s="8"/>
      <c r="AD1658" s="8"/>
      <c r="AE1658" s="8"/>
      <c r="AF1658" s="8"/>
      <c r="AG1658" s="8"/>
      <c r="AH1658" s="8"/>
      <c r="AI1658" s="8"/>
      <c r="AJ1658" s="8"/>
      <c r="AK1658" s="8"/>
      <c r="AL1658" s="4"/>
      <c r="AM1658" s="5" t="str">
        <f t="shared" si="105"/>
        <v/>
      </c>
      <c r="AN1658" s="5" t="str">
        <f t="shared" si="106"/>
        <v/>
      </c>
      <c r="AO1658" s="18" t="str">
        <f t="shared" si="107"/>
        <v/>
      </c>
      <c r="AP1658" s="19"/>
      <c r="AQ1658" s="20" t="str">
        <f t="shared" si="108"/>
        <v/>
      </c>
      <c r="AR1658" s="21"/>
    </row>
    <row r="1659" spans="2:44" ht="31.5" x14ac:dyDescent="0.5">
      <c r="B1659" s="1"/>
      <c r="C1659" s="15"/>
      <c r="D1659" s="16"/>
      <c r="E1659" s="15"/>
      <c r="F1659" s="17"/>
      <c r="G1659" s="8"/>
      <c r="H1659" s="8"/>
      <c r="I1659" s="8"/>
      <c r="J1659" s="8"/>
      <c r="K1659" s="8"/>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4"/>
      <c r="AM1659" s="5" t="str">
        <f t="shared" si="105"/>
        <v/>
      </c>
      <c r="AN1659" s="5" t="str">
        <f t="shared" si="106"/>
        <v/>
      </c>
      <c r="AO1659" s="18" t="str">
        <f t="shared" si="107"/>
        <v/>
      </c>
      <c r="AP1659" s="19"/>
      <c r="AQ1659" s="20" t="str">
        <f t="shared" si="108"/>
        <v/>
      </c>
      <c r="AR1659" s="21"/>
    </row>
    <row r="1660" spans="2:44" ht="31.5" x14ac:dyDescent="0.5">
      <c r="B1660" s="1"/>
      <c r="C1660" s="15"/>
      <c r="D1660" s="16"/>
      <c r="E1660" s="15"/>
      <c r="F1660" s="17"/>
      <c r="G1660" s="8"/>
      <c r="H1660" s="8"/>
      <c r="I1660" s="8"/>
      <c r="J1660" s="8"/>
      <c r="K1660" s="8"/>
      <c r="L1660" s="8"/>
      <c r="M1660" s="8"/>
      <c r="N1660" s="8"/>
      <c r="O1660" s="8"/>
      <c r="P1660" s="8"/>
      <c r="Q1660" s="8"/>
      <c r="R1660" s="8"/>
      <c r="S1660" s="8"/>
      <c r="T1660" s="8"/>
      <c r="U1660" s="8"/>
      <c r="V1660" s="8"/>
      <c r="W1660" s="8"/>
      <c r="X1660" s="8"/>
      <c r="Y1660" s="8"/>
      <c r="Z1660" s="8"/>
      <c r="AA1660" s="8"/>
      <c r="AB1660" s="8"/>
      <c r="AC1660" s="8"/>
      <c r="AD1660" s="8"/>
      <c r="AE1660" s="8"/>
      <c r="AF1660" s="8"/>
      <c r="AG1660" s="8"/>
      <c r="AH1660" s="8"/>
      <c r="AI1660" s="8"/>
      <c r="AJ1660" s="8"/>
      <c r="AK1660" s="8"/>
      <c r="AL1660" s="4"/>
      <c r="AM1660" s="5" t="str">
        <f t="shared" si="105"/>
        <v/>
      </c>
      <c r="AN1660" s="5" t="str">
        <f t="shared" si="106"/>
        <v/>
      </c>
      <c r="AO1660" s="18" t="str">
        <f t="shared" si="107"/>
        <v/>
      </c>
      <c r="AP1660" s="19"/>
      <c r="AQ1660" s="20" t="str">
        <f t="shared" si="108"/>
        <v/>
      </c>
      <c r="AR1660" s="21"/>
    </row>
    <row r="1661" spans="2:44" ht="31.5" x14ac:dyDescent="0.5">
      <c r="B1661" s="1"/>
      <c r="C1661" s="15"/>
      <c r="D1661" s="16"/>
      <c r="E1661" s="15"/>
      <c r="F1661" s="17"/>
      <c r="G1661" s="8"/>
      <c r="H1661" s="8"/>
      <c r="I1661" s="8"/>
      <c r="J1661" s="8"/>
      <c r="K1661" s="8"/>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4"/>
      <c r="AM1661" s="5" t="str">
        <f t="shared" si="105"/>
        <v/>
      </c>
      <c r="AN1661" s="5" t="str">
        <f t="shared" si="106"/>
        <v/>
      </c>
      <c r="AO1661" s="18" t="str">
        <f t="shared" si="107"/>
        <v/>
      </c>
      <c r="AP1661" s="19"/>
      <c r="AQ1661" s="20" t="str">
        <f t="shared" si="108"/>
        <v/>
      </c>
      <c r="AR1661" s="21"/>
    </row>
    <row r="1662" spans="2:44" ht="31.5" x14ac:dyDescent="0.5">
      <c r="B1662" s="1"/>
      <c r="C1662" s="15"/>
      <c r="D1662" s="16"/>
      <c r="E1662" s="15"/>
      <c r="F1662" s="17"/>
      <c r="G1662" s="8"/>
      <c r="H1662" s="8"/>
      <c r="I1662" s="8"/>
      <c r="J1662" s="8"/>
      <c r="K1662" s="8"/>
      <c r="L1662" s="8"/>
      <c r="M1662" s="8"/>
      <c r="N1662" s="8"/>
      <c r="O1662" s="8"/>
      <c r="P1662" s="8"/>
      <c r="Q1662" s="8"/>
      <c r="R1662" s="8"/>
      <c r="S1662" s="8"/>
      <c r="T1662" s="8"/>
      <c r="U1662" s="8"/>
      <c r="V1662" s="8"/>
      <c r="W1662" s="8"/>
      <c r="X1662" s="8"/>
      <c r="Y1662" s="8"/>
      <c r="Z1662" s="8"/>
      <c r="AA1662" s="8"/>
      <c r="AB1662" s="8"/>
      <c r="AC1662" s="8"/>
      <c r="AD1662" s="8"/>
      <c r="AE1662" s="8"/>
      <c r="AF1662" s="8"/>
      <c r="AG1662" s="8"/>
      <c r="AH1662" s="8"/>
      <c r="AI1662" s="8"/>
      <c r="AJ1662" s="8"/>
      <c r="AK1662" s="8"/>
      <c r="AL1662" s="4"/>
      <c r="AM1662" s="5" t="str">
        <f t="shared" si="105"/>
        <v/>
      </c>
      <c r="AN1662" s="5" t="str">
        <f t="shared" si="106"/>
        <v/>
      </c>
      <c r="AO1662" s="18" t="str">
        <f t="shared" si="107"/>
        <v/>
      </c>
      <c r="AP1662" s="19"/>
      <c r="AQ1662" s="20" t="str">
        <f t="shared" si="108"/>
        <v/>
      </c>
      <c r="AR1662" s="21"/>
    </row>
    <row r="1663" spans="2:44" ht="31.5" x14ac:dyDescent="0.5">
      <c r="B1663" s="1"/>
      <c r="C1663" s="15"/>
      <c r="D1663" s="16"/>
      <c r="E1663" s="15"/>
      <c r="F1663" s="17"/>
      <c r="G1663" s="8"/>
      <c r="H1663" s="8"/>
      <c r="I1663" s="8"/>
      <c r="J1663" s="8"/>
      <c r="K1663" s="8"/>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4"/>
      <c r="AM1663" s="5" t="str">
        <f t="shared" si="105"/>
        <v/>
      </c>
      <c r="AN1663" s="5" t="str">
        <f t="shared" si="106"/>
        <v/>
      </c>
      <c r="AO1663" s="18" t="str">
        <f t="shared" si="107"/>
        <v/>
      </c>
      <c r="AP1663" s="19"/>
      <c r="AQ1663" s="20" t="str">
        <f t="shared" si="108"/>
        <v/>
      </c>
      <c r="AR1663" s="21"/>
    </row>
    <row r="1664" spans="2:44" ht="31.5" x14ac:dyDescent="0.5">
      <c r="B1664" s="1"/>
      <c r="C1664" s="15"/>
      <c r="D1664" s="16"/>
      <c r="E1664" s="15"/>
      <c r="F1664" s="17"/>
      <c r="G1664" s="8"/>
      <c r="H1664" s="8"/>
      <c r="I1664" s="8"/>
      <c r="J1664" s="8"/>
      <c r="K1664" s="8"/>
      <c r="L1664" s="8"/>
      <c r="M1664" s="8"/>
      <c r="N1664" s="8"/>
      <c r="O1664" s="8"/>
      <c r="P1664" s="8"/>
      <c r="Q1664" s="8"/>
      <c r="R1664" s="8"/>
      <c r="S1664" s="8"/>
      <c r="T1664" s="8"/>
      <c r="U1664" s="8"/>
      <c r="V1664" s="8"/>
      <c r="W1664" s="8"/>
      <c r="X1664" s="8"/>
      <c r="Y1664" s="8"/>
      <c r="Z1664" s="8"/>
      <c r="AA1664" s="8"/>
      <c r="AB1664" s="8"/>
      <c r="AC1664" s="8"/>
      <c r="AD1664" s="8"/>
      <c r="AE1664" s="8"/>
      <c r="AF1664" s="8"/>
      <c r="AG1664" s="8"/>
      <c r="AH1664" s="8"/>
      <c r="AI1664" s="8"/>
      <c r="AJ1664" s="8"/>
      <c r="AK1664" s="8"/>
      <c r="AL1664" s="4"/>
      <c r="AM1664" s="5" t="str">
        <f t="shared" si="105"/>
        <v/>
      </c>
      <c r="AN1664" s="5" t="str">
        <f t="shared" si="106"/>
        <v/>
      </c>
      <c r="AO1664" s="18" t="str">
        <f t="shared" si="107"/>
        <v/>
      </c>
      <c r="AP1664" s="19"/>
      <c r="AQ1664" s="20" t="str">
        <f t="shared" si="108"/>
        <v/>
      </c>
      <c r="AR1664" s="21"/>
    </row>
    <row r="1665" spans="2:44" ht="31.5" x14ac:dyDescent="0.5">
      <c r="B1665" s="1"/>
      <c r="C1665" s="15"/>
      <c r="D1665" s="16"/>
      <c r="E1665" s="15"/>
      <c r="F1665" s="17"/>
      <c r="G1665" s="8"/>
      <c r="H1665" s="8"/>
      <c r="I1665" s="8"/>
      <c r="J1665" s="8"/>
      <c r="K1665" s="8"/>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4"/>
      <c r="AM1665" s="5" t="str">
        <f t="shared" si="105"/>
        <v/>
      </c>
      <c r="AN1665" s="5" t="str">
        <f t="shared" si="106"/>
        <v/>
      </c>
      <c r="AO1665" s="18" t="str">
        <f t="shared" si="107"/>
        <v/>
      </c>
      <c r="AP1665" s="19"/>
      <c r="AQ1665" s="20" t="str">
        <f t="shared" si="108"/>
        <v/>
      </c>
      <c r="AR1665" s="21"/>
    </row>
    <row r="1666" spans="2:44" ht="31.5" x14ac:dyDescent="0.5">
      <c r="B1666" s="1"/>
      <c r="C1666" s="15"/>
      <c r="D1666" s="16"/>
      <c r="E1666" s="15"/>
      <c r="F1666" s="17"/>
      <c r="G1666" s="8"/>
      <c r="H1666" s="8"/>
      <c r="I1666" s="8"/>
      <c r="J1666" s="8"/>
      <c r="K1666" s="8"/>
      <c r="L1666" s="8"/>
      <c r="M1666" s="8"/>
      <c r="N1666" s="8"/>
      <c r="O1666" s="8"/>
      <c r="P1666" s="8"/>
      <c r="Q1666" s="8"/>
      <c r="R1666" s="8"/>
      <c r="S1666" s="8"/>
      <c r="T1666" s="8"/>
      <c r="U1666" s="8"/>
      <c r="V1666" s="8"/>
      <c r="W1666" s="8"/>
      <c r="X1666" s="8"/>
      <c r="Y1666" s="8"/>
      <c r="Z1666" s="8"/>
      <c r="AA1666" s="8"/>
      <c r="AB1666" s="8"/>
      <c r="AC1666" s="8"/>
      <c r="AD1666" s="8"/>
      <c r="AE1666" s="8"/>
      <c r="AF1666" s="8"/>
      <c r="AG1666" s="8"/>
      <c r="AH1666" s="8"/>
      <c r="AI1666" s="8"/>
      <c r="AJ1666" s="8"/>
      <c r="AK1666" s="8"/>
      <c r="AL1666" s="4"/>
      <c r="AM1666" s="5" t="str">
        <f t="shared" si="105"/>
        <v/>
      </c>
      <c r="AN1666" s="5" t="str">
        <f t="shared" si="106"/>
        <v/>
      </c>
      <c r="AO1666" s="18" t="str">
        <f t="shared" si="107"/>
        <v/>
      </c>
      <c r="AP1666" s="19"/>
      <c r="AQ1666" s="20" t="str">
        <f t="shared" si="108"/>
        <v/>
      </c>
      <c r="AR1666" s="21"/>
    </row>
    <row r="1667" spans="2:44" ht="31.5" x14ac:dyDescent="0.5">
      <c r="B1667" s="1"/>
      <c r="C1667" s="15"/>
      <c r="D1667" s="16"/>
      <c r="E1667" s="15"/>
      <c r="F1667" s="17"/>
      <c r="G1667" s="8"/>
      <c r="H1667" s="8"/>
      <c r="I1667" s="8"/>
      <c r="J1667" s="8"/>
      <c r="K1667" s="8"/>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4"/>
      <c r="AM1667" s="5" t="str">
        <f t="shared" si="105"/>
        <v/>
      </c>
      <c r="AN1667" s="5" t="str">
        <f t="shared" si="106"/>
        <v/>
      </c>
      <c r="AO1667" s="18" t="str">
        <f t="shared" si="107"/>
        <v/>
      </c>
      <c r="AP1667" s="19"/>
      <c r="AQ1667" s="20" t="str">
        <f t="shared" si="108"/>
        <v/>
      </c>
      <c r="AR1667" s="21"/>
    </row>
    <row r="1668" spans="2:44" ht="31.5" x14ac:dyDescent="0.5">
      <c r="B1668" s="1"/>
      <c r="C1668" s="15"/>
      <c r="D1668" s="16"/>
      <c r="E1668" s="15"/>
      <c r="F1668" s="17"/>
      <c r="G1668" s="8"/>
      <c r="H1668" s="8"/>
      <c r="I1668" s="8"/>
      <c r="J1668" s="8"/>
      <c r="K1668" s="8"/>
      <c r="L1668" s="8"/>
      <c r="M1668" s="8"/>
      <c r="N1668" s="8"/>
      <c r="O1668" s="8"/>
      <c r="P1668" s="8"/>
      <c r="Q1668" s="8"/>
      <c r="R1668" s="8"/>
      <c r="S1668" s="8"/>
      <c r="T1668" s="8"/>
      <c r="U1668" s="8"/>
      <c r="V1668" s="8"/>
      <c r="W1668" s="8"/>
      <c r="X1668" s="8"/>
      <c r="Y1668" s="8"/>
      <c r="Z1668" s="8"/>
      <c r="AA1668" s="8"/>
      <c r="AB1668" s="8"/>
      <c r="AC1668" s="8"/>
      <c r="AD1668" s="8"/>
      <c r="AE1668" s="8"/>
      <c r="AF1668" s="8"/>
      <c r="AG1668" s="8"/>
      <c r="AH1668" s="8"/>
      <c r="AI1668" s="8"/>
      <c r="AJ1668" s="8"/>
      <c r="AK1668" s="8"/>
      <c r="AL1668" s="4"/>
      <c r="AM1668" s="5" t="str">
        <f t="shared" si="105"/>
        <v/>
      </c>
      <c r="AN1668" s="5" t="str">
        <f t="shared" si="106"/>
        <v/>
      </c>
      <c r="AO1668" s="18" t="str">
        <f t="shared" si="107"/>
        <v/>
      </c>
      <c r="AP1668" s="19"/>
      <c r="AQ1668" s="20" t="str">
        <f t="shared" si="108"/>
        <v/>
      </c>
      <c r="AR1668" s="21"/>
    </row>
    <row r="1669" spans="2:44" ht="31.5" x14ac:dyDescent="0.5">
      <c r="B1669" s="1"/>
      <c r="C1669" s="15"/>
      <c r="D1669" s="16"/>
      <c r="E1669" s="15"/>
      <c r="F1669" s="17"/>
      <c r="G1669" s="8"/>
      <c r="H1669" s="8"/>
      <c r="I1669" s="8"/>
      <c r="J1669" s="8"/>
      <c r="K1669" s="8"/>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4"/>
      <c r="AM1669" s="5" t="str">
        <f t="shared" si="105"/>
        <v/>
      </c>
      <c r="AN1669" s="5" t="str">
        <f t="shared" si="106"/>
        <v/>
      </c>
      <c r="AO1669" s="18" t="str">
        <f t="shared" si="107"/>
        <v/>
      </c>
      <c r="AP1669" s="19"/>
      <c r="AQ1669" s="20" t="str">
        <f t="shared" si="108"/>
        <v/>
      </c>
      <c r="AR1669" s="21"/>
    </row>
    <row r="1670" spans="2:44" ht="31.5" x14ac:dyDescent="0.5">
      <c r="B1670" s="1"/>
      <c r="C1670" s="15"/>
      <c r="D1670" s="16"/>
      <c r="E1670" s="15"/>
      <c r="F1670" s="17"/>
      <c r="G1670" s="8"/>
      <c r="H1670" s="8"/>
      <c r="I1670" s="8"/>
      <c r="J1670" s="8"/>
      <c r="K1670" s="8"/>
      <c r="L1670" s="8"/>
      <c r="M1670" s="8"/>
      <c r="N1670" s="8"/>
      <c r="O1670" s="8"/>
      <c r="P1670" s="8"/>
      <c r="Q1670" s="8"/>
      <c r="R1670" s="8"/>
      <c r="S1670" s="8"/>
      <c r="T1670" s="8"/>
      <c r="U1670" s="8"/>
      <c r="V1670" s="8"/>
      <c r="W1670" s="8"/>
      <c r="X1670" s="8"/>
      <c r="Y1670" s="8"/>
      <c r="Z1670" s="8"/>
      <c r="AA1670" s="8"/>
      <c r="AB1670" s="8"/>
      <c r="AC1670" s="8"/>
      <c r="AD1670" s="8"/>
      <c r="AE1670" s="8"/>
      <c r="AF1670" s="8"/>
      <c r="AG1670" s="8"/>
      <c r="AH1670" s="8"/>
      <c r="AI1670" s="8"/>
      <c r="AJ1670" s="8"/>
      <c r="AK1670" s="8"/>
      <c r="AL1670" s="4"/>
      <c r="AM1670" s="5" t="str">
        <f t="shared" si="105"/>
        <v/>
      </c>
      <c r="AN1670" s="5" t="str">
        <f t="shared" si="106"/>
        <v/>
      </c>
      <c r="AO1670" s="18" t="str">
        <f t="shared" si="107"/>
        <v/>
      </c>
      <c r="AP1670" s="19"/>
      <c r="AQ1670" s="20" t="str">
        <f t="shared" si="108"/>
        <v/>
      </c>
      <c r="AR1670" s="21"/>
    </row>
    <row r="1671" spans="2:44" ht="31.5" x14ac:dyDescent="0.5">
      <c r="B1671" s="1"/>
      <c r="C1671" s="15"/>
      <c r="D1671" s="16"/>
      <c r="E1671" s="15"/>
      <c r="F1671" s="17"/>
      <c r="G1671" s="8"/>
      <c r="H1671" s="8"/>
      <c r="I1671" s="8"/>
      <c r="J1671" s="8"/>
      <c r="K1671" s="8"/>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4"/>
      <c r="AM1671" s="5" t="str">
        <f t="shared" si="105"/>
        <v/>
      </c>
      <c r="AN1671" s="5" t="str">
        <f t="shared" si="106"/>
        <v/>
      </c>
      <c r="AO1671" s="18" t="str">
        <f t="shared" si="107"/>
        <v/>
      </c>
      <c r="AP1671" s="19"/>
      <c r="AQ1671" s="20" t="str">
        <f t="shared" si="108"/>
        <v/>
      </c>
      <c r="AR1671" s="21"/>
    </row>
    <row r="1672" spans="2:44" ht="31.5" x14ac:dyDescent="0.5">
      <c r="B1672" s="1"/>
      <c r="C1672" s="15"/>
      <c r="D1672" s="16"/>
      <c r="E1672" s="15"/>
      <c r="F1672" s="17"/>
      <c r="G1672" s="8"/>
      <c r="H1672" s="8"/>
      <c r="I1672" s="8"/>
      <c r="J1672" s="8"/>
      <c r="K1672" s="8"/>
      <c r="L1672" s="8"/>
      <c r="M1672" s="8"/>
      <c r="N1672" s="8"/>
      <c r="O1672" s="8"/>
      <c r="P1672" s="8"/>
      <c r="Q1672" s="8"/>
      <c r="R1672" s="8"/>
      <c r="S1672" s="8"/>
      <c r="T1672" s="8"/>
      <c r="U1672" s="8"/>
      <c r="V1672" s="8"/>
      <c r="W1672" s="8"/>
      <c r="X1672" s="8"/>
      <c r="Y1672" s="8"/>
      <c r="Z1672" s="8"/>
      <c r="AA1672" s="8"/>
      <c r="AB1672" s="8"/>
      <c r="AC1672" s="8"/>
      <c r="AD1672" s="8"/>
      <c r="AE1672" s="8"/>
      <c r="AF1672" s="8"/>
      <c r="AG1672" s="8"/>
      <c r="AH1672" s="8"/>
      <c r="AI1672" s="8"/>
      <c r="AJ1672" s="8"/>
      <c r="AK1672" s="8"/>
      <c r="AL1672" s="4"/>
      <c r="AM1672" s="5" t="str">
        <f t="shared" si="105"/>
        <v/>
      </c>
      <c r="AN1672" s="5" t="str">
        <f t="shared" si="106"/>
        <v/>
      </c>
      <c r="AO1672" s="18" t="str">
        <f t="shared" si="107"/>
        <v/>
      </c>
      <c r="AP1672" s="19"/>
      <c r="AQ1672" s="20" t="str">
        <f t="shared" si="108"/>
        <v/>
      </c>
      <c r="AR1672" s="21"/>
    </row>
    <row r="1673" spans="2:44" ht="31.5" x14ac:dyDescent="0.5">
      <c r="B1673" s="1"/>
      <c r="C1673" s="15"/>
      <c r="D1673" s="16"/>
      <c r="E1673" s="15"/>
      <c r="F1673" s="17"/>
      <c r="G1673" s="8"/>
      <c r="H1673" s="8"/>
      <c r="I1673" s="8"/>
      <c r="J1673" s="8"/>
      <c r="K1673" s="8"/>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4"/>
      <c r="AM1673" s="5" t="str">
        <f t="shared" si="105"/>
        <v/>
      </c>
      <c r="AN1673" s="5" t="str">
        <f t="shared" si="106"/>
        <v/>
      </c>
      <c r="AO1673" s="18" t="str">
        <f t="shared" si="107"/>
        <v/>
      </c>
      <c r="AP1673" s="19"/>
      <c r="AQ1673" s="20" t="str">
        <f t="shared" si="108"/>
        <v/>
      </c>
      <c r="AR1673" s="21"/>
    </row>
    <row r="1674" spans="2:44" ht="31.5" x14ac:dyDescent="0.5">
      <c r="B1674" s="1"/>
      <c r="C1674" s="15"/>
      <c r="D1674" s="16"/>
      <c r="E1674" s="15"/>
      <c r="F1674" s="17"/>
      <c r="G1674" s="8"/>
      <c r="H1674" s="8"/>
      <c r="I1674" s="8"/>
      <c r="J1674" s="8"/>
      <c r="K1674" s="8"/>
      <c r="L1674" s="8"/>
      <c r="M1674" s="8"/>
      <c r="N1674" s="8"/>
      <c r="O1674" s="8"/>
      <c r="P1674" s="8"/>
      <c r="Q1674" s="8"/>
      <c r="R1674" s="8"/>
      <c r="S1674" s="8"/>
      <c r="T1674" s="8"/>
      <c r="U1674" s="8"/>
      <c r="V1674" s="8"/>
      <c r="W1674" s="8"/>
      <c r="X1674" s="8"/>
      <c r="Y1674" s="8"/>
      <c r="Z1674" s="8"/>
      <c r="AA1674" s="8"/>
      <c r="AB1674" s="8"/>
      <c r="AC1674" s="8"/>
      <c r="AD1674" s="8"/>
      <c r="AE1674" s="8"/>
      <c r="AF1674" s="8"/>
      <c r="AG1674" s="8"/>
      <c r="AH1674" s="8"/>
      <c r="AI1674" s="8"/>
      <c r="AJ1674" s="8"/>
      <c r="AK1674" s="8"/>
      <c r="AL1674" s="4"/>
      <c r="AM1674" s="5" t="str">
        <f t="shared" si="105"/>
        <v/>
      </c>
      <c r="AN1674" s="5" t="str">
        <f t="shared" si="106"/>
        <v/>
      </c>
      <c r="AO1674" s="18" t="str">
        <f t="shared" si="107"/>
        <v/>
      </c>
      <c r="AP1674" s="19"/>
      <c r="AQ1674" s="20" t="str">
        <f t="shared" si="108"/>
        <v/>
      </c>
      <c r="AR1674" s="21"/>
    </row>
    <row r="1675" spans="2:44" ht="31.5" x14ac:dyDescent="0.5">
      <c r="B1675" s="1"/>
      <c r="C1675" s="15"/>
      <c r="D1675" s="16"/>
      <c r="E1675" s="15"/>
      <c r="F1675" s="17"/>
      <c r="G1675" s="8"/>
      <c r="H1675" s="8"/>
      <c r="I1675" s="8"/>
      <c r="J1675" s="8"/>
      <c r="K1675" s="8"/>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4"/>
      <c r="AM1675" s="5" t="str">
        <f t="shared" si="105"/>
        <v/>
      </c>
      <c r="AN1675" s="5" t="str">
        <f t="shared" si="106"/>
        <v/>
      </c>
      <c r="AO1675" s="18" t="str">
        <f t="shared" si="107"/>
        <v/>
      </c>
      <c r="AP1675" s="19"/>
      <c r="AQ1675" s="20" t="str">
        <f t="shared" si="108"/>
        <v/>
      </c>
      <c r="AR1675" s="21"/>
    </row>
    <row r="1676" spans="2:44" ht="31.5" x14ac:dyDescent="0.5">
      <c r="B1676" s="1"/>
      <c r="C1676" s="15"/>
      <c r="D1676" s="16"/>
      <c r="E1676" s="15"/>
      <c r="F1676" s="17"/>
      <c r="G1676" s="8"/>
      <c r="H1676" s="8"/>
      <c r="I1676" s="8"/>
      <c r="J1676" s="8"/>
      <c r="K1676" s="8"/>
      <c r="L1676" s="8"/>
      <c r="M1676" s="8"/>
      <c r="N1676" s="8"/>
      <c r="O1676" s="8"/>
      <c r="P1676" s="8"/>
      <c r="Q1676" s="8"/>
      <c r="R1676" s="8"/>
      <c r="S1676" s="8"/>
      <c r="T1676" s="8"/>
      <c r="U1676" s="8"/>
      <c r="V1676" s="8"/>
      <c r="W1676" s="8"/>
      <c r="X1676" s="8"/>
      <c r="Y1676" s="8"/>
      <c r="Z1676" s="8"/>
      <c r="AA1676" s="8"/>
      <c r="AB1676" s="8"/>
      <c r="AC1676" s="8"/>
      <c r="AD1676" s="8"/>
      <c r="AE1676" s="8"/>
      <c r="AF1676" s="8"/>
      <c r="AG1676" s="8"/>
      <c r="AH1676" s="8"/>
      <c r="AI1676" s="8"/>
      <c r="AJ1676" s="8"/>
      <c r="AK1676" s="8"/>
      <c r="AL1676" s="4"/>
      <c r="AM1676" s="5" t="str">
        <f t="shared" si="105"/>
        <v/>
      </c>
      <c r="AN1676" s="5" t="str">
        <f t="shared" si="106"/>
        <v/>
      </c>
      <c r="AO1676" s="18" t="str">
        <f t="shared" si="107"/>
        <v/>
      </c>
      <c r="AP1676" s="19"/>
      <c r="AQ1676" s="20" t="str">
        <f t="shared" si="108"/>
        <v/>
      </c>
      <c r="AR1676" s="21"/>
    </row>
    <row r="1677" spans="2:44" ht="31.5" x14ac:dyDescent="0.5">
      <c r="B1677" s="1"/>
      <c r="C1677" s="15"/>
      <c r="D1677" s="16"/>
      <c r="E1677" s="15"/>
      <c r="F1677" s="17"/>
      <c r="G1677" s="8"/>
      <c r="H1677" s="8"/>
      <c r="I1677" s="8"/>
      <c r="J1677" s="8"/>
      <c r="K1677" s="8"/>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4"/>
      <c r="AM1677" s="5" t="str">
        <f t="shared" si="105"/>
        <v/>
      </c>
      <c r="AN1677" s="5" t="str">
        <f t="shared" si="106"/>
        <v/>
      </c>
      <c r="AO1677" s="18" t="str">
        <f t="shared" si="107"/>
        <v/>
      </c>
      <c r="AP1677" s="19"/>
      <c r="AQ1677" s="20" t="str">
        <f t="shared" si="108"/>
        <v/>
      </c>
      <c r="AR1677" s="21"/>
    </row>
    <row r="1678" spans="2:44" ht="31.5" x14ac:dyDescent="0.5">
      <c r="B1678" s="1"/>
      <c r="C1678" s="15"/>
      <c r="D1678" s="16"/>
      <c r="E1678" s="15"/>
      <c r="F1678" s="17"/>
      <c r="G1678" s="8"/>
      <c r="H1678" s="8"/>
      <c r="I1678" s="8"/>
      <c r="J1678" s="8"/>
      <c r="K1678" s="8"/>
      <c r="L1678" s="8"/>
      <c r="M1678" s="8"/>
      <c r="N1678" s="8"/>
      <c r="O1678" s="8"/>
      <c r="P1678" s="8"/>
      <c r="Q1678" s="8"/>
      <c r="R1678" s="8"/>
      <c r="S1678" s="8"/>
      <c r="T1678" s="8"/>
      <c r="U1678" s="8"/>
      <c r="V1678" s="8"/>
      <c r="W1678" s="8"/>
      <c r="X1678" s="8"/>
      <c r="Y1678" s="8"/>
      <c r="Z1678" s="8"/>
      <c r="AA1678" s="8"/>
      <c r="AB1678" s="8"/>
      <c r="AC1678" s="8"/>
      <c r="AD1678" s="8"/>
      <c r="AE1678" s="8"/>
      <c r="AF1678" s="8"/>
      <c r="AG1678" s="8"/>
      <c r="AH1678" s="8"/>
      <c r="AI1678" s="8"/>
      <c r="AJ1678" s="8"/>
      <c r="AK1678" s="8"/>
      <c r="AL1678" s="4"/>
      <c r="AM1678" s="5" t="str">
        <f t="shared" si="105"/>
        <v/>
      </c>
      <c r="AN1678" s="5" t="str">
        <f t="shared" si="106"/>
        <v/>
      </c>
      <c r="AO1678" s="18" t="str">
        <f t="shared" si="107"/>
        <v/>
      </c>
      <c r="AP1678" s="19"/>
      <c r="AQ1678" s="20" t="str">
        <f t="shared" si="108"/>
        <v/>
      </c>
      <c r="AR1678" s="21"/>
    </row>
    <row r="1679" spans="2:44" ht="31.5" x14ac:dyDescent="0.5">
      <c r="B1679" s="1"/>
      <c r="C1679" s="15"/>
      <c r="D1679" s="16"/>
      <c r="E1679" s="15"/>
      <c r="F1679" s="17"/>
      <c r="G1679" s="8"/>
      <c r="H1679" s="8"/>
      <c r="I1679" s="8"/>
      <c r="J1679" s="8"/>
      <c r="K1679" s="8"/>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4"/>
      <c r="AM1679" s="5" t="str">
        <f t="shared" si="105"/>
        <v/>
      </c>
      <c r="AN1679" s="5" t="str">
        <f t="shared" si="106"/>
        <v/>
      </c>
      <c r="AO1679" s="18" t="str">
        <f t="shared" si="107"/>
        <v/>
      </c>
      <c r="AP1679" s="19"/>
      <c r="AQ1679" s="20" t="str">
        <f t="shared" si="108"/>
        <v/>
      </c>
      <c r="AR1679" s="21"/>
    </row>
    <row r="1680" spans="2:44" ht="31.5" x14ac:dyDescent="0.5">
      <c r="B1680" s="1"/>
      <c r="C1680" s="15"/>
      <c r="D1680" s="16"/>
      <c r="E1680" s="15"/>
      <c r="F1680" s="17"/>
      <c r="G1680" s="8"/>
      <c r="H1680" s="8"/>
      <c r="I1680" s="8"/>
      <c r="J1680" s="8"/>
      <c r="K1680" s="8"/>
      <c r="L1680" s="8"/>
      <c r="M1680" s="8"/>
      <c r="N1680" s="8"/>
      <c r="O1680" s="8"/>
      <c r="P1680" s="8"/>
      <c r="Q1680" s="8"/>
      <c r="R1680" s="8"/>
      <c r="S1680" s="8"/>
      <c r="T1680" s="8"/>
      <c r="U1680" s="8"/>
      <c r="V1680" s="8"/>
      <c r="W1680" s="8"/>
      <c r="X1680" s="8"/>
      <c r="Y1680" s="8"/>
      <c r="Z1680" s="8"/>
      <c r="AA1680" s="8"/>
      <c r="AB1680" s="8"/>
      <c r="AC1680" s="8"/>
      <c r="AD1680" s="8"/>
      <c r="AE1680" s="8"/>
      <c r="AF1680" s="8"/>
      <c r="AG1680" s="8"/>
      <c r="AH1680" s="8"/>
      <c r="AI1680" s="8"/>
      <c r="AJ1680" s="8"/>
      <c r="AK1680" s="8"/>
      <c r="AL1680" s="4"/>
      <c r="AM1680" s="5" t="str">
        <f t="shared" si="105"/>
        <v/>
      </c>
      <c r="AN1680" s="5" t="str">
        <f t="shared" si="106"/>
        <v/>
      </c>
      <c r="AO1680" s="18" t="str">
        <f t="shared" si="107"/>
        <v/>
      </c>
      <c r="AP1680" s="19"/>
      <c r="AQ1680" s="20" t="str">
        <f t="shared" si="108"/>
        <v/>
      </c>
      <c r="AR1680" s="21"/>
    </row>
    <row r="1681" spans="2:44" ht="31.5" x14ac:dyDescent="0.5">
      <c r="B1681" s="1"/>
      <c r="C1681" s="15"/>
      <c r="D1681" s="16"/>
      <c r="E1681" s="15"/>
      <c r="F1681" s="17"/>
      <c r="G1681" s="8"/>
      <c r="H1681" s="8"/>
      <c r="I1681" s="8"/>
      <c r="J1681" s="8"/>
      <c r="K1681" s="8"/>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4"/>
      <c r="AM1681" s="5" t="str">
        <f t="shared" si="105"/>
        <v/>
      </c>
      <c r="AN1681" s="5" t="str">
        <f t="shared" si="106"/>
        <v/>
      </c>
      <c r="AO1681" s="18" t="str">
        <f t="shared" si="107"/>
        <v/>
      </c>
      <c r="AP1681" s="19"/>
      <c r="AQ1681" s="20" t="str">
        <f t="shared" si="108"/>
        <v/>
      </c>
      <c r="AR1681" s="21"/>
    </row>
    <row r="1682" spans="2:44" ht="31.5" x14ac:dyDescent="0.5">
      <c r="B1682" s="1"/>
      <c r="C1682" s="15"/>
      <c r="D1682" s="16"/>
      <c r="E1682" s="15"/>
      <c r="F1682" s="17"/>
      <c r="G1682" s="8"/>
      <c r="H1682" s="8"/>
      <c r="I1682" s="8"/>
      <c r="J1682" s="8"/>
      <c r="K1682" s="8"/>
      <c r="L1682" s="8"/>
      <c r="M1682" s="8"/>
      <c r="N1682" s="8"/>
      <c r="O1682" s="8"/>
      <c r="P1682" s="8"/>
      <c r="Q1682" s="8"/>
      <c r="R1682" s="8"/>
      <c r="S1682" s="8"/>
      <c r="T1682" s="8"/>
      <c r="U1682" s="8"/>
      <c r="V1682" s="8"/>
      <c r="W1682" s="8"/>
      <c r="X1682" s="8"/>
      <c r="Y1682" s="8"/>
      <c r="Z1682" s="8"/>
      <c r="AA1682" s="8"/>
      <c r="AB1682" s="8"/>
      <c r="AC1682" s="8"/>
      <c r="AD1682" s="8"/>
      <c r="AE1682" s="8"/>
      <c r="AF1682" s="8"/>
      <c r="AG1682" s="8"/>
      <c r="AH1682" s="8"/>
      <c r="AI1682" s="8"/>
      <c r="AJ1682" s="8"/>
      <c r="AK1682" s="8"/>
      <c r="AL1682" s="4"/>
      <c r="AM1682" s="5" t="str">
        <f t="shared" si="105"/>
        <v/>
      </c>
      <c r="AN1682" s="5" t="str">
        <f t="shared" si="106"/>
        <v/>
      </c>
      <c r="AO1682" s="18" t="str">
        <f t="shared" si="107"/>
        <v/>
      </c>
      <c r="AP1682" s="19"/>
      <c r="AQ1682" s="20" t="str">
        <f t="shared" si="108"/>
        <v/>
      </c>
      <c r="AR1682" s="21"/>
    </row>
    <row r="1683" spans="2:44" ht="31.5" x14ac:dyDescent="0.5">
      <c r="B1683" s="1"/>
      <c r="C1683" s="15"/>
      <c r="D1683" s="16"/>
      <c r="E1683" s="15"/>
      <c r="F1683" s="17"/>
      <c r="G1683" s="8"/>
      <c r="H1683" s="8"/>
      <c r="I1683" s="8"/>
      <c r="J1683" s="8"/>
      <c r="K1683" s="8"/>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4"/>
      <c r="AM1683" s="5" t="str">
        <f t="shared" si="105"/>
        <v/>
      </c>
      <c r="AN1683" s="5" t="str">
        <f t="shared" si="106"/>
        <v/>
      </c>
      <c r="AO1683" s="18" t="str">
        <f t="shared" si="107"/>
        <v/>
      </c>
      <c r="AP1683" s="19"/>
      <c r="AQ1683" s="20" t="str">
        <f t="shared" si="108"/>
        <v/>
      </c>
      <c r="AR1683" s="21"/>
    </row>
    <row r="1684" spans="2:44" ht="31.5" x14ac:dyDescent="0.5">
      <c r="B1684" s="1"/>
      <c r="C1684" s="15"/>
      <c r="D1684" s="16"/>
      <c r="E1684" s="15"/>
      <c r="F1684" s="17"/>
      <c r="G1684" s="8"/>
      <c r="H1684" s="8"/>
      <c r="I1684" s="8"/>
      <c r="J1684" s="8"/>
      <c r="K1684" s="8"/>
      <c r="L1684" s="8"/>
      <c r="M1684" s="8"/>
      <c r="N1684" s="8"/>
      <c r="O1684" s="8"/>
      <c r="P1684" s="8"/>
      <c r="Q1684" s="8"/>
      <c r="R1684" s="8"/>
      <c r="S1684" s="8"/>
      <c r="T1684" s="8"/>
      <c r="U1684" s="8"/>
      <c r="V1684" s="8"/>
      <c r="W1684" s="8"/>
      <c r="X1684" s="8"/>
      <c r="Y1684" s="8"/>
      <c r="Z1684" s="8"/>
      <c r="AA1684" s="8"/>
      <c r="AB1684" s="8"/>
      <c r="AC1684" s="8"/>
      <c r="AD1684" s="8"/>
      <c r="AE1684" s="8"/>
      <c r="AF1684" s="8"/>
      <c r="AG1684" s="8"/>
      <c r="AH1684" s="8"/>
      <c r="AI1684" s="8"/>
      <c r="AJ1684" s="8"/>
      <c r="AK1684" s="8"/>
      <c r="AL1684" s="4"/>
      <c r="AM1684" s="5" t="str">
        <f t="shared" si="105"/>
        <v/>
      </c>
      <c r="AN1684" s="5" t="str">
        <f t="shared" si="106"/>
        <v/>
      </c>
      <c r="AO1684" s="18" t="str">
        <f t="shared" si="107"/>
        <v/>
      </c>
      <c r="AP1684" s="19"/>
      <c r="AQ1684" s="20" t="str">
        <f t="shared" si="108"/>
        <v/>
      </c>
      <c r="AR1684" s="21"/>
    </row>
    <row r="1685" spans="2:44" ht="31.5" x14ac:dyDescent="0.5">
      <c r="B1685" s="1"/>
      <c r="C1685" s="15"/>
      <c r="D1685" s="16"/>
      <c r="E1685" s="15"/>
      <c r="F1685" s="17"/>
      <c r="G1685" s="8"/>
      <c r="H1685" s="8"/>
      <c r="I1685" s="8"/>
      <c r="J1685" s="8"/>
      <c r="K1685" s="8"/>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4"/>
      <c r="AM1685" s="5" t="str">
        <f t="shared" si="105"/>
        <v/>
      </c>
      <c r="AN1685" s="5" t="str">
        <f t="shared" si="106"/>
        <v/>
      </c>
      <c r="AO1685" s="18" t="str">
        <f t="shared" si="107"/>
        <v/>
      </c>
      <c r="AP1685" s="19"/>
      <c r="AQ1685" s="20" t="str">
        <f t="shared" si="108"/>
        <v/>
      </c>
      <c r="AR1685" s="21"/>
    </row>
    <row r="1686" spans="2:44" ht="31.5" x14ac:dyDescent="0.5">
      <c r="B1686" s="1"/>
      <c r="C1686" s="15"/>
      <c r="D1686" s="16"/>
      <c r="E1686" s="15"/>
      <c r="F1686" s="17"/>
      <c r="G1686" s="8"/>
      <c r="H1686" s="8"/>
      <c r="I1686" s="8"/>
      <c r="J1686" s="8"/>
      <c r="K1686" s="8"/>
      <c r="L1686" s="8"/>
      <c r="M1686" s="8"/>
      <c r="N1686" s="8"/>
      <c r="O1686" s="8"/>
      <c r="P1686" s="8"/>
      <c r="Q1686" s="8"/>
      <c r="R1686" s="8"/>
      <c r="S1686" s="8"/>
      <c r="T1686" s="8"/>
      <c r="U1686" s="8"/>
      <c r="V1686" s="8"/>
      <c r="W1686" s="8"/>
      <c r="X1686" s="8"/>
      <c r="Y1686" s="8"/>
      <c r="Z1686" s="8"/>
      <c r="AA1686" s="8"/>
      <c r="AB1686" s="8"/>
      <c r="AC1686" s="8"/>
      <c r="AD1686" s="8"/>
      <c r="AE1686" s="8"/>
      <c r="AF1686" s="8"/>
      <c r="AG1686" s="8"/>
      <c r="AH1686" s="8"/>
      <c r="AI1686" s="8"/>
      <c r="AJ1686" s="8"/>
      <c r="AK1686" s="8"/>
      <c r="AL1686" s="4"/>
      <c r="AM1686" s="5" t="str">
        <f t="shared" si="105"/>
        <v/>
      </c>
      <c r="AN1686" s="5" t="str">
        <f t="shared" si="106"/>
        <v/>
      </c>
      <c r="AO1686" s="18" t="str">
        <f t="shared" si="107"/>
        <v/>
      </c>
      <c r="AP1686" s="19"/>
      <c r="AQ1686" s="20" t="str">
        <f t="shared" si="108"/>
        <v/>
      </c>
      <c r="AR1686" s="21"/>
    </row>
    <row r="1687" spans="2:44" ht="31.5" x14ac:dyDescent="0.5">
      <c r="B1687" s="1"/>
      <c r="C1687" s="15"/>
      <c r="D1687" s="16"/>
      <c r="E1687" s="15"/>
      <c r="F1687" s="17"/>
      <c r="G1687" s="8"/>
      <c r="H1687" s="8"/>
      <c r="I1687" s="8"/>
      <c r="J1687" s="8"/>
      <c r="K1687" s="8"/>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4"/>
      <c r="AM1687" s="5" t="str">
        <f t="shared" si="105"/>
        <v/>
      </c>
      <c r="AN1687" s="5" t="str">
        <f t="shared" si="106"/>
        <v/>
      </c>
      <c r="AO1687" s="18" t="str">
        <f t="shared" si="107"/>
        <v/>
      </c>
      <c r="AP1687" s="19"/>
      <c r="AQ1687" s="20" t="str">
        <f t="shared" si="108"/>
        <v/>
      </c>
      <c r="AR1687" s="21"/>
    </row>
    <row r="1688" spans="2:44" ht="31.5" x14ac:dyDescent="0.5">
      <c r="B1688" s="1"/>
      <c r="C1688" s="15"/>
      <c r="D1688" s="16"/>
      <c r="E1688" s="15"/>
      <c r="F1688" s="17"/>
      <c r="G1688" s="8"/>
      <c r="H1688" s="8"/>
      <c r="I1688" s="8"/>
      <c r="J1688" s="8"/>
      <c r="K1688" s="8"/>
      <c r="L1688" s="8"/>
      <c r="M1688" s="8"/>
      <c r="N1688" s="8"/>
      <c r="O1688" s="8"/>
      <c r="P1688" s="8"/>
      <c r="Q1688" s="8"/>
      <c r="R1688" s="8"/>
      <c r="S1688" s="8"/>
      <c r="T1688" s="8"/>
      <c r="U1688" s="8"/>
      <c r="V1688" s="8"/>
      <c r="W1688" s="8"/>
      <c r="X1688" s="8"/>
      <c r="Y1688" s="8"/>
      <c r="Z1688" s="8"/>
      <c r="AA1688" s="8"/>
      <c r="AB1688" s="8"/>
      <c r="AC1688" s="8"/>
      <c r="AD1688" s="8"/>
      <c r="AE1688" s="8"/>
      <c r="AF1688" s="8"/>
      <c r="AG1688" s="8"/>
      <c r="AH1688" s="8"/>
      <c r="AI1688" s="8"/>
      <c r="AJ1688" s="8"/>
      <c r="AK1688" s="8"/>
      <c r="AL1688" s="4"/>
      <c r="AM1688" s="5" t="str">
        <f t="shared" si="105"/>
        <v/>
      </c>
      <c r="AN1688" s="5" t="str">
        <f t="shared" si="106"/>
        <v/>
      </c>
      <c r="AO1688" s="18" t="str">
        <f t="shared" si="107"/>
        <v/>
      </c>
      <c r="AP1688" s="19"/>
      <c r="AQ1688" s="20" t="str">
        <f t="shared" si="108"/>
        <v/>
      </c>
      <c r="AR1688" s="21"/>
    </row>
    <row r="1689" spans="2:44" ht="31.5" x14ac:dyDescent="0.5">
      <c r="B1689" s="1"/>
      <c r="C1689" s="15"/>
      <c r="D1689" s="16"/>
      <c r="E1689" s="15"/>
      <c r="F1689" s="17"/>
      <c r="G1689" s="8"/>
      <c r="H1689" s="8"/>
      <c r="I1689" s="8"/>
      <c r="J1689" s="8"/>
      <c r="K1689" s="8"/>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4"/>
      <c r="AM1689" s="5" t="str">
        <f t="shared" si="105"/>
        <v/>
      </c>
      <c r="AN1689" s="5" t="str">
        <f t="shared" si="106"/>
        <v/>
      </c>
      <c r="AO1689" s="18" t="str">
        <f t="shared" si="107"/>
        <v/>
      </c>
      <c r="AP1689" s="19"/>
      <c r="AQ1689" s="20" t="str">
        <f t="shared" si="108"/>
        <v/>
      </c>
      <c r="AR1689" s="21"/>
    </row>
    <row r="1690" spans="2:44" ht="31.5" x14ac:dyDescent="0.5">
      <c r="B1690" s="1"/>
      <c r="C1690" s="15"/>
      <c r="D1690" s="16"/>
      <c r="E1690" s="15"/>
      <c r="F1690" s="17"/>
      <c r="G1690" s="8"/>
      <c r="H1690" s="8"/>
      <c r="I1690" s="8"/>
      <c r="J1690" s="8"/>
      <c r="K1690" s="8"/>
      <c r="L1690" s="8"/>
      <c r="M1690" s="8"/>
      <c r="N1690" s="8"/>
      <c r="O1690" s="8"/>
      <c r="P1690" s="8"/>
      <c r="Q1690" s="8"/>
      <c r="R1690" s="8"/>
      <c r="S1690" s="8"/>
      <c r="T1690" s="8"/>
      <c r="U1690" s="8"/>
      <c r="V1690" s="8"/>
      <c r="W1690" s="8"/>
      <c r="X1690" s="8"/>
      <c r="Y1690" s="8"/>
      <c r="Z1690" s="8"/>
      <c r="AA1690" s="8"/>
      <c r="AB1690" s="8"/>
      <c r="AC1690" s="8"/>
      <c r="AD1690" s="8"/>
      <c r="AE1690" s="8"/>
      <c r="AF1690" s="8"/>
      <c r="AG1690" s="8"/>
      <c r="AH1690" s="8"/>
      <c r="AI1690" s="8"/>
      <c r="AJ1690" s="8"/>
      <c r="AK1690" s="8"/>
      <c r="AL1690" s="4"/>
      <c r="AM1690" s="5" t="str">
        <f t="shared" si="105"/>
        <v/>
      </c>
      <c r="AN1690" s="5" t="str">
        <f t="shared" si="106"/>
        <v/>
      </c>
      <c r="AO1690" s="18" t="str">
        <f t="shared" si="107"/>
        <v/>
      </c>
      <c r="AP1690" s="19"/>
      <c r="AQ1690" s="20" t="str">
        <f t="shared" si="108"/>
        <v/>
      </c>
      <c r="AR1690" s="21"/>
    </row>
    <row r="1691" spans="2:44" ht="31.5" x14ac:dyDescent="0.5">
      <c r="B1691" s="1"/>
      <c r="C1691" s="15"/>
      <c r="D1691" s="16"/>
      <c r="E1691" s="15"/>
      <c r="F1691" s="17"/>
      <c r="G1691" s="8"/>
      <c r="H1691" s="8"/>
      <c r="I1691" s="8"/>
      <c r="J1691" s="8"/>
      <c r="K1691" s="8"/>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4"/>
      <c r="AM1691" s="5" t="str">
        <f t="shared" si="105"/>
        <v/>
      </c>
      <c r="AN1691" s="5" t="str">
        <f t="shared" si="106"/>
        <v/>
      </c>
      <c r="AO1691" s="18" t="str">
        <f t="shared" si="107"/>
        <v/>
      </c>
      <c r="AP1691" s="19"/>
      <c r="AQ1691" s="20" t="str">
        <f t="shared" si="108"/>
        <v/>
      </c>
      <c r="AR1691" s="21"/>
    </row>
    <row r="1692" spans="2:44" ht="31.5" x14ac:dyDescent="0.5">
      <c r="B1692" s="1"/>
      <c r="C1692" s="15"/>
      <c r="D1692" s="16"/>
      <c r="E1692" s="15"/>
      <c r="F1692" s="17"/>
      <c r="G1692" s="8"/>
      <c r="H1692" s="8"/>
      <c r="I1692" s="8"/>
      <c r="J1692" s="8"/>
      <c r="K1692" s="8"/>
      <c r="L1692" s="8"/>
      <c r="M1692" s="8"/>
      <c r="N1692" s="8"/>
      <c r="O1692" s="8"/>
      <c r="P1692" s="8"/>
      <c r="Q1692" s="8"/>
      <c r="R1692" s="8"/>
      <c r="S1692" s="8"/>
      <c r="T1692" s="8"/>
      <c r="U1692" s="8"/>
      <c r="V1692" s="8"/>
      <c r="W1692" s="8"/>
      <c r="X1692" s="8"/>
      <c r="Y1692" s="8"/>
      <c r="Z1692" s="8"/>
      <c r="AA1692" s="8"/>
      <c r="AB1692" s="8"/>
      <c r="AC1692" s="8"/>
      <c r="AD1692" s="8"/>
      <c r="AE1692" s="8"/>
      <c r="AF1692" s="8"/>
      <c r="AG1692" s="8"/>
      <c r="AH1692" s="8"/>
      <c r="AI1692" s="8"/>
      <c r="AJ1692" s="8"/>
      <c r="AK1692" s="8"/>
      <c r="AL1692" s="4"/>
      <c r="AM1692" s="5" t="str">
        <f t="shared" si="105"/>
        <v/>
      </c>
      <c r="AN1692" s="5" t="str">
        <f t="shared" si="106"/>
        <v/>
      </c>
      <c r="AO1692" s="18" t="str">
        <f t="shared" si="107"/>
        <v/>
      </c>
      <c r="AP1692" s="19"/>
      <c r="AQ1692" s="20" t="str">
        <f t="shared" si="108"/>
        <v/>
      </c>
      <c r="AR1692" s="21"/>
    </row>
    <row r="1693" spans="2:44" ht="31.5" x14ac:dyDescent="0.5">
      <c r="B1693" s="1"/>
      <c r="C1693" s="15"/>
      <c r="D1693" s="16"/>
      <c r="E1693" s="15"/>
      <c r="F1693" s="17"/>
      <c r="G1693" s="8"/>
      <c r="H1693" s="8"/>
      <c r="I1693" s="8"/>
      <c r="J1693" s="8"/>
      <c r="K1693" s="8"/>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4"/>
      <c r="AM1693" s="5" t="str">
        <f t="shared" si="105"/>
        <v/>
      </c>
      <c r="AN1693" s="5" t="str">
        <f t="shared" si="106"/>
        <v/>
      </c>
      <c r="AO1693" s="18" t="str">
        <f t="shared" si="107"/>
        <v/>
      </c>
      <c r="AP1693" s="19"/>
      <c r="AQ1693" s="20" t="str">
        <f t="shared" si="108"/>
        <v/>
      </c>
      <c r="AR1693" s="21"/>
    </row>
    <row r="1694" spans="2:44" ht="31.5" x14ac:dyDescent="0.5">
      <c r="B1694" s="1"/>
      <c r="C1694" s="15"/>
      <c r="D1694" s="16"/>
      <c r="E1694" s="15"/>
      <c r="F1694" s="17"/>
      <c r="G1694" s="8"/>
      <c r="H1694" s="8"/>
      <c r="I1694" s="8"/>
      <c r="J1694" s="8"/>
      <c r="K1694" s="8"/>
      <c r="L1694" s="8"/>
      <c r="M1694" s="8"/>
      <c r="N1694" s="8"/>
      <c r="O1694" s="8"/>
      <c r="P1694" s="8"/>
      <c r="Q1694" s="8"/>
      <c r="R1694" s="8"/>
      <c r="S1694" s="8"/>
      <c r="T1694" s="8"/>
      <c r="U1694" s="8"/>
      <c r="V1694" s="8"/>
      <c r="W1694" s="8"/>
      <c r="X1694" s="8"/>
      <c r="Y1694" s="8"/>
      <c r="Z1694" s="8"/>
      <c r="AA1694" s="8"/>
      <c r="AB1694" s="8"/>
      <c r="AC1694" s="8"/>
      <c r="AD1694" s="8"/>
      <c r="AE1694" s="8"/>
      <c r="AF1694" s="8"/>
      <c r="AG1694" s="8"/>
      <c r="AH1694" s="8"/>
      <c r="AI1694" s="8"/>
      <c r="AJ1694" s="8"/>
      <c r="AK1694" s="8"/>
      <c r="AL1694" s="4"/>
      <c r="AM1694" s="5" t="str">
        <f t="shared" si="105"/>
        <v/>
      </c>
      <c r="AN1694" s="5" t="str">
        <f t="shared" si="106"/>
        <v/>
      </c>
      <c r="AO1694" s="18" t="str">
        <f t="shared" si="107"/>
        <v/>
      </c>
      <c r="AP1694" s="19"/>
      <c r="AQ1694" s="20" t="str">
        <f t="shared" si="108"/>
        <v/>
      </c>
      <c r="AR1694" s="21"/>
    </row>
    <row r="1695" spans="2:44" ht="31.5" x14ac:dyDescent="0.5">
      <c r="B1695" s="1"/>
      <c r="C1695" s="15"/>
      <c r="D1695" s="16"/>
      <c r="E1695" s="15"/>
      <c r="F1695" s="17"/>
      <c r="G1695" s="8"/>
      <c r="H1695" s="8"/>
      <c r="I1695" s="8"/>
      <c r="J1695" s="8"/>
      <c r="K1695" s="8"/>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4"/>
      <c r="AM1695" s="5" t="str">
        <f t="shared" si="105"/>
        <v/>
      </c>
      <c r="AN1695" s="5" t="str">
        <f t="shared" si="106"/>
        <v/>
      </c>
      <c r="AO1695" s="18" t="str">
        <f t="shared" si="107"/>
        <v/>
      </c>
      <c r="AP1695" s="19"/>
      <c r="AQ1695" s="20" t="str">
        <f t="shared" si="108"/>
        <v/>
      </c>
      <c r="AR1695" s="21"/>
    </row>
    <row r="1696" spans="2:44" ht="31.5" x14ac:dyDescent="0.5">
      <c r="B1696" s="1"/>
      <c r="C1696" s="15"/>
      <c r="D1696" s="16"/>
      <c r="E1696" s="15"/>
      <c r="F1696" s="17"/>
      <c r="G1696" s="8"/>
      <c r="H1696" s="8"/>
      <c r="I1696" s="8"/>
      <c r="J1696" s="8"/>
      <c r="K1696" s="8"/>
      <c r="L1696" s="8"/>
      <c r="M1696" s="8"/>
      <c r="N1696" s="8"/>
      <c r="O1696" s="8"/>
      <c r="P1696" s="8"/>
      <c r="Q1696" s="8"/>
      <c r="R1696" s="8"/>
      <c r="S1696" s="8"/>
      <c r="T1696" s="8"/>
      <c r="U1696" s="8"/>
      <c r="V1696" s="8"/>
      <c r="W1696" s="8"/>
      <c r="X1696" s="8"/>
      <c r="Y1696" s="8"/>
      <c r="Z1696" s="8"/>
      <c r="AA1696" s="8"/>
      <c r="AB1696" s="8"/>
      <c r="AC1696" s="8"/>
      <c r="AD1696" s="8"/>
      <c r="AE1696" s="8"/>
      <c r="AF1696" s="8"/>
      <c r="AG1696" s="8"/>
      <c r="AH1696" s="8"/>
      <c r="AI1696" s="8"/>
      <c r="AJ1696" s="8"/>
      <c r="AK1696" s="8"/>
      <c r="AL1696" s="4"/>
      <c r="AM1696" s="5" t="str">
        <f t="shared" si="105"/>
        <v/>
      </c>
      <c r="AN1696" s="5" t="str">
        <f t="shared" si="106"/>
        <v/>
      </c>
      <c r="AO1696" s="18" t="str">
        <f t="shared" si="107"/>
        <v/>
      </c>
      <c r="AP1696" s="19"/>
      <c r="AQ1696" s="20" t="str">
        <f t="shared" si="108"/>
        <v/>
      </c>
      <c r="AR1696" s="21"/>
    </row>
    <row r="1697" spans="2:44" ht="31.5" x14ac:dyDescent="0.5">
      <c r="B1697" s="1"/>
      <c r="C1697" s="15"/>
      <c r="D1697" s="16"/>
      <c r="E1697" s="15"/>
      <c r="F1697" s="17"/>
      <c r="G1697" s="8"/>
      <c r="H1697" s="8"/>
      <c r="I1697" s="8"/>
      <c r="J1697" s="8"/>
      <c r="K1697" s="8"/>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4"/>
      <c r="AM1697" s="5" t="str">
        <f t="shared" si="105"/>
        <v/>
      </c>
      <c r="AN1697" s="5" t="str">
        <f t="shared" si="106"/>
        <v/>
      </c>
      <c r="AO1697" s="18" t="str">
        <f t="shared" si="107"/>
        <v/>
      </c>
      <c r="AP1697" s="19"/>
      <c r="AQ1697" s="20" t="str">
        <f t="shared" si="108"/>
        <v/>
      </c>
      <c r="AR1697" s="21"/>
    </row>
    <row r="1698" spans="2:44" ht="31.5" x14ac:dyDescent="0.5">
      <c r="B1698" s="1"/>
      <c r="C1698" s="15"/>
      <c r="D1698" s="16"/>
      <c r="E1698" s="15"/>
      <c r="F1698" s="17"/>
      <c r="G1698" s="8"/>
      <c r="H1698" s="8"/>
      <c r="I1698" s="8"/>
      <c r="J1698" s="8"/>
      <c r="K1698" s="8"/>
      <c r="L1698" s="8"/>
      <c r="M1698" s="8"/>
      <c r="N1698" s="8"/>
      <c r="O1698" s="8"/>
      <c r="P1698" s="8"/>
      <c r="Q1698" s="8"/>
      <c r="R1698" s="8"/>
      <c r="S1698" s="8"/>
      <c r="T1698" s="8"/>
      <c r="U1698" s="8"/>
      <c r="V1698" s="8"/>
      <c r="W1698" s="8"/>
      <c r="X1698" s="8"/>
      <c r="Y1698" s="8"/>
      <c r="Z1698" s="8"/>
      <c r="AA1698" s="8"/>
      <c r="AB1698" s="8"/>
      <c r="AC1698" s="8"/>
      <c r="AD1698" s="8"/>
      <c r="AE1698" s="8"/>
      <c r="AF1698" s="8"/>
      <c r="AG1698" s="8"/>
      <c r="AH1698" s="8"/>
      <c r="AI1698" s="8"/>
      <c r="AJ1698" s="8"/>
      <c r="AK1698" s="8"/>
      <c r="AL1698" s="4"/>
      <c r="AM1698" s="5" t="str">
        <f t="shared" si="105"/>
        <v/>
      </c>
      <c r="AN1698" s="5" t="str">
        <f t="shared" si="106"/>
        <v/>
      </c>
      <c r="AO1698" s="18" t="str">
        <f t="shared" si="107"/>
        <v/>
      </c>
      <c r="AP1698" s="19"/>
      <c r="AQ1698" s="20" t="str">
        <f t="shared" si="108"/>
        <v/>
      </c>
      <c r="AR1698" s="21"/>
    </row>
    <row r="1699" spans="2:44" ht="31.5" x14ac:dyDescent="0.5">
      <c r="B1699" s="1"/>
      <c r="C1699" s="15"/>
      <c r="D1699" s="16"/>
      <c r="E1699" s="15"/>
      <c r="F1699" s="17"/>
      <c r="G1699" s="8"/>
      <c r="H1699" s="8"/>
      <c r="I1699" s="8"/>
      <c r="J1699" s="8"/>
      <c r="K1699" s="8"/>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4"/>
      <c r="AM1699" s="5" t="str">
        <f t="shared" si="105"/>
        <v/>
      </c>
      <c r="AN1699" s="5" t="str">
        <f t="shared" si="106"/>
        <v/>
      </c>
      <c r="AO1699" s="18" t="str">
        <f t="shared" si="107"/>
        <v/>
      </c>
      <c r="AP1699" s="19"/>
      <c r="AQ1699" s="20" t="str">
        <f t="shared" si="108"/>
        <v/>
      </c>
      <c r="AR1699" s="21"/>
    </row>
    <row r="1700" spans="2:44" ht="31.5" x14ac:dyDescent="0.5">
      <c r="B1700" s="1"/>
      <c r="C1700" s="15"/>
      <c r="D1700" s="16"/>
      <c r="E1700" s="15"/>
      <c r="F1700" s="17"/>
      <c r="G1700" s="8"/>
      <c r="H1700" s="8"/>
      <c r="I1700" s="8"/>
      <c r="J1700" s="8"/>
      <c r="K1700" s="8"/>
      <c r="L1700" s="8"/>
      <c r="M1700" s="8"/>
      <c r="N1700" s="8"/>
      <c r="O1700" s="8"/>
      <c r="P1700" s="8"/>
      <c r="Q1700" s="8"/>
      <c r="R1700" s="8"/>
      <c r="S1700" s="8"/>
      <c r="T1700" s="8"/>
      <c r="U1700" s="8"/>
      <c r="V1700" s="8"/>
      <c r="W1700" s="8"/>
      <c r="X1700" s="8"/>
      <c r="Y1700" s="8"/>
      <c r="Z1700" s="8"/>
      <c r="AA1700" s="8"/>
      <c r="AB1700" s="8"/>
      <c r="AC1700" s="8"/>
      <c r="AD1700" s="8"/>
      <c r="AE1700" s="8"/>
      <c r="AF1700" s="8"/>
      <c r="AG1700" s="8"/>
      <c r="AH1700" s="8"/>
      <c r="AI1700" s="8"/>
      <c r="AJ1700" s="8"/>
      <c r="AK1700" s="8"/>
      <c r="AL1700" s="4"/>
      <c r="AM1700" s="5" t="str">
        <f t="shared" si="105"/>
        <v/>
      </c>
      <c r="AN1700" s="5" t="str">
        <f t="shared" si="106"/>
        <v/>
      </c>
      <c r="AO1700" s="18" t="str">
        <f t="shared" si="107"/>
        <v/>
      </c>
      <c r="AP1700" s="19"/>
      <c r="AQ1700" s="20" t="str">
        <f t="shared" si="108"/>
        <v/>
      </c>
      <c r="AR1700" s="21"/>
    </row>
    <row r="1701" spans="2:44" ht="31.5" x14ac:dyDescent="0.5">
      <c r="B1701" s="1"/>
      <c r="C1701" s="15"/>
      <c r="D1701" s="16"/>
      <c r="E1701" s="15"/>
      <c r="F1701" s="17"/>
      <c r="G1701" s="8"/>
      <c r="H1701" s="8"/>
      <c r="I1701" s="8"/>
      <c r="J1701" s="8"/>
      <c r="K1701" s="8"/>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4"/>
      <c r="AM1701" s="5" t="str">
        <f t="shared" si="105"/>
        <v/>
      </c>
      <c r="AN1701" s="5" t="str">
        <f t="shared" si="106"/>
        <v/>
      </c>
      <c r="AO1701" s="18" t="str">
        <f t="shared" si="107"/>
        <v/>
      </c>
      <c r="AP1701" s="19"/>
      <c r="AQ1701" s="20" t="str">
        <f t="shared" si="108"/>
        <v/>
      </c>
      <c r="AR1701" s="21"/>
    </row>
    <row r="1702" spans="2:44" ht="31.5" x14ac:dyDescent="0.5">
      <c r="B1702" s="1"/>
      <c r="C1702" s="15"/>
      <c r="D1702" s="16"/>
      <c r="E1702" s="15"/>
      <c r="F1702" s="17"/>
      <c r="G1702" s="8"/>
      <c r="H1702" s="8"/>
      <c r="I1702" s="8"/>
      <c r="J1702" s="8"/>
      <c r="K1702" s="8"/>
      <c r="L1702" s="8"/>
      <c r="M1702" s="8"/>
      <c r="N1702" s="8"/>
      <c r="O1702" s="8"/>
      <c r="P1702" s="8"/>
      <c r="Q1702" s="8"/>
      <c r="R1702" s="8"/>
      <c r="S1702" s="8"/>
      <c r="T1702" s="8"/>
      <c r="U1702" s="8"/>
      <c r="V1702" s="8"/>
      <c r="W1702" s="8"/>
      <c r="X1702" s="8"/>
      <c r="Y1702" s="8"/>
      <c r="Z1702" s="8"/>
      <c r="AA1702" s="8"/>
      <c r="AB1702" s="8"/>
      <c r="AC1702" s="8"/>
      <c r="AD1702" s="8"/>
      <c r="AE1702" s="8"/>
      <c r="AF1702" s="8"/>
      <c r="AG1702" s="8"/>
      <c r="AH1702" s="8"/>
      <c r="AI1702" s="8"/>
      <c r="AJ1702" s="8"/>
      <c r="AK1702" s="8"/>
      <c r="AL1702" s="4"/>
      <c r="AM1702" s="5" t="str">
        <f t="shared" si="105"/>
        <v/>
      </c>
      <c r="AN1702" s="5" t="str">
        <f t="shared" si="106"/>
        <v/>
      </c>
      <c r="AO1702" s="18" t="str">
        <f t="shared" si="107"/>
        <v/>
      </c>
      <c r="AP1702" s="19"/>
      <c r="AQ1702" s="20" t="str">
        <f t="shared" si="108"/>
        <v/>
      </c>
      <c r="AR1702" s="21"/>
    </row>
    <row r="1703" spans="2:44" ht="31.5" x14ac:dyDescent="0.5">
      <c r="B1703" s="1"/>
      <c r="C1703" s="15"/>
      <c r="D1703" s="16"/>
      <c r="E1703" s="15"/>
      <c r="F1703" s="17"/>
      <c r="G1703" s="8"/>
      <c r="H1703" s="8"/>
      <c r="I1703" s="8"/>
      <c r="J1703" s="8"/>
      <c r="K1703" s="8"/>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4"/>
      <c r="AM1703" s="5" t="str">
        <f t="shared" si="105"/>
        <v/>
      </c>
      <c r="AN1703" s="5" t="str">
        <f t="shared" si="106"/>
        <v/>
      </c>
      <c r="AO1703" s="18" t="str">
        <f t="shared" si="107"/>
        <v/>
      </c>
      <c r="AP1703" s="19"/>
      <c r="AQ1703" s="20" t="str">
        <f t="shared" si="108"/>
        <v/>
      </c>
      <c r="AR1703" s="21"/>
    </row>
    <row r="1704" spans="2:44" ht="31.5" x14ac:dyDescent="0.5">
      <c r="B1704" s="1"/>
      <c r="C1704" s="15"/>
      <c r="D1704" s="16"/>
      <c r="E1704" s="15"/>
      <c r="F1704" s="17"/>
      <c r="G1704" s="8"/>
      <c r="H1704" s="8"/>
      <c r="I1704" s="8"/>
      <c r="J1704" s="8"/>
      <c r="K1704" s="8"/>
      <c r="L1704" s="8"/>
      <c r="M1704" s="8"/>
      <c r="N1704" s="8"/>
      <c r="O1704" s="8"/>
      <c r="P1704" s="8"/>
      <c r="Q1704" s="8"/>
      <c r="R1704" s="8"/>
      <c r="S1704" s="8"/>
      <c r="T1704" s="8"/>
      <c r="U1704" s="8"/>
      <c r="V1704" s="8"/>
      <c r="W1704" s="8"/>
      <c r="X1704" s="8"/>
      <c r="Y1704" s="8"/>
      <c r="Z1704" s="8"/>
      <c r="AA1704" s="8"/>
      <c r="AB1704" s="8"/>
      <c r="AC1704" s="8"/>
      <c r="AD1704" s="8"/>
      <c r="AE1704" s="8"/>
      <c r="AF1704" s="8"/>
      <c r="AG1704" s="8"/>
      <c r="AH1704" s="8"/>
      <c r="AI1704" s="8"/>
      <c r="AJ1704" s="8"/>
      <c r="AK1704" s="8"/>
      <c r="AL1704" s="4"/>
      <c r="AM1704" s="5" t="str">
        <f t="shared" si="105"/>
        <v/>
      </c>
      <c r="AN1704" s="5" t="str">
        <f t="shared" si="106"/>
        <v/>
      </c>
      <c r="AO1704" s="18" t="str">
        <f t="shared" si="107"/>
        <v/>
      </c>
      <c r="AP1704" s="19"/>
      <c r="AQ1704" s="20" t="str">
        <f t="shared" si="108"/>
        <v/>
      </c>
      <c r="AR1704" s="21"/>
    </row>
    <row r="1705" spans="2:44" ht="31.5" x14ac:dyDescent="0.5">
      <c r="B1705" s="1"/>
      <c r="C1705" s="15"/>
      <c r="D1705" s="16"/>
      <c r="E1705" s="15"/>
      <c r="F1705" s="17"/>
      <c r="G1705" s="8"/>
      <c r="H1705" s="8"/>
      <c r="I1705" s="8"/>
      <c r="J1705" s="8"/>
      <c r="K1705" s="8"/>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4"/>
      <c r="AM1705" s="5" t="str">
        <f t="shared" si="105"/>
        <v/>
      </c>
      <c r="AN1705" s="5" t="str">
        <f t="shared" si="106"/>
        <v/>
      </c>
      <c r="AO1705" s="18" t="str">
        <f t="shared" si="107"/>
        <v/>
      </c>
      <c r="AP1705" s="19"/>
      <c r="AQ1705" s="20" t="str">
        <f t="shared" si="108"/>
        <v/>
      </c>
      <c r="AR1705" s="21"/>
    </row>
    <row r="1706" spans="2:44" ht="31.5" x14ac:dyDescent="0.5">
      <c r="B1706" s="1"/>
      <c r="C1706" s="15"/>
      <c r="D1706" s="16"/>
      <c r="E1706" s="15"/>
      <c r="F1706" s="17"/>
      <c r="G1706" s="8"/>
      <c r="H1706" s="8"/>
      <c r="I1706" s="8"/>
      <c r="J1706" s="8"/>
      <c r="K1706" s="8"/>
      <c r="L1706" s="8"/>
      <c r="M1706" s="8"/>
      <c r="N1706" s="8"/>
      <c r="O1706" s="8"/>
      <c r="P1706" s="8"/>
      <c r="Q1706" s="8"/>
      <c r="R1706" s="8"/>
      <c r="S1706" s="8"/>
      <c r="T1706" s="8"/>
      <c r="U1706" s="8"/>
      <c r="V1706" s="8"/>
      <c r="W1706" s="8"/>
      <c r="X1706" s="8"/>
      <c r="Y1706" s="8"/>
      <c r="Z1706" s="8"/>
      <c r="AA1706" s="8"/>
      <c r="AB1706" s="8"/>
      <c r="AC1706" s="8"/>
      <c r="AD1706" s="8"/>
      <c r="AE1706" s="8"/>
      <c r="AF1706" s="8"/>
      <c r="AG1706" s="8"/>
      <c r="AH1706" s="8"/>
      <c r="AI1706" s="8"/>
      <c r="AJ1706" s="8"/>
      <c r="AK1706" s="8"/>
      <c r="AL1706" s="4"/>
      <c r="AM1706" s="5" t="str">
        <f t="shared" si="105"/>
        <v/>
      </c>
      <c r="AN1706" s="5" t="str">
        <f t="shared" si="106"/>
        <v/>
      </c>
      <c r="AO1706" s="18" t="str">
        <f t="shared" si="107"/>
        <v/>
      </c>
      <c r="AP1706" s="19"/>
      <c r="AQ1706" s="20" t="str">
        <f t="shared" si="108"/>
        <v/>
      </c>
      <c r="AR1706" s="21"/>
    </row>
    <row r="1707" spans="2:44" ht="31.5" x14ac:dyDescent="0.5">
      <c r="B1707" s="1"/>
      <c r="C1707" s="15"/>
      <c r="D1707" s="16"/>
      <c r="E1707" s="15"/>
      <c r="F1707" s="17"/>
      <c r="G1707" s="8"/>
      <c r="H1707" s="8"/>
      <c r="I1707" s="8"/>
      <c r="J1707" s="8"/>
      <c r="K1707" s="8"/>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4"/>
      <c r="AM1707" s="5" t="str">
        <f t="shared" si="105"/>
        <v/>
      </c>
      <c r="AN1707" s="5" t="str">
        <f t="shared" si="106"/>
        <v/>
      </c>
      <c r="AO1707" s="18" t="str">
        <f t="shared" si="107"/>
        <v/>
      </c>
      <c r="AP1707" s="19"/>
      <c r="AQ1707" s="20" t="str">
        <f t="shared" si="108"/>
        <v/>
      </c>
      <c r="AR1707" s="21"/>
    </row>
    <row r="1708" spans="2:44" ht="31.5" x14ac:dyDescent="0.5">
      <c r="B1708" s="1"/>
      <c r="C1708" s="15"/>
      <c r="D1708" s="16"/>
      <c r="E1708" s="15"/>
      <c r="F1708" s="17"/>
      <c r="G1708" s="8"/>
      <c r="H1708" s="8"/>
      <c r="I1708" s="8"/>
      <c r="J1708" s="8"/>
      <c r="K1708" s="8"/>
      <c r="L1708" s="8"/>
      <c r="M1708" s="8"/>
      <c r="N1708" s="8"/>
      <c r="O1708" s="8"/>
      <c r="P1708" s="8"/>
      <c r="Q1708" s="8"/>
      <c r="R1708" s="8"/>
      <c r="S1708" s="8"/>
      <c r="T1708" s="8"/>
      <c r="U1708" s="8"/>
      <c r="V1708" s="8"/>
      <c r="W1708" s="8"/>
      <c r="X1708" s="8"/>
      <c r="Y1708" s="8"/>
      <c r="Z1708" s="8"/>
      <c r="AA1708" s="8"/>
      <c r="AB1708" s="8"/>
      <c r="AC1708" s="8"/>
      <c r="AD1708" s="8"/>
      <c r="AE1708" s="8"/>
      <c r="AF1708" s="8"/>
      <c r="AG1708" s="8"/>
      <c r="AH1708" s="8"/>
      <c r="AI1708" s="8"/>
      <c r="AJ1708" s="8"/>
      <c r="AK1708" s="8"/>
      <c r="AL1708" s="4"/>
      <c r="AM1708" s="5" t="str">
        <f t="shared" si="105"/>
        <v/>
      </c>
      <c r="AN1708" s="5" t="str">
        <f t="shared" si="106"/>
        <v/>
      </c>
      <c r="AO1708" s="18" t="str">
        <f t="shared" si="107"/>
        <v/>
      </c>
      <c r="AP1708" s="19"/>
      <c r="AQ1708" s="20" t="str">
        <f t="shared" si="108"/>
        <v/>
      </c>
      <c r="AR1708" s="21"/>
    </row>
    <row r="1709" spans="2:44" ht="31.5" x14ac:dyDescent="0.5">
      <c r="B1709" s="1"/>
      <c r="C1709" s="15"/>
      <c r="D1709" s="16"/>
      <c r="E1709" s="15"/>
      <c r="F1709" s="17"/>
      <c r="G1709" s="8"/>
      <c r="H1709" s="8"/>
      <c r="I1709" s="8"/>
      <c r="J1709" s="8"/>
      <c r="K1709" s="8"/>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4"/>
      <c r="AM1709" s="5" t="str">
        <f t="shared" si="105"/>
        <v/>
      </c>
      <c r="AN1709" s="5" t="str">
        <f t="shared" si="106"/>
        <v/>
      </c>
      <c r="AO1709" s="18" t="str">
        <f t="shared" si="107"/>
        <v/>
      </c>
      <c r="AP1709" s="19"/>
      <c r="AQ1709" s="20" t="str">
        <f t="shared" si="108"/>
        <v/>
      </c>
      <c r="AR1709" s="21"/>
    </row>
    <row r="1710" spans="2:44" ht="31.5" x14ac:dyDescent="0.5">
      <c r="B1710" s="1"/>
      <c r="C1710" s="15"/>
      <c r="D1710" s="16"/>
      <c r="E1710" s="15"/>
      <c r="F1710" s="17"/>
      <c r="G1710" s="8"/>
      <c r="H1710" s="8"/>
      <c r="I1710" s="8"/>
      <c r="J1710" s="8"/>
      <c r="K1710" s="8"/>
      <c r="L1710" s="8"/>
      <c r="M1710" s="8"/>
      <c r="N1710" s="8"/>
      <c r="O1710" s="8"/>
      <c r="P1710" s="8"/>
      <c r="Q1710" s="8"/>
      <c r="R1710" s="8"/>
      <c r="S1710" s="8"/>
      <c r="T1710" s="8"/>
      <c r="U1710" s="8"/>
      <c r="V1710" s="8"/>
      <c r="W1710" s="8"/>
      <c r="X1710" s="8"/>
      <c r="Y1710" s="8"/>
      <c r="Z1710" s="8"/>
      <c r="AA1710" s="8"/>
      <c r="AB1710" s="8"/>
      <c r="AC1710" s="8"/>
      <c r="AD1710" s="8"/>
      <c r="AE1710" s="8"/>
      <c r="AF1710" s="8"/>
      <c r="AG1710" s="8"/>
      <c r="AH1710" s="8"/>
      <c r="AI1710" s="8"/>
      <c r="AJ1710" s="8"/>
      <c r="AK1710" s="8"/>
      <c r="AL1710" s="4"/>
      <c r="AM1710" s="5" t="str">
        <f t="shared" si="105"/>
        <v/>
      </c>
      <c r="AN1710" s="5" t="str">
        <f t="shared" si="106"/>
        <v/>
      </c>
      <c r="AO1710" s="18" t="str">
        <f t="shared" si="107"/>
        <v/>
      </c>
      <c r="AP1710" s="19"/>
      <c r="AQ1710" s="20" t="str">
        <f t="shared" si="108"/>
        <v/>
      </c>
      <c r="AR1710" s="21"/>
    </row>
    <row r="1711" spans="2:44" ht="31.5" x14ac:dyDescent="0.5">
      <c r="B1711" s="1"/>
      <c r="C1711" s="15"/>
      <c r="D1711" s="16"/>
      <c r="E1711" s="15"/>
      <c r="F1711" s="17"/>
      <c r="G1711" s="8"/>
      <c r="H1711" s="8"/>
      <c r="I1711" s="8"/>
      <c r="J1711" s="8"/>
      <c r="K1711" s="8"/>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4"/>
      <c r="AM1711" s="5" t="str">
        <f t="shared" si="105"/>
        <v/>
      </c>
      <c r="AN1711" s="5" t="str">
        <f t="shared" si="106"/>
        <v/>
      </c>
      <c r="AO1711" s="18" t="str">
        <f t="shared" si="107"/>
        <v/>
      </c>
      <c r="AP1711" s="19"/>
      <c r="AQ1711" s="20" t="str">
        <f t="shared" si="108"/>
        <v/>
      </c>
      <c r="AR1711" s="21"/>
    </row>
    <row r="1712" spans="2:44" ht="31.5" x14ac:dyDescent="0.5">
      <c r="B1712" s="1"/>
      <c r="C1712" s="15"/>
      <c r="D1712" s="16"/>
      <c r="E1712" s="15"/>
      <c r="F1712" s="17"/>
      <c r="G1712" s="8"/>
      <c r="H1712" s="8"/>
      <c r="I1712" s="8"/>
      <c r="J1712" s="8"/>
      <c r="K1712" s="8"/>
      <c r="L1712" s="8"/>
      <c r="M1712" s="8"/>
      <c r="N1712" s="8"/>
      <c r="O1712" s="8"/>
      <c r="P1712" s="8"/>
      <c r="Q1712" s="8"/>
      <c r="R1712" s="8"/>
      <c r="S1712" s="8"/>
      <c r="T1712" s="8"/>
      <c r="U1712" s="8"/>
      <c r="V1712" s="8"/>
      <c r="W1712" s="8"/>
      <c r="X1712" s="8"/>
      <c r="Y1712" s="8"/>
      <c r="Z1712" s="8"/>
      <c r="AA1712" s="8"/>
      <c r="AB1712" s="8"/>
      <c r="AC1712" s="8"/>
      <c r="AD1712" s="8"/>
      <c r="AE1712" s="8"/>
      <c r="AF1712" s="8"/>
      <c r="AG1712" s="8"/>
      <c r="AH1712" s="8"/>
      <c r="AI1712" s="8"/>
      <c r="AJ1712" s="8"/>
      <c r="AK1712" s="8"/>
      <c r="AL1712" s="4"/>
      <c r="AM1712" s="5" t="str">
        <f t="shared" si="105"/>
        <v/>
      </c>
      <c r="AN1712" s="5" t="str">
        <f t="shared" si="106"/>
        <v/>
      </c>
      <c r="AO1712" s="18" t="str">
        <f t="shared" si="107"/>
        <v/>
      </c>
      <c r="AP1712" s="19"/>
      <c r="AQ1712" s="20" t="str">
        <f t="shared" si="108"/>
        <v/>
      </c>
      <c r="AR1712" s="21"/>
    </row>
    <row r="1713" spans="2:44" ht="31.5" x14ac:dyDescent="0.5">
      <c r="B1713" s="1"/>
      <c r="C1713" s="15"/>
      <c r="D1713" s="16"/>
      <c r="E1713" s="15"/>
      <c r="F1713" s="17"/>
      <c r="G1713" s="8"/>
      <c r="H1713" s="8"/>
      <c r="I1713" s="8"/>
      <c r="J1713" s="8"/>
      <c r="K1713" s="8"/>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4"/>
      <c r="AM1713" s="5" t="str">
        <f t="shared" si="105"/>
        <v/>
      </c>
      <c r="AN1713" s="5" t="str">
        <f t="shared" si="106"/>
        <v/>
      </c>
      <c r="AO1713" s="18" t="str">
        <f t="shared" si="107"/>
        <v/>
      </c>
      <c r="AP1713" s="19"/>
      <c r="AQ1713" s="20" t="str">
        <f t="shared" si="108"/>
        <v/>
      </c>
      <c r="AR1713" s="21"/>
    </row>
    <row r="1714" spans="2:44" ht="31.5" x14ac:dyDescent="0.5">
      <c r="B1714" s="1"/>
      <c r="C1714" s="15"/>
      <c r="D1714" s="16"/>
      <c r="E1714" s="15"/>
      <c r="F1714" s="17"/>
      <c r="G1714" s="8"/>
      <c r="H1714" s="8"/>
      <c r="I1714" s="8"/>
      <c r="J1714" s="8"/>
      <c r="K1714" s="8"/>
      <c r="L1714" s="8"/>
      <c r="M1714" s="8"/>
      <c r="N1714" s="8"/>
      <c r="O1714" s="8"/>
      <c r="P1714" s="8"/>
      <c r="Q1714" s="8"/>
      <c r="R1714" s="8"/>
      <c r="S1714" s="8"/>
      <c r="T1714" s="8"/>
      <c r="U1714" s="8"/>
      <c r="V1714" s="8"/>
      <c r="W1714" s="8"/>
      <c r="X1714" s="8"/>
      <c r="Y1714" s="8"/>
      <c r="Z1714" s="8"/>
      <c r="AA1714" s="8"/>
      <c r="AB1714" s="8"/>
      <c r="AC1714" s="8"/>
      <c r="AD1714" s="8"/>
      <c r="AE1714" s="8"/>
      <c r="AF1714" s="8"/>
      <c r="AG1714" s="8"/>
      <c r="AH1714" s="8"/>
      <c r="AI1714" s="8"/>
      <c r="AJ1714" s="8"/>
      <c r="AK1714" s="8"/>
      <c r="AL1714" s="4"/>
      <c r="AM1714" s="5" t="str">
        <f t="shared" si="105"/>
        <v/>
      </c>
      <c r="AN1714" s="5" t="str">
        <f t="shared" si="106"/>
        <v/>
      </c>
      <c r="AO1714" s="18" t="str">
        <f t="shared" si="107"/>
        <v/>
      </c>
      <c r="AP1714" s="19"/>
      <c r="AQ1714" s="20" t="str">
        <f t="shared" si="108"/>
        <v/>
      </c>
      <c r="AR1714" s="21"/>
    </row>
    <row r="1715" spans="2:44" ht="31.5" x14ac:dyDescent="0.5">
      <c r="B1715" s="1"/>
      <c r="C1715" s="15"/>
      <c r="D1715" s="16"/>
      <c r="E1715" s="15"/>
      <c r="F1715" s="17"/>
      <c r="G1715" s="8"/>
      <c r="H1715" s="8"/>
      <c r="I1715" s="8"/>
      <c r="J1715" s="8"/>
      <c r="K1715" s="8"/>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4"/>
      <c r="AM1715" s="5" t="str">
        <f t="shared" ref="AM1715:AM1778" si="109">IF($B1715="","",COUNTIF($G1715:$AK1715,"P"))</f>
        <v/>
      </c>
      <c r="AN1715" s="5" t="str">
        <f t="shared" ref="AN1715:AN1778" si="110">IF($B1715="","",COUNTIF($G1715:$AK1715,"AB"))</f>
        <v/>
      </c>
      <c r="AO1715" s="18" t="str">
        <f t="shared" ref="AO1715:AO1778" si="111">IF($B1715="","",SUMPRODUCT(--($G$11:$AK$11&lt;&gt;""),--($G$12:$AK$12&lt;&gt;"Sun")))</f>
        <v/>
      </c>
      <c r="AP1715" s="19"/>
      <c r="AQ1715" s="20" t="str">
        <f t="shared" ref="AQ1715:AQ1778" si="112">IF($B1715="","",IF(AO1715=0,"",AM1715/AO1715))</f>
        <v/>
      </c>
      <c r="AR1715" s="21"/>
    </row>
    <row r="1716" spans="2:44" ht="31.5" x14ac:dyDescent="0.5">
      <c r="B1716" s="1"/>
      <c r="C1716" s="15"/>
      <c r="D1716" s="16"/>
      <c r="E1716" s="15"/>
      <c r="F1716" s="17"/>
      <c r="G1716" s="8"/>
      <c r="H1716" s="8"/>
      <c r="I1716" s="8"/>
      <c r="J1716" s="8"/>
      <c r="K1716" s="8"/>
      <c r="L1716" s="8"/>
      <c r="M1716" s="8"/>
      <c r="N1716" s="8"/>
      <c r="O1716" s="8"/>
      <c r="P1716" s="8"/>
      <c r="Q1716" s="8"/>
      <c r="R1716" s="8"/>
      <c r="S1716" s="8"/>
      <c r="T1716" s="8"/>
      <c r="U1716" s="8"/>
      <c r="V1716" s="8"/>
      <c r="W1716" s="8"/>
      <c r="X1716" s="8"/>
      <c r="Y1716" s="8"/>
      <c r="Z1716" s="8"/>
      <c r="AA1716" s="8"/>
      <c r="AB1716" s="8"/>
      <c r="AC1716" s="8"/>
      <c r="AD1716" s="8"/>
      <c r="AE1716" s="8"/>
      <c r="AF1716" s="8"/>
      <c r="AG1716" s="8"/>
      <c r="AH1716" s="8"/>
      <c r="AI1716" s="8"/>
      <c r="AJ1716" s="8"/>
      <c r="AK1716" s="8"/>
      <c r="AL1716" s="4"/>
      <c r="AM1716" s="5" t="str">
        <f t="shared" si="109"/>
        <v/>
      </c>
      <c r="AN1716" s="5" t="str">
        <f t="shared" si="110"/>
        <v/>
      </c>
      <c r="AO1716" s="18" t="str">
        <f t="shared" si="111"/>
        <v/>
      </c>
      <c r="AP1716" s="19"/>
      <c r="AQ1716" s="20" t="str">
        <f t="shared" si="112"/>
        <v/>
      </c>
      <c r="AR1716" s="21"/>
    </row>
    <row r="1717" spans="2:44" ht="31.5" x14ac:dyDescent="0.5">
      <c r="B1717" s="1"/>
      <c r="C1717" s="15"/>
      <c r="D1717" s="16"/>
      <c r="E1717" s="15"/>
      <c r="F1717" s="17"/>
      <c r="G1717" s="8"/>
      <c r="H1717" s="8"/>
      <c r="I1717" s="8"/>
      <c r="J1717" s="8"/>
      <c r="K1717" s="8"/>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4"/>
      <c r="AM1717" s="5" t="str">
        <f t="shared" si="109"/>
        <v/>
      </c>
      <c r="AN1717" s="5" t="str">
        <f t="shared" si="110"/>
        <v/>
      </c>
      <c r="AO1717" s="18" t="str">
        <f t="shared" si="111"/>
        <v/>
      </c>
      <c r="AP1717" s="19"/>
      <c r="AQ1717" s="20" t="str">
        <f t="shared" si="112"/>
        <v/>
      </c>
      <c r="AR1717" s="21"/>
    </row>
    <row r="1718" spans="2:44" ht="31.5" x14ac:dyDescent="0.5">
      <c r="B1718" s="1"/>
      <c r="C1718" s="15"/>
      <c r="D1718" s="16"/>
      <c r="E1718" s="15"/>
      <c r="F1718" s="17"/>
      <c r="G1718" s="8"/>
      <c r="H1718" s="8"/>
      <c r="I1718" s="8"/>
      <c r="J1718" s="8"/>
      <c r="K1718" s="8"/>
      <c r="L1718" s="8"/>
      <c r="M1718" s="8"/>
      <c r="N1718" s="8"/>
      <c r="O1718" s="8"/>
      <c r="P1718" s="8"/>
      <c r="Q1718" s="8"/>
      <c r="R1718" s="8"/>
      <c r="S1718" s="8"/>
      <c r="T1718" s="8"/>
      <c r="U1718" s="8"/>
      <c r="V1718" s="8"/>
      <c r="W1718" s="8"/>
      <c r="X1718" s="8"/>
      <c r="Y1718" s="8"/>
      <c r="Z1718" s="8"/>
      <c r="AA1718" s="8"/>
      <c r="AB1718" s="8"/>
      <c r="AC1718" s="8"/>
      <c r="AD1718" s="8"/>
      <c r="AE1718" s="8"/>
      <c r="AF1718" s="8"/>
      <c r="AG1718" s="8"/>
      <c r="AH1718" s="8"/>
      <c r="AI1718" s="8"/>
      <c r="AJ1718" s="8"/>
      <c r="AK1718" s="8"/>
      <c r="AL1718" s="4"/>
      <c r="AM1718" s="5" t="str">
        <f t="shared" si="109"/>
        <v/>
      </c>
      <c r="AN1718" s="5" t="str">
        <f t="shared" si="110"/>
        <v/>
      </c>
      <c r="AO1718" s="18" t="str">
        <f t="shared" si="111"/>
        <v/>
      </c>
      <c r="AP1718" s="19"/>
      <c r="AQ1718" s="20" t="str">
        <f t="shared" si="112"/>
        <v/>
      </c>
      <c r="AR1718" s="21"/>
    </row>
    <row r="1719" spans="2:44" ht="31.5" x14ac:dyDescent="0.5">
      <c r="B1719" s="1"/>
      <c r="C1719" s="15"/>
      <c r="D1719" s="16"/>
      <c r="E1719" s="15"/>
      <c r="F1719" s="17"/>
      <c r="G1719" s="8"/>
      <c r="H1719" s="8"/>
      <c r="I1719" s="8"/>
      <c r="J1719" s="8"/>
      <c r="K1719" s="8"/>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4"/>
      <c r="AM1719" s="5" t="str">
        <f t="shared" si="109"/>
        <v/>
      </c>
      <c r="AN1719" s="5" t="str">
        <f t="shared" si="110"/>
        <v/>
      </c>
      <c r="AO1719" s="18" t="str">
        <f t="shared" si="111"/>
        <v/>
      </c>
      <c r="AP1719" s="19"/>
      <c r="AQ1719" s="20" t="str">
        <f t="shared" si="112"/>
        <v/>
      </c>
      <c r="AR1719" s="21"/>
    </row>
    <row r="1720" spans="2:44" ht="31.5" x14ac:dyDescent="0.5">
      <c r="B1720" s="1"/>
      <c r="C1720" s="15"/>
      <c r="D1720" s="16"/>
      <c r="E1720" s="15"/>
      <c r="F1720" s="17"/>
      <c r="G1720" s="8"/>
      <c r="H1720" s="8"/>
      <c r="I1720" s="8"/>
      <c r="J1720" s="8"/>
      <c r="K1720" s="8"/>
      <c r="L1720" s="8"/>
      <c r="M1720" s="8"/>
      <c r="N1720" s="8"/>
      <c r="O1720" s="8"/>
      <c r="P1720" s="8"/>
      <c r="Q1720" s="8"/>
      <c r="R1720" s="8"/>
      <c r="S1720" s="8"/>
      <c r="T1720" s="8"/>
      <c r="U1720" s="8"/>
      <c r="V1720" s="8"/>
      <c r="W1720" s="8"/>
      <c r="X1720" s="8"/>
      <c r="Y1720" s="8"/>
      <c r="Z1720" s="8"/>
      <c r="AA1720" s="8"/>
      <c r="AB1720" s="8"/>
      <c r="AC1720" s="8"/>
      <c r="AD1720" s="8"/>
      <c r="AE1720" s="8"/>
      <c r="AF1720" s="8"/>
      <c r="AG1720" s="8"/>
      <c r="AH1720" s="8"/>
      <c r="AI1720" s="8"/>
      <c r="AJ1720" s="8"/>
      <c r="AK1720" s="8"/>
      <c r="AL1720" s="4"/>
      <c r="AM1720" s="5" t="str">
        <f t="shared" si="109"/>
        <v/>
      </c>
      <c r="AN1720" s="5" t="str">
        <f t="shared" si="110"/>
        <v/>
      </c>
      <c r="AO1720" s="18" t="str">
        <f t="shared" si="111"/>
        <v/>
      </c>
      <c r="AP1720" s="19"/>
      <c r="AQ1720" s="20" t="str">
        <f t="shared" si="112"/>
        <v/>
      </c>
      <c r="AR1720" s="21"/>
    </row>
    <row r="1721" spans="2:44" ht="31.5" x14ac:dyDescent="0.5">
      <c r="B1721" s="1"/>
      <c r="C1721" s="15"/>
      <c r="D1721" s="16"/>
      <c r="E1721" s="15"/>
      <c r="F1721" s="17"/>
      <c r="G1721" s="8"/>
      <c r="H1721" s="8"/>
      <c r="I1721" s="8"/>
      <c r="J1721" s="8"/>
      <c r="K1721" s="8"/>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4"/>
      <c r="AM1721" s="5" t="str">
        <f t="shared" si="109"/>
        <v/>
      </c>
      <c r="AN1721" s="5" t="str">
        <f t="shared" si="110"/>
        <v/>
      </c>
      <c r="AO1721" s="18" t="str">
        <f t="shared" si="111"/>
        <v/>
      </c>
      <c r="AP1721" s="19"/>
      <c r="AQ1721" s="20" t="str">
        <f t="shared" si="112"/>
        <v/>
      </c>
      <c r="AR1721" s="21"/>
    </row>
    <row r="1722" spans="2:44" ht="31.5" x14ac:dyDescent="0.5">
      <c r="B1722" s="1"/>
      <c r="C1722" s="15"/>
      <c r="D1722" s="16"/>
      <c r="E1722" s="15"/>
      <c r="F1722" s="17"/>
      <c r="G1722" s="8"/>
      <c r="H1722" s="8"/>
      <c r="I1722" s="8"/>
      <c r="J1722" s="8"/>
      <c r="K1722" s="8"/>
      <c r="L1722" s="8"/>
      <c r="M1722" s="8"/>
      <c r="N1722" s="8"/>
      <c r="O1722" s="8"/>
      <c r="P1722" s="8"/>
      <c r="Q1722" s="8"/>
      <c r="R1722" s="8"/>
      <c r="S1722" s="8"/>
      <c r="T1722" s="8"/>
      <c r="U1722" s="8"/>
      <c r="V1722" s="8"/>
      <c r="W1722" s="8"/>
      <c r="X1722" s="8"/>
      <c r="Y1722" s="8"/>
      <c r="Z1722" s="8"/>
      <c r="AA1722" s="8"/>
      <c r="AB1722" s="8"/>
      <c r="AC1722" s="8"/>
      <c r="AD1722" s="8"/>
      <c r="AE1722" s="8"/>
      <c r="AF1722" s="8"/>
      <c r="AG1722" s="8"/>
      <c r="AH1722" s="8"/>
      <c r="AI1722" s="8"/>
      <c r="AJ1722" s="8"/>
      <c r="AK1722" s="8"/>
      <c r="AL1722" s="4"/>
      <c r="AM1722" s="5" t="str">
        <f t="shared" si="109"/>
        <v/>
      </c>
      <c r="AN1722" s="5" t="str">
        <f t="shared" si="110"/>
        <v/>
      </c>
      <c r="AO1722" s="18" t="str">
        <f t="shared" si="111"/>
        <v/>
      </c>
      <c r="AP1722" s="19"/>
      <c r="AQ1722" s="20" t="str">
        <f t="shared" si="112"/>
        <v/>
      </c>
      <c r="AR1722" s="21"/>
    </row>
    <row r="1723" spans="2:44" ht="31.5" x14ac:dyDescent="0.5">
      <c r="B1723" s="1"/>
      <c r="C1723" s="15"/>
      <c r="D1723" s="16"/>
      <c r="E1723" s="15"/>
      <c r="F1723" s="17"/>
      <c r="G1723" s="8"/>
      <c r="H1723" s="8"/>
      <c r="I1723" s="8"/>
      <c r="J1723" s="8"/>
      <c r="K1723" s="8"/>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4"/>
      <c r="AM1723" s="5" t="str">
        <f t="shared" si="109"/>
        <v/>
      </c>
      <c r="AN1723" s="5" t="str">
        <f t="shared" si="110"/>
        <v/>
      </c>
      <c r="AO1723" s="18" t="str">
        <f t="shared" si="111"/>
        <v/>
      </c>
      <c r="AP1723" s="19"/>
      <c r="AQ1723" s="20" t="str">
        <f t="shared" si="112"/>
        <v/>
      </c>
      <c r="AR1723" s="21"/>
    </row>
    <row r="1724" spans="2:44" ht="31.5" x14ac:dyDescent="0.5">
      <c r="B1724" s="1"/>
      <c r="C1724" s="15"/>
      <c r="D1724" s="16"/>
      <c r="E1724" s="15"/>
      <c r="F1724" s="17"/>
      <c r="G1724" s="8"/>
      <c r="H1724" s="8"/>
      <c r="I1724" s="8"/>
      <c r="J1724" s="8"/>
      <c r="K1724" s="8"/>
      <c r="L1724" s="8"/>
      <c r="M1724" s="8"/>
      <c r="N1724" s="8"/>
      <c r="O1724" s="8"/>
      <c r="P1724" s="8"/>
      <c r="Q1724" s="8"/>
      <c r="R1724" s="8"/>
      <c r="S1724" s="8"/>
      <c r="T1724" s="8"/>
      <c r="U1724" s="8"/>
      <c r="V1724" s="8"/>
      <c r="W1724" s="8"/>
      <c r="X1724" s="8"/>
      <c r="Y1724" s="8"/>
      <c r="Z1724" s="8"/>
      <c r="AA1724" s="8"/>
      <c r="AB1724" s="8"/>
      <c r="AC1724" s="8"/>
      <c r="AD1724" s="8"/>
      <c r="AE1724" s="8"/>
      <c r="AF1724" s="8"/>
      <c r="AG1724" s="8"/>
      <c r="AH1724" s="8"/>
      <c r="AI1724" s="8"/>
      <c r="AJ1724" s="8"/>
      <c r="AK1724" s="8"/>
      <c r="AL1724" s="4"/>
      <c r="AM1724" s="5" t="str">
        <f t="shared" si="109"/>
        <v/>
      </c>
      <c r="AN1724" s="5" t="str">
        <f t="shared" si="110"/>
        <v/>
      </c>
      <c r="AO1724" s="18" t="str">
        <f t="shared" si="111"/>
        <v/>
      </c>
      <c r="AP1724" s="19"/>
      <c r="AQ1724" s="20" t="str">
        <f t="shared" si="112"/>
        <v/>
      </c>
      <c r="AR1724" s="21"/>
    </row>
    <row r="1725" spans="2:44" ht="31.5" x14ac:dyDescent="0.5">
      <c r="B1725" s="1"/>
      <c r="C1725" s="15"/>
      <c r="D1725" s="16"/>
      <c r="E1725" s="15"/>
      <c r="F1725" s="17"/>
      <c r="G1725" s="8"/>
      <c r="H1725" s="8"/>
      <c r="I1725" s="8"/>
      <c r="J1725" s="8"/>
      <c r="K1725" s="8"/>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4"/>
      <c r="AM1725" s="5" t="str">
        <f t="shared" si="109"/>
        <v/>
      </c>
      <c r="AN1725" s="5" t="str">
        <f t="shared" si="110"/>
        <v/>
      </c>
      <c r="AO1725" s="18" t="str">
        <f t="shared" si="111"/>
        <v/>
      </c>
      <c r="AP1725" s="19"/>
      <c r="AQ1725" s="20" t="str">
        <f t="shared" si="112"/>
        <v/>
      </c>
      <c r="AR1725" s="21"/>
    </row>
    <row r="1726" spans="2:44" ht="31.5" x14ac:dyDescent="0.5">
      <c r="B1726" s="1"/>
      <c r="C1726" s="15"/>
      <c r="D1726" s="16"/>
      <c r="E1726" s="15"/>
      <c r="F1726" s="17"/>
      <c r="G1726" s="8"/>
      <c r="H1726" s="8"/>
      <c r="I1726" s="8"/>
      <c r="J1726" s="8"/>
      <c r="K1726" s="8"/>
      <c r="L1726" s="8"/>
      <c r="M1726" s="8"/>
      <c r="N1726" s="8"/>
      <c r="O1726" s="8"/>
      <c r="P1726" s="8"/>
      <c r="Q1726" s="8"/>
      <c r="R1726" s="8"/>
      <c r="S1726" s="8"/>
      <c r="T1726" s="8"/>
      <c r="U1726" s="8"/>
      <c r="V1726" s="8"/>
      <c r="W1726" s="8"/>
      <c r="X1726" s="8"/>
      <c r="Y1726" s="8"/>
      <c r="Z1726" s="8"/>
      <c r="AA1726" s="8"/>
      <c r="AB1726" s="8"/>
      <c r="AC1726" s="8"/>
      <c r="AD1726" s="8"/>
      <c r="AE1726" s="8"/>
      <c r="AF1726" s="8"/>
      <c r="AG1726" s="8"/>
      <c r="AH1726" s="8"/>
      <c r="AI1726" s="8"/>
      <c r="AJ1726" s="8"/>
      <c r="AK1726" s="8"/>
      <c r="AL1726" s="4"/>
      <c r="AM1726" s="5" t="str">
        <f t="shared" si="109"/>
        <v/>
      </c>
      <c r="AN1726" s="5" t="str">
        <f t="shared" si="110"/>
        <v/>
      </c>
      <c r="AO1726" s="18" t="str">
        <f t="shared" si="111"/>
        <v/>
      </c>
      <c r="AP1726" s="19"/>
      <c r="AQ1726" s="20" t="str">
        <f t="shared" si="112"/>
        <v/>
      </c>
      <c r="AR1726" s="21"/>
    </row>
    <row r="1727" spans="2:44" ht="31.5" x14ac:dyDescent="0.5">
      <c r="B1727" s="1"/>
      <c r="C1727" s="15"/>
      <c r="D1727" s="16"/>
      <c r="E1727" s="15"/>
      <c r="F1727" s="17"/>
      <c r="G1727" s="8"/>
      <c r="H1727" s="8"/>
      <c r="I1727" s="8"/>
      <c r="J1727" s="8"/>
      <c r="K1727" s="8"/>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4"/>
      <c r="AM1727" s="5" t="str">
        <f t="shared" si="109"/>
        <v/>
      </c>
      <c r="AN1727" s="5" t="str">
        <f t="shared" si="110"/>
        <v/>
      </c>
      <c r="AO1727" s="18" t="str">
        <f t="shared" si="111"/>
        <v/>
      </c>
      <c r="AP1727" s="19"/>
      <c r="AQ1727" s="20" t="str">
        <f t="shared" si="112"/>
        <v/>
      </c>
      <c r="AR1727" s="21"/>
    </row>
    <row r="1728" spans="2:44" ht="31.5" x14ac:dyDescent="0.5">
      <c r="B1728" s="1"/>
      <c r="C1728" s="15"/>
      <c r="D1728" s="16"/>
      <c r="E1728" s="15"/>
      <c r="F1728" s="17"/>
      <c r="G1728" s="8"/>
      <c r="H1728" s="8"/>
      <c r="I1728" s="8"/>
      <c r="J1728" s="8"/>
      <c r="K1728" s="8"/>
      <c r="L1728" s="8"/>
      <c r="M1728" s="8"/>
      <c r="N1728" s="8"/>
      <c r="O1728" s="8"/>
      <c r="P1728" s="8"/>
      <c r="Q1728" s="8"/>
      <c r="R1728" s="8"/>
      <c r="S1728" s="8"/>
      <c r="T1728" s="8"/>
      <c r="U1728" s="8"/>
      <c r="V1728" s="8"/>
      <c r="W1728" s="8"/>
      <c r="X1728" s="8"/>
      <c r="Y1728" s="8"/>
      <c r="Z1728" s="8"/>
      <c r="AA1728" s="8"/>
      <c r="AB1728" s="8"/>
      <c r="AC1728" s="8"/>
      <c r="AD1728" s="8"/>
      <c r="AE1728" s="8"/>
      <c r="AF1728" s="8"/>
      <c r="AG1728" s="8"/>
      <c r="AH1728" s="8"/>
      <c r="AI1728" s="8"/>
      <c r="AJ1728" s="8"/>
      <c r="AK1728" s="8"/>
      <c r="AL1728" s="4"/>
      <c r="AM1728" s="5" t="str">
        <f t="shared" si="109"/>
        <v/>
      </c>
      <c r="AN1728" s="5" t="str">
        <f t="shared" si="110"/>
        <v/>
      </c>
      <c r="AO1728" s="18" t="str">
        <f t="shared" si="111"/>
        <v/>
      </c>
      <c r="AP1728" s="19"/>
      <c r="AQ1728" s="20" t="str">
        <f t="shared" si="112"/>
        <v/>
      </c>
      <c r="AR1728" s="21"/>
    </row>
    <row r="1729" spans="2:44" ht="31.5" x14ac:dyDescent="0.5">
      <c r="B1729" s="1"/>
      <c r="C1729" s="15"/>
      <c r="D1729" s="16"/>
      <c r="E1729" s="15"/>
      <c r="F1729" s="17"/>
      <c r="G1729" s="8"/>
      <c r="H1729" s="8"/>
      <c r="I1729" s="8"/>
      <c r="J1729" s="8"/>
      <c r="K1729" s="8"/>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4"/>
      <c r="AM1729" s="5" t="str">
        <f t="shared" si="109"/>
        <v/>
      </c>
      <c r="AN1729" s="5" t="str">
        <f t="shared" si="110"/>
        <v/>
      </c>
      <c r="AO1729" s="18" t="str">
        <f t="shared" si="111"/>
        <v/>
      </c>
      <c r="AP1729" s="19"/>
      <c r="AQ1729" s="20" t="str">
        <f t="shared" si="112"/>
        <v/>
      </c>
      <c r="AR1729" s="21"/>
    </row>
    <row r="1730" spans="2:44" ht="31.5" x14ac:dyDescent="0.5">
      <c r="B1730" s="1"/>
      <c r="C1730" s="15"/>
      <c r="D1730" s="16"/>
      <c r="E1730" s="15"/>
      <c r="F1730" s="17"/>
      <c r="G1730" s="8"/>
      <c r="H1730" s="8"/>
      <c r="I1730" s="8"/>
      <c r="J1730" s="8"/>
      <c r="K1730" s="8"/>
      <c r="L1730" s="8"/>
      <c r="M1730" s="8"/>
      <c r="N1730" s="8"/>
      <c r="O1730" s="8"/>
      <c r="P1730" s="8"/>
      <c r="Q1730" s="8"/>
      <c r="R1730" s="8"/>
      <c r="S1730" s="8"/>
      <c r="T1730" s="8"/>
      <c r="U1730" s="8"/>
      <c r="V1730" s="8"/>
      <c r="W1730" s="8"/>
      <c r="X1730" s="8"/>
      <c r="Y1730" s="8"/>
      <c r="Z1730" s="8"/>
      <c r="AA1730" s="8"/>
      <c r="AB1730" s="8"/>
      <c r="AC1730" s="8"/>
      <c r="AD1730" s="8"/>
      <c r="AE1730" s="8"/>
      <c r="AF1730" s="8"/>
      <c r="AG1730" s="8"/>
      <c r="AH1730" s="8"/>
      <c r="AI1730" s="8"/>
      <c r="AJ1730" s="8"/>
      <c r="AK1730" s="8"/>
      <c r="AL1730" s="4"/>
      <c r="AM1730" s="5" t="str">
        <f t="shared" si="109"/>
        <v/>
      </c>
      <c r="AN1730" s="5" t="str">
        <f t="shared" si="110"/>
        <v/>
      </c>
      <c r="AO1730" s="18" t="str">
        <f t="shared" si="111"/>
        <v/>
      </c>
      <c r="AP1730" s="19"/>
      <c r="AQ1730" s="20" t="str">
        <f t="shared" si="112"/>
        <v/>
      </c>
      <c r="AR1730" s="21"/>
    </row>
    <row r="1731" spans="2:44" ht="31.5" x14ac:dyDescent="0.5">
      <c r="B1731" s="1"/>
      <c r="C1731" s="15"/>
      <c r="D1731" s="16"/>
      <c r="E1731" s="15"/>
      <c r="F1731" s="17"/>
      <c r="G1731" s="8"/>
      <c r="H1731" s="8"/>
      <c r="I1731" s="8"/>
      <c r="J1731" s="8"/>
      <c r="K1731" s="8"/>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4"/>
      <c r="AM1731" s="5" t="str">
        <f t="shared" si="109"/>
        <v/>
      </c>
      <c r="AN1731" s="5" t="str">
        <f t="shared" si="110"/>
        <v/>
      </c>
      <c r="AO1731" s="18" t="str">
        <f t="shared" si="111"/>
        <v/>
      </c>
      <c r="AP1731" s="19"/>
      <c r="AQ1731" s="20" t="str">
        <f t="shared" si="112"/>
        <v/>
      </c>
      <c r="AR1731" s="21"/>
    </row>
    <row r="1732" spans="2:44" ht="31.5" x14ac:dyDescent="0.5">
      <c r="B1732" s="1"/>
      <c r="C1732" s="15"/>
      <c r="D1732" s="16"/>
      <c r="E1732" s="15"/>
      <c r="F1732" s="17"/>
      <c r="G1732" s="8"/>
      <c r="H1732" s="8"/>
      <c r="I1732" s="8"/>
      <c r="J1732" s="8"/>
      <c r="K1732" s="8"/>
      <c r="L1732" s="8"/>
      <c r="M1732" s="8"/>
      <c r="N1732" s="8"/>
      <c r="O1732" s="8"/>
      <c r="P1732" s="8"/>
      <c r="Q1732" s="8"/>
      <c r="R1732" s="8"/>
      <c r="S1732" s="8"/>
      <c r="T1732" s="8"/>
      <c r="U1732" s="8"/>
      <c r="V1732" s="8"/>
      <c r="W1732" s="8"/>
      <c r="X1732" s="8"/>
      <c r="Y1732" s="8"/>
      <c r="Z1732" s="8"/>
      <c r="AA1732" s="8"/>
      <c r="AB1732" s="8"/>
      <c r="AC1732" s="8"/>
      <c r="AD1732" s="8"/>
      <c r="AE1732" s="8"/>
      <c r="AF1732" s="8"/>
      <c r="AG1732" s="8"/>
      <c r="AH1732" s="8"/>
      <c r="AI1732" s="8"/>
      <c r="AJ1732" s="8"/>
      <c r="AK1732" s="8"/>
      <c r="AL1732" s="4"/>
      <c r="AM1732" s="5" t="str">
        <f t="shared" si="109"/>
        <v/>
      </c>
      <c r="AN1732" s="5" t="str">
        <f t="shared" si="110"/>
        <v/>
      </c>
      <c r="AO1732" s="18" t="str">
        <f t="shared" si="111"/>
        <v/>
      </c>
      <c r="AP1732" s="19"/>
      <c r="AQ1732" s="20" t="str">
        <f t="shared" si="112"/>
        <v/>
      </c>
      <c r="AR1732" s="21"/>
    </row>
    <row r="1733" spans="2:44" ht="31.5" x14ac:dyDescent="0.5">
      <c r="B1733" s="1"/>
      <c r="C1733" s="15"/>
      <c r="D1733" s="16"/>
      <c r="E1733" s="15"/>
      <c r="F1733" s="17"/>
      <c r="G1733" s="8"/>
      <c r="H1733" s="8"/>
      <c r="I1733" s="8"/>
      <c r="J1733" s="8"/>
      <c r="K1733" s="8"/>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4"/>
      <c r="AM1733" s="5" t="str">
        <f t="shared" si="109"/>
        <v/>
      </c>
      <c r="AN1733" s="5" t="str">
        <f t="shared" si="110"/>
        <v/>
      </c>
      <c r="AO1733" s="18" t="str">
        <f t="shared" si="111"/>
        <v/>
      </c>
      <c r="AP1733" s="19"/>
      <c r="AQ1733" s="20" t="str">
        <f t="shared" si="112"/>
        <v/>
      </c>
      <c r="AR1733" s="21"/>
    </row>
    <row r="1734" spans="2:44" ht="31.5" x14ac:dyDescent="0.5">
      <c r="B1734" s="1"/>
      <c r="C1734" s="15"/>
      <c r="D1734" s="16"/>
      <c r="E1734" s="15"/>
      <c r="F1734" s="17"/>
      <c r="G1734" s="8"/>
      <c r="H1734" s="8"/>
      <c r="I1734" s="8"/>
      <c r="J1734" s="8"/>
      <c r="K1734" s="8"/>
      <c r="L1734" s="8"/>
      <c r="M1734" s="8"/>
      <c r="N1734" s="8"/>
      <c r="O1734" s="8"/>
      <c r="P1734" s="8"/>
      <c r="Q1734" s="8"/>
      <c r="R1734" s="8"/>
      <c r="S1734" s="8"/>
      <c r="T1734" s="8"/>
      <c r="U1734" s="8"/>
      <c r="V1734" s="8"/>
      <c r="W1734" s="8"/>
      <c r="X1734" s="8"/>
      <c r="Y1734" s="8"/>
      <c r="Z1734" s="8"/>
      <c r="AA1734" s="8"/>
      <c r="AB1734" s="8"/>
      <c r="AC1734" s="8"/>
      <c r="AD1734" s="8"/>
      <c r="AE1734" s="8"/>
      <c r="AF1734" s="8"/>
      <c r="AG1734" s="8"/>
      <c r="AH1734" s="8"/>
      <c r="AI1734" s="8"/>
      <c r="AJ1734" s="8"/>
      <c r="AK1734" s="8"/>
      <c r="AL1734" s="4"/>
      <c r="AM1734" s="5" t="str">
        <f t="shared" si="109"/>
        <v/>
      </c>
      <c r="AN1734" s="5" t="str">
        <f t="shared" si="110"/>
        <v/>
      </c>
      <c r="AO1734" s="18" t="str">
        <f t="shared" si="111"/>
        <v/>
      </c>
      <c r="AP1734" s="19"/>
      <c r="AQ1734" s="20" t="str">
        <f t="shared" si="112"/>
        <v/>
      </c>
      <c r="AR1734" s="21"/>
    </row>
    <row r="1735" spans="2:44" ht="31.5" x14ac:dyDescent="0.5">
      <c r="B1735" s="1"/>
      <c r="C1735" s="15"/>
      <c r="D1735" s="16"/>
      <c r="E1735" s="15"/>
      <c r="F1735" s="17"/>
      <c r="G1735" s="8"/>
      <c r="H1735" s="8"/>
      <c r="I1735" s="8"/>
      <c r="J1735" s="8"/>
      <c r="K1735" s="8"/>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4"/>
      <c r="AM1735" s="5" t="str">
        <f t="shared" si="109"/>
        <v/>
      </c>
      <c r="AN1735" s="5" t="str">
        <f t="shared" si="110"/>
        <v/>
      </c>
      <c r="AO1735" s="18" t="str">
        <f t="shared" si="111"/>
        <v/>
      </c>
      <c r="AP1735" s="19"/>
      <c r="AQ1735" s="20" t="str">
        <f t="shared" si="112"/>
        <v/>
      </c>
      <c r="AR1735" s="21"/>
    </row>
    <row r="1736" spans="2:44" ht="31.5" x14ac:dyDescent="0.5">
      <c r="B1736" s="1"/>
      <c r="C1736" s="15"/>
      <c r="D1736" s="16"/>
      <c r="E1736" s="15"/>
      <c r="F1736" s="17"/>
      <c r="G1736" s="8"/>
      <c r="H1736" s="8"/>
      <c r="I1736" s="8"/>
      <c r="J1736" s="8"/>
      <c r="K1736" s="8"/>
      <c r="L1736" s="8"/>
      <c r="M1736" s="8"/>
      <c r="N1736" s="8"/>
      <c r="O1736" s="8"/>
      <c r="P1736" s="8"/>
      <c r="Q1736" s="8"/>
      <c r="R1736" s="8"/>
      <c r="S1736" s="8"/>
      <c r="T1736" s="8"/>
      <c r="U1736" s="8"/>
      <c r="V1736" s="8"/>
      <c r="W1736" s="8"/>
      <c r="X1736" s="8"/>
      <c r="Y1736" s="8"/>
      <c r="Z1736" s="8"/>
      <c r="AA1736" s="8"/>
      <c r="AB1736" s="8"/>
      <c r="AC1736" s="8"/>
      <c r="AD1736" s="8"/>
      <c r="AE1736" s="8"/>
      <c r="AF1736" s="8"/>
      <c r="AG1736" s="8"/>
      <c r="AH1736" s="8"/>
      <c r="AI1736" s="8"/>
      <c r="AJ1736" s="8"/>
      <c r="AK1736" s="8"/>
      <c r="AL1736" s="4"/>
      <c r="AM1736" s="5" t="str">
        <f t="shared" si="109"/>
        <v/>
      </c>
      <c r="AN1736" s="5" t="str">
        <f t="shared" si="110"/>
        <v/>
      </c>
      <c r="AO1736" s="18" t="str">
        <f t="shared" si="111"/>
        <v/>
      </c>
      <c r="AP1736" s="19"/>
      <c r="AQ1736" s="20" t="str">
        <f t="shared" si="112"/>
        <v/>
      </c>
      <c r="AR1736" s="21"/>
    </row>
    <row r="1737" spans="2:44" ht="31.5" x14ac:dyDescent="0.5">
      <c r="B1737" s="1"/>
      <c r="C1737" s="15"/>
      <c r="D1737" s="16"/>
      <c r="E1737" s="15"/>
      <c r="F1737" s="17"/>
      <c r="G1737" s="8"/>
      <c r="H1737" s="8"/>
      <c r="I1737" s="8"/>
      <c r="J1737" s="8"/>
      <c r="K1737" s="8"/>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4"/>
      <c r="AM1737" s="5" t="str">
        <f t="shared" si="109"/>
        <v/>
      </c>
      <c r="AN1737" s="5" t="str">
        <f t="shared" si="110"/>
        <v/>
      </c>
      <c r="AO1737" s="18" t="str">
        <f t="shared" si="111"/>
        <v/>
      </c>
      <c r="AP1737" s="19"/>
      <c r="AQ1737" s="20" t="str">
        <f t="shared" si="112"/>
        <v/>
      </c>
      <c r="AR1737" s="21"/>
    </row>
    <row r="1738" spans="2:44" ht="31.5" x14ac:dyDescent="0.5">
      <c r="B1738" s="1"/>
      <c r="C1738" s="15"/>
      <c r="D1738" s="16"/>
      <c r="E1738" s="15"/>
      <c r="F1738" s="17"/>
      <c r="G1738" s="8"/>
      <c r="H1738" s="8"/>
      <c r="I1738" s="8"/>
      <c r="J1738" s="8"/>
      <c r="K1738" s="8"/>
      <c r="L1738" s="8"/>
      <c r="M1738" s="8"/>
      <c r="N1738" s="8"/>
      <c r="O1738" s="8"/>
      <c r="P1738" s="8"/>
      <c r="Q1738" s="8"/>
      <c r="R1738" s="8"/>
      <c r="S1738" s="8"/>
      <c r="T1738" s="8"/>
      <c r="U1738" s="8"/>
      <c r="V1738" s="8"/>
      <c r="W1738" s="8"/>
      <c r="X1738" s="8"/>
      <c r="Y1738" s="8"/>
      <c r="Z1738" s="8"/>
      <c r="AA1738" s="8"/>
      <c r="AB1738" s="8"/>
      <c r="AC1738" s="8"/>
      <c r="AD1738" s="8"/>
      <c r="AE1738" s="8"/>
      <c r="AF1738" s="8"/>
      <c r="AG1738" s="8"/>
      <c r="AH1738" s="8"/>
      <c r="AI1738" s="8"/>
      <c r="AJ1738" s="8"/>
      <c r="AK1738" s="8"/>
      <c r="AL1738" s="4"/>
      <c r="AM1738" s="5" t="str">
        <f t="shared" si="109"/>
        <v/>
      </c>
      <c r="AN1738" s="5" t="str">
        <f t="shared" si="110"/>
        <v/>
      </c>
      <c r="AO1738" s="18" t="str">
        <f t="shared" si="111"/>
        <v/>
      </c>
      <c r="AP1738" s="19"/>
      <c r="AQ1738" s="20" t="str">
        <f t="shared" si="112"/>
        <v/>
      </c>
      <c r="AR1738" s="21"/>
    </row>
    <row r="1739" spans="2:44" ht="31.5" x14ac:dyDescent="0.5">
      <c r="B1739" s="1"/>
      <c r="C1739" s="15"/>
      <c r="D1739" s="16"/>
      <c r="E1739" s="15"/>
      <c r="F1739" s="17"/>
      <c r="G1739" s="8"/>
      <c r="H1739" s="8"/>
      <c r="I1739" s="8"/>
      <c r="J1739" s="8"/>
      <c r="K1739" s="8"/>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4"/>
      <c r="AM1739" s="5" t="str">
        <f t="shared" si="109"/>
        <v/>
      </c>
      <c r="AN1739" s="5" t="str">
        <f t="shared" si="110"/>
        <v/>
      </c>
      <c r="AO1739" s="18" t="str">
        <f t="shared" si="111"/>
        <v/>
      </c>
      <c r="AP1739" s="19"/>
      <c r="AQ1739" s="20" t="str">
        <f t="shared" si="112"/>
        <v/>
      </c>
      <c r="AR1739" s="21"/>
    </row>
    <row r="1740" spans="2:44" ht="31.5" x14ac:dyDescent="0.5">
      <c r="B1740" s="1"/>
      <c r="C1740" s="15"/>
      <c r="D1740" s="16"/>
      <c r="E1740" s="15"/>
      <c r="F1740" s="17"/>
      <c r="G1740" s="8"/>
      <c r="H1740" s="8"/>
      <c r="I1740" s="8"/>
      <c r="J1740" s="8"/>
      <c r="K1740" s="8"/>
      <c r="L1740" s="8"/>
      <c r="M1740" s="8"/>
      <c r="N1740" s="8"/>
      <c r="O1740" s="8"/>
      <c r="P1740" s="8"/>
      <c r="Q1740" s="8"/>
      <c r="R1740" s="8"/>
      <c r="S1740" s="8"/>
      <c r="T1740" s="8"/>
      <c r="U1740" s="8"/>
      <c r="V1740" s="8"/>
      <c r="W1740" s="8"/>
      <c r="X1740" s="8"/>
      <c r="Y1740" s="8"/>
      <c r="Z1740" s="8"/>
      <c r="AA1740" s="8"/>
      <c r="AB1740" s="8"/>
      <c r="AC1740" s="8"/>
      <c r="AD1740" s="8"/>
      <c r="AE1740" s="8"/>
      <c r="AF1740" s="8"/>
      <c r="AG1740" s="8"/>
      <c r="AH1740" s="8"/>
      <c r="AI1740" s="8"/>
      <c r="AJ1740" s="8"/>
      <c r="AK1740" s="8"/>
      <c r="AL1740" s="4"/>
      <c r="AM1740" s="5" t="str">
        <f t="shared" si="109"/>
        <v/>
      </c>
      <c r="AN1740" s="5" t="str">
        <f t="shared" si="110"/>
        <v/>
      </c>
      <c r="AO1740" s="18" t="str">
        <f t="shared" si="111"/>
        <v/>
      </c>
      <c r="AP1740" s="19"/>
      <c r="AQ1740" s="20" t="str">
        <f t="shared" si="112"/>
        <v/>
      </c>
      <c r="AR1740" s="21"/>
    </row>
    <row r="1741" spans="2:44" ht="31.5" x14ac:dyDescent="0.5">
      <c r="B1741" s="1"/>
      <c r="C1741" s="15"/>
      <c r="D1741" s="16"/>
      <c r="E1741" s="15"/>
      <c r="F1741" s="17"/>
      <c r="G1741" s="8"/>
      <c r="H1741" s="8"/>
      <c r="I1741" s="8"/>
      <c r="J1741" s="8"/>
      <c r="K1741" s="8"/>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4"/>
      <c r="AM1741" s="5" t="str">
        <f t="shared" si="109"/>
        <v/>
      </c>
      <c r="AN1741" s="5" t="str">
        <f t="shared" si="110"/>
        <v/>
      </c>
      <c r="AO1741" s="18" t="str">
        <f t="shared" si="111"/>
        <v/>
      </c>
      <c r="AP1741" s="19"/>
      <c r="AQ1741" s="20" t="str">
        <f t="shared" si="112"/>
        <v/>
      </c>
      <c r="AR1741" s="21"/>
    </row>
    <row r="1742" spans="2:44" ht="31.5" x14ac:dyDescent="0.5">
      <c r="B1742" s="1"/>
      <c r="C1742" s="15"/>
      <c r="D1742" s="16"/>
      <c r="E1742" s="15"/>
      <c r="F1742" s="17"/>
      <c r="G1742" s="8"/>
      <c r="H1742" s="8"/>
      <c r="I1742" s="8"/>
      <c r="J1742" s="8"/>
      <c r="K1742" s="8"/>
      <c r="L1742" s="8"/>
      <c r="M1742" s="8"/>
      <c r="N1742" s="8"/>
      <c r="O1742" s="8"/>
      <c r="P1742" s="8"/>
      <c r="Q1742" s="8"/>
      <c r="R1742" s="8"/>
      <c r="S1742" s="8"/>
      <c r="T1742" s="8"/>
      <c r="U1742" s="8"/>
      <c r="V1742" s="8"/>
      <c r="W1742" s="8"/>
      <c r="X1742" s="8"/>
      <c r="Y1742" s="8"/>
      <c r="Z1742" s="8"/>
      <c r="AA1742" s="8"/>
      <c r="AB1742" s="8"/>
      <c r="AC1742" s="8"/>
      <c r="AD1742" s="8"/>
      <c r="AE1742" s="8"/>
      <c r="AF1742" s="8"/>
      <c r="AG1742" s="8"/>
      <c r="AH1742" s="8"/>
      <c r="AI1742" s="8"/>
      <c r="AJ1742" s="8"/>
      <c r="AK1742" s="8"/>
      <c r="AL1742" s="4"/>
      <c r="AM1742" s="5" t="str">
        <f t="shared" si="109"/>
        <v/>
      </c>
      <c r="AN1742" s="5" t="str">
        <f t="shared" si="110"/>
        <v/>
      </c>
      <c r="AO1742" s="18" t="str">
        <f t="shared" si="111"/>
        <v/>
      </c>
      <c r="AP1742" s="19"/>
      <c r="AQ1742" s="20" t="str">
        <f t="shared" si="112"/>
        <v/>
      </c>
      <c r="AR1742" s="21"/>
    </row>
    <row r="1743" spans="2:44" ht="31.5" x14ac:dyDescent="0.5">
      <c r="B1743" s="1"/>
      <c r="C1743" s="15"/>
      <c r="D1743" s="16"/>
      <c r="E1743" s="15"/>
      <c r="F1743" s="17"/>
      <c r="G1743" s="8"/>
      <c r="H1743" s="8"/>
      <c r="I1743" s="8"/>
      <c r="J1743" s="8"/>
      <c r="K1743" s="8"/>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4"/>
      <c r="AM1743" s="5" t="str">
        <f t="shared" si="109"/>
        <v/>
      </c>
      <c r="AN1743" s="5" t="str">
        <f t="shared" si="110"/>
        <v/>
      </c>
      <c r="AO1743" s="18" t="str">
        <f t="shared" si="111"/>
        <v/>
      </c>
      <c r="AP1743" s="19"/>
      <c r="AQ1743" s="20" t="str">
        <f t="shared" si="112"/>
        <v/>
      </c>
      <c r="AR1743" s="21"/>
    </row>
    <row r="1744" spans="2:44" ht="31.5" x14ac:dyDescent="0.5">
      <c r="B1744" s="1"/>
      <c r="C1744" s="15"/>
      <c r="D1744" s="16"/>
      <c r="E1744" s="15"/>
      <c r="F1744" s="17"/>
      <c r="G1744" s="8"/>
      <c r="H1744" s="8"/>
      <c r="I1744" s="8"/>
      <c r="J1744" s="8"/>
      <c r="K1744" s="8"/>
      <c r="L1744" s="8"/>
      <c r="M1744" s="8"/>
      <c r="N1744" s="8"/>
      <c r="O1744" s="8"/>
      <c r="P1744" s="8"/>
      <c r="Q1744" s="8"/>
      <c r="R1744" s="8"/>
      <c r="S1744" s="8"/>
      <c r="T1744" s="8"/>
      <c r="U1744" s="8"/>
      <c r="V1744" s="8"/>
      <c r="W1744" s="8"/>
      <c r="X1744" s="8"/>
      <c r="Y1744" s="8"/>
      <c r="Z1744" s="8"/>
      <c r="AA1744" s="8"/>
      <c r="AB1744" s="8"/>
      <c r="AC1744" s="8"/>
      <c r="AD1744" s="8"/>
      <c r="AE1744" s="8"/>
      <c r="AF1744" s="8"/>
      <c r="AG1744" s="8"/>
      <c r="AH1744" s="8"/>
      <c r="AI1744" s="8"/>
      <c r="AJ1744" s="8"/>
      <c r="AK1744" s="8"/>
      <c r="AL1744" s="4"/>
      <c r="AM1744" s="5" t="str">
        <f t="shared" si="109"/>
        <v/>
      </c>
      <c r="AN1744" s="5" t="str">
        <f t="shared" si="110"/>
        <v/>
      </c>
      <c r="AO1744" s="18" t="str">
        <f t="shared" si="111"/>
        <v/>
      </c>
      <c r="AP1744" s="19"/>
      <c r="AQ1744" s="20" t="str">
        <f t="shared" si="112"/>
        <v/>
      </c>
      <c r="AR1744" s="21"/>
    </row>
    <row r="1745" spans="2:44" ht="31.5" x14ac:dyDescent="0.5">
      <c r="B1745" s="1"/>
      <c r="C1745" s="15"/>
      <c r="D1745" s="16"/>
      <c r="E1745" s="15"/>
      <c r="F1745" s="17"/>
      <c r="G1745" s="8"/>
      <c r="H1745" s="8"/>
      <c r="I1745" s="8"/>
      <c r="J1745" s="8"/>
      <c r="K1745" s="8"/>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4"/>
      <c r="AM1745" s="5" t="str">
        <f t="shared" si="109"/>
        <v/>
      </c>
      <c r="AN1745" s="5" t="str">
        <f t="shared" si="110"/>
        <v/>
      </c>
      <c r="AO1745" s="18" t="str">
        <f t="shared" si="111"/>
        <v/>
      </c>
      <c r="AP1745" s="19"/>
      <c r="AQ1745" s="20" t="str">
        <f t="shared" si="112"/>
        <v/>
      </c>
      <c r="AR1745" s="21"/>
    </row>
    <row r="1746" spans="2:44" ht="31.5" x14ac:dyDescent="0.5">
      <c r="B1746" s="1"/>
      <c r="C1746" s="15"/>
      <c r="D1746" s="16"/>
      <c r="E1746" s="15"/>
      <c r="F1746" s="17"/>
      <c r="G1746" s="8"/>
      <c r="H1746" s="8"/>
      <c r="I1746" s="8"/>
      <c r="J1746" s="8"/>
      <c r="K1746" s="8"/>
      <c r="L1746" s="8"/>
      <c r="M1746" s="8"/>
      <c r="N1746" s="8"/>
      <c r="O1746" s="8"/>
      <c r="P1746" s="8"/>
      <c r="Q1746" s="8"/>
      <c r="R1746" s="8"/>
      <c r="S1746" s="8"/>
      <c r="T1746" s="8"/>
      <c r="U1746" s="8"/>
      <c r="V1746" s="8"/>
      <c r="W1746" s="8"/>
      <c r="X1746" s="8"/>
      <c r="Y1746" s="8"/>
      <c r="Z1746" s="8"/>
      <c r="AA1746" s="8"/>
      <c r="AB1746" s="8"/>
      <c r="AC1746" s="8"/>
      <c r="AD1746" s="8"/>
      <c r="AE1746" s="8"/>
      <c r="AF1746" s="8"/>
      <c r="AG1746" s="8"/>
      <c r="AH1746" s="8"/>
      <c r="AI1746" s="8"/>
      <c r="AJ1746" s="8"/>
      <c r="AK1746" s="8"/>
      <c r="AL1746" s="4"/>
      <c r="AM1746" s="5" t="str">
        <f t="shared" si="109"/>
        <v/>
      </c>
      <c r="AN1746" s="5" t="str">
        <f t="shared" si="110"/>
        <v/>
      </c>
      <c r="AO1746" s="18" t="str">
        <f t="shared" si="111"/>
        <v/>
      </c>
      <c r="AP1746" s="19"/>
      <c r="AQ1746" s="20" t="str">
        <f t="shared" si="112"/>
        <v/>
      </c>
      <c r="AR1746" s="21"/>
    </row>
    <row r="1747" spans="2:44" ht="31.5" x14ac:dyDescent="0.5">
      <c r="B1747" s="1"/>
      <c r="C1747" s="15"/>
      <c r="D1747" s="16"/>
      <c r="E1747" s="15"/>
      <c r="F1747" s="17"/>
      <c r="G1747" s="8"/>
      <c r="H1747" s="8"/>
      <c r="I1747" s="8"/>
      <c r="J1747" s="8"/>
      <c r="K1747" s="8"/>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4"/>
      <c r="AM1747" s="5" t="str">
        <f t="shared" si="109"/>
        <v/>
      </c>
      <c r="AN1747" s="5" t="str">
        <f t="shared" si="110"/>
        <v/>
      </c>
      <c r="AO1747" s="18" t="str">
        <f t="shared" si="111"/>
        <v/>
      </c>
      <c r="AP1747" s="19"/>
      <c r="AQ1747" s="20" t="str">
        <f t="shared" si="112"/>
        <v/>
      </c>
      <c r="AR1747" s="21"/>
    </row>
    <row r="1748" spans="2:44" ht="31.5" x14ac:dyDescent="0.5">
      <c r="B1748" s="1"/>
      <c r="C1748" s="15"/>
      <c r="D1748" s="16"/>
      <c r="E1748" s="15"/>
      <c r="F1748" s="17"/>
      <c r="G1748" s="8"/>
      <c r="H1748" s="8"/>
      <c r="I1748" s="8"/>
      <c r="J1748" s="8"/>
      <c r="K1748" s="8"/>
      <c r="L1748" s="8"/>
      <c r="M1748" s="8"/>
      <c r="N1748" s="8"/>
      <c r="O1748" s="8"/>
      <c r="P1748" s="8"/>
      <c r="Q1748" s="8"/>
      <c r="R1748" s="8"/>
      <c r="S1748" s="8"/>
      <c r="T1748" s="8"/>
      <c r="U1748" s="8"/>
      <c r="V1748" s="8"/>
      <c r="W1748" s="8"/>
      <c r="X1748" s="8"/>
      <c r="Y1748" s="8"/>
      <c r="Z1748" s="8"/>
      <c r="AA1748" s="8"/>
      <c r="AB1748" s="8"/>
      <c r="AC1748" s="8"/>
      <c r="AD1748" s="8"/>
      <c r="AE1748" s="8"/>
      <c r="AF1748" s="8"/>
      <c r="AG1748" s="8"/>
      <c r="AH1748" s="8"/>
      <c r="AI1748" s="8"/>
      <c r="AJ1748" s="8"/>
      <c r="AK1748" s="8"/>
      <c r="AL1748" s="4"/>
      <c r="AM1748" s="5" t="str">
        <f t="shared" si="109"/>
        <v/>
      </c>
      <c r="AN1748" s="5" t="str">
        <f t="shared" si="110"/>
        <v/>
      </c>
      <c r="AO1748" s="18" t="str">
        <f t="shared" si="111"/>
        <v/>
      </c>
      <c r="AP1748" s="19"/>
      <c r="AQ1748" s="20" t="str">
        <f t="shared" si="112"/>
        <v/>
      </c>
      <c r="AR1748" s="21"/>
    </row>
    <row r="1749" spans="2:44" ht="31.5" x14ac:dyDescent="0.5">
      <c r="B1749" s="1"/>
      <c r="C1749" s="15"/>
      <c r="D1749" s="16"/>
      <c r="E1749" s="15"/>
      <c r="F1749" s="17"/>
      <c r="G1749" s="8"/>
      <c r="H1749" s="8"/>
      <c r="I1749" s="8"/>
      <c r="J1749" s="8"/>
      <c r="K1749" s="8"/>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4"/>
      <c r="AM1749" s="5" t="str">
        <f t="shared" si="109"/>
        <v/>
      </c>
      <c r="AN1749" s="5" t="str">
        <f t="shared" si="110"/>
        <v/>
      </c>
      <c r="AO1749" s="18" t="str">
        <f t="shared" si="111"/>
        <v/>
      </c>
      <c r="AP1749" s="19"/>
      <c r="AQ1749" s="20" t="str">
        <f t="shared" si="112"/>
        <v/>
      </c>
      <c r="AR1749" s="21"/>
    </row>
    <row r="1750" spans="2:44" ht="31.5" x14ac:dyDescent="0.5">
      <c r="B1750" s="1"/>
      <c r="C1750" s="15"/>
      <c r="D1750" s="16"/>
      <c r="E1750" s="15"/>
      <c r="F1750" s="17"/>
      <c r="G1750" s="8"/>
      <c r="H1750" s="8"/>
      <c r="I1750" s="8"/>
      <c r="J1750" s="8"/>
      <c r="K1750" s="8"/>
      <c r="L1750" s="8"/>
      <c r="M1750" s="8"/>
      <c r="N1750" s="8"/>
      <c r="O1750" s="8"/>
      <c r="P1750" s="8"/>
      <c r="Q1750" s="8"/>
      <c r="R1750" s="8"/>
      <c r="S1750" s="8"/>
      <c r="T1750" s="8"/>
      <c r="U1750" s="8"/>
      <c r="V1750" s="8"/>
      <c r="W1750" s="8"/>
      <c r="X1750" s="8"/>
      <c r="Y1750" s="8"/>
      <c r="Z1750" s="8"/>
      <c r="AA1750" s="8"/>
      <c r="AB1750" s="8"/>
      <c r="AC1750" s="8"/>
      <c r="AD1750" s="8"/>
      <c r="AE1750" s="8"/>
      <c r="AF1750" s="8"/>
      <c r="AG1750" s="8"/>
      <c r="AH1750" s="8"/>
      <c r="AI1750" s="8"/>
      <c r="AJ1750" s="8"/>
      <c r="AK1750" s="8"/>
      <c r="AL1750" s="4"/>
      <c r="AM1750" s="5" t="str">
        <f t="shared" si="109"/>
        <v/>
      </c>
      <c r="AN1750" s="5" t="str">
        <f t="shared" si="110"/>
        <v/>
      </c>
      <c r="AO1750" s="18" t="str">
        <f t="shared" si="111"/>
        <v/>
      </c>
      <c r="AP1750" s="19"/>
      <c r="AQ1750" s="20" t="str">
        <f t="shared" si="112"/>
        <v/>
      </c>
      <c r="AR1750" s="21"/>
    </row>
    <row r="1751" spans="2:44" ht="31.5" x14ac:dyDescent="0.5">
      <c r="B1751" s="1"/>
      <c r="C1751" s="15"/>
      <c r="D1751" s="16"/>
      <c r="E1751" s="15"/>
      <c r="F1751" s="17"/>
      <c r="G1751" s="8"/>
      <c r="H1751" s="8"/>
      <c r="I1751" s="8"/>
      <c r="J1751" s="8"/>
      <c r="K1751" s="8"/>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4"/>
      <c r="AM1751" s="5" t="str">
        <f t="shared" si="109"/>
        <v/>
      </c>
      <c r="AN1751" s="5" t="str">
        <f t="shared" si="110"/>
        <v/>
      </c>
      <c r="AO1751" s="18" t="str">
        <f t="shared" si="111"/>
        <v/>
      </c>
      <c r="AP1751" s="19"/>
      <c r="AQ1751" s="20" t="str">
        <f t="shared" si="112"/>
        <v/>
      </c>
      <c r="AR1751" s="21"/>
    </row>
    <row r="1752" spans="2:44" ht="31.5" x14ac:dyDescent="0.5">
      <c r="B1752" s="1"/>
      <c r="C1752" s="15"/>
      <c r="D1752" s="16"/>
      <c r="E1752" s="15"/>
      <c r="F1752" s="17"/>
      <c r="G1752" s="8"/>
      <c r="H1752" s="8"/>
      <c r="I1752" s="8"/>
      <c r="J1752" s="8"/>
      <c r="K1752" s="8"/>
      <c r="L1752" s="8"/>
      <c r="M1752" s="8"/>
      <c r="N1752" s="8"/>
      <c r="O1752" s="8"/>
      <c r="P1752" s="8"/>
      <c r="Q1752" s="8"/>
      <c r="R1752" s="8"/>
      <c r="S1752" s="8"/>
      <c r="T1752" s="8"/>
      <c r="U1752" s="8"/>
      <c r="V1752" s="8"/>
      <c r="W1752" s="8"/>
      <c r="X1752" s="8"/>
      <c r="Y1752" s="8"/>
      <c r="Z1752" s="8"/>
      <c r="AA1752" s="8"/>
      <c r="AB1752" s="8"/>
      <c r="AC1752" s="8"/>
      <c r="AD1752" s="8"/>
      <c r="AE1752" s="8"/>
      <c r="AF1752" s="8"/>
      <c r="AG1752" s="8"/>
      <c r="AH1752" s="8"/>
      <c r="AI1752" s="8"/>
      <c r="AJ1752" s="8"/>
      <c r="AK1752" s="8"/>
      <c r="AL1752" s="4"/>
      <c r="AM1752" s="5" t="str">
        <f t="shared" si="109"/>
        <v/>
      </c>
      <c r="AN1752" s="5" t="str">
        <f t="shared" si="110"/>
        <v/>
      </c>
      <c r="AO1752" s="18" t="str">
        <f t="shared" si="111"/>
        <v/>
      </c>
      <c r="AP1752" s="19"/>
      <c r="AQ1752" s="20" t="str">
        <f t="shared" si="112"/>
        <v/>
      </c>
      <c r="AR1752" s="21"/>
    </row>
    <row r="1753" spans="2:44" ht="31.5" x14ac:dyDescent="0.5">
      <c r="B1753" s="1"/>
      <c r="C1753" s="15"/>
      <c r="D1753" s="16"/>
      <c r="E1753" s="15"/>
      <c r="F1753" s="17"/>
      <c r="G1753" s="8"/>
      <c r="H1753" s="8"/>
      <c r="I1753" s="8"/>
      <c r="J1753" s="8"/>
      <c r="K1753" s="8"/>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4"/>
      <c r="AM1753" s="5" t="str">
        <f t="shared" si="109"/>
        <v/>
      </c>
      <c r="AN1753" s="5" t="str">
        <f t="shared" si="110"/>
        <v/>
      </c>
      <c r="AO1753" s="18" t="str">
        <f t="shared" si="111"/>
        <v/>
      </c>
      <c r="AP1753" s="19"/>
      <c r="AQ1753" s="20" t="str">
        <f t="shared" si="112"/>
        <v/>
      </c>
      <c r="AR1753" s="21"/>
    </row>
    <row r="1754" spans="2:44" ht="31.5" x14ac:dyDescent="0.5">
      <c r="B1754" s="1"/>
      <c r="C1754" s="15"/>
      <c r="D1754" s="16"/>
      <c r="E1754" s="15"/>
      <c r="F1754" s="17"/>
      <c r="G1754" s="8"/>
      <c r="H1754" s="8"/>
      <c r="I1754" s="8"/>
      <c r="J1754" s="8"/>
      <c r="K1754" s="8"/>
      <c r="L1754" s="8"/>
      <c r="M1754" s="8"/>
      <c r="N1754" s="8"/>
      <c r="O1754" s="8"/>
      <c r="P1754" s="8"/>
      <c r="Q1754" s="8"/>
      <c r="R1754" s="8"/>
      <c r="S1754" s="8"/>
      <c r="T1754" s="8"/>
      <c r="U1754" s="8"/>
      <c r="V1754" s="8"/>
      <c r="W1754" s="8"/>
      <c r="X1754" s="8"/>
      <c r="Y1754" s="8"/>
      <c r="Z1754" s="8"/>
      <c r="AA1754" s="8"/>
      <c r="AB1754" s="8"/>
      <c r="AC1754" s="8"/>
      <c r="AD1754" s="8"/>
      <c r="AE1754" s="8"/>
      <c r="AF1754" s="8"/>
      <c r="AG1754" s="8"/>
      <c r="AH1754" s="8"/>
      <c r="AI1754" s="8"/>
      <c r="AJ1754" s="8"/>
      <c r="AK1754" s="8"/>
      <c r="AL1754" s="4"/>
      <c r="AM1754" s="5" t="str">
        <f t="shared" si="109"/>
        <v/>
      </c>
      <c r="AN1754" s="5" t="str">
        <f t="shared" si="110"/>
        <v/>
      </c>
      <c r="AO1754" s="18" t="str">
        <f t="shared" si="111"/>
        <v/>
      </c>
      <c r="AP1754" s="19"/>
      <c r="AQ1754" s="20" t="str">
        <f t="shared" si="112"/>
        <v/>
      </c>
      <c r="AR1754" s="21"/>
    </row>
    <row r="1755" spans="2:44" ht="31.5" x14ac:dyDescent="0.5">
      <c r="B1755" s="1"/>
      <c r="C1755" s="15"/>
      <c r="D1755" s="16"/>
      <c r="E1755" s="15"/>
      <c r="F1755" s="17"/>
      <c r="G1755" s="8"/>
      <c r="H1755" s="8"/>
      <c r="I1755" s="8"/>
      <c r="J1755" s="8"/>
      <c r="K1755" s="8"/>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4"/>
      <c r="AM1755" s="5" t="str">
        <f t="shared" si="109"/>
        <v/>
      </c>
      <c r="AN1755" s="5" t="str">
        <f t="shared" si="110"/>
        <v/>
      </c>
      <c r="AO1755" s="18" t="str">
        <f t="shared" si="111"/>
        <v/>
      </c>
      <c r="AP1755" s="19"/>
      <c r="AQ1755" s="20" t="str">
        <f t="shared" si="112"/>
        <v/>
      </c>
      <c r="AR1755" s="21"/>
    </row>
    <row r="1756" spans="2:44" ht="31.5" x14ac:dyDescent="0.5">
      <c r="B1756" s="1"/>
      <c r="C1756" s="15"/>
      <c r="D1756" s="16"/>
      <c r="E1756" s="15"/>
      <c r="F1756" s="17"/>
      <c r="G1756" s="8"/>
      <c r="H1756" s="8"/>
      <c r="I1756" s="8"/>
      <c r="J1756" s="8"/>
      <c r="K1756" s="8"/>
      <c r="L1756" s="8"/>
      <c r="M1756" s="8"/>
      <c r="N1756" s="8"/>
      <c r="O1756" s="8"/>
      <c r="P1756" s="8"/>
      <c r="Q1756" s="8"/>
      <c r="R1756" s="8"/>
      <c r="S1756" s="8"/>
      <c r="T1756" s="8"/>
      <c r="U1756" s="8"/>
      <c r="V1756" s="8"/>
      <c r="W1756" s="8"/>
      <c r="X1756" s="8"/>
      <c r="Y1756" s="8"/>
      <c r="Z1756" s="8"/>
      <c r="AA1756" s="8"/>
      <c r="AB1756" s="8"/>
      <c r="AC1756" s="8"/>
      <c r="AD1756" s="8"/>
      <c r="AE1756" s="8"/>
      <c r="AF1756" s="8"/>
      <c r="AG1756" s="8"/>
      <c r="AH1756" s="8"/>
      <c r="AI1756" s="8"/>
      <c r="AJ1756" s="8"/>
      <c r="AK1756" s="8"/>
      <c r="AL1756" s="4"/>
      <c r="AM1756" s="5" t="str">
        <f t="shared" si="109"/>
        <v/>
      </c>
      <c r="AN1756" s="5" t="str">
        <f t="shared" si="110"/>
        <v/>
      </c>
      <c r="AO1756" s="18" t="str">
        <f t="shared" si="111"/>
        <v/>
      </c>
      <c r="AP1756" s="19"/>
      <c r="AQ1756" s="20" t="str">
        <f t="shared" si="112"/>
        <v/>
      </c>
      <c r="AR1756" s="21"/>
    </row>
    <row r="1757" spans="2:44" ht="31.5" x14ac:dyDescent="0.5">
      <c r="B1757" s="1"/>
      <c r="C1757" s="15"/>
      <c r="D1757" s="16"/>
      <c r="E1757" s="15"/>
      <c r="F1757" s="17"/>
      <c r="G1757" s="8"/>
      <c r="H1757" s="8"/>
      <c r="I1757" s="8"/>
      <c r="J1757" s="8"/>
      <c r="K1757" s="8"/>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4"/>
      <c r="AM1757" s="5" t="str">
        <f t="shared" si="109"/>
        <v/>
      </c>
      <c r="AN1757" s="5" t="str">
        <f t="shared" si="110"/>
        <v/>
      </c>
      <c r="AO1757" s="18" t="str">
        <f t="shared" si="111"/>
        <v/>
      </c>
      <c r="AP1757" s="19"/>
      <c r="AQ1757" s="20" t="str">
        <f t="shared" si="112"/>
        <v/>
      </c>
      <c r="AR1757" s="21"/>
    </row>
    <row r="1758" spans="2:44" ht="31.5" x14ac:dyDescent="0.5">
      <c r="B1758" s="1"/>
      <c r="C1758" s="15"/>
      <c r="D1758" s="16"/>
      <c r="E1758" s="15"/>
      <c r="F1758" s="17"/>
      <c r="G1758" s="8"/>
      <c r="H1758" s="8"/>
      <c r="I1758" s="8"/>
      <c r="J1758" s="8"/>
      <c r="K1758" s="8"/>
      <c r="L1758" s="8"/>
      <c r="M1758" s="8"/>
      <c r="N1758" s="8"/>
      <c r="O1758" s="8"/>
      <c r="P1758" s="8"/>
      <c r="Q1758" s="8"/>
      <c r="R1758" s="8"/>
      <c r="S1758" s="8"/>
      <c r="T1758" s="8"/>
      <c r="U1758" s="8"/>
      <c r="V1758" s="8"/>
      <c r="W1758" s="8"/>
      <c r="X1758" s="8"/>
      <c r="Y1758" s="8"/>
      <c r="Z1758" s="8"/>
      <c r="AA1758" s="8"/>
      <c r="AB1758" s="8"/>
      <c r="AC1758" s="8"/>
      <c r="AD1758" s="8"/>
      <c r="AE1758" s="8"/>
      <c r="AF1758" s="8"/>
      <c r="AG1758" s="8"/>
      <c r="AH1758" s="8"/>
      <c r="AI1758" s="8"/>
      <c r="AJ1758" s="8"/>
      <c r="AK1758" s="8"/>
      <c r="AL1758" s="4"/>
      <c r="AM1758" s="5" t="str">
        <f t="shared" si="109"/>
        <v/>
      </c>
      <c r="AN1758" s="5" t="str">
        <f t="shared" si="110"/>
        <v/>
      </c>
      <c r="AO1758" s="18" t="str">
        <f t="shared" si="111"/>
        <v/>
      </c>
      <c r="AP1758" s="19"/>
      <c r="AQ1758" s="20" t="str">
        <f t="shared" si="112"/>
        <v/>
      </c>
      <c r="AR1758" s="21"/>
    </row>
    <row r="1759" spans="2:44" ht="31.5" x14ac:dyDescent="0.5">
      <c r="B1759" s="1"/>
      <c r="C1759" s="15"/>
      <c r="D1759" s="16"/>
      <c r="E1759" s="15"/>
      <c r="F1759" s="17"/>
      <c r="G1759" s="8"/>
      <c r="H1759" s="8"/>
      <c r="I1759" s="8"/>
      <c r="J1759" s="8"/>
      <c r="K1759" s="8"/>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4"/>
      <c r="AM1759" s="5" t="str">
        <f t="shared" si="109"/>
        <v/>
      </c>
      <c r="AN1759" s="5" t="str">
        <f t="shared" si="110"/>
        <v/>
      </c>
      <c r="AO1759" s="18" t="str">
        <f t="shared" si="111"/>
        <v/>
      </c>
      <c r="AP1759" s="19"/>
      <c r="AQ1759" s="20" t="str">
        <f t="shared" si="112"/>
        <v/>
      </c>
      <c r="AR1759" s="21"/>
    </row>
    <row r="1760" spans="2:44" ht="31.5" x14ac:dyDescent="0.5">
      <c r="B1760" s="1"/>
      <c r="C1760" s="15"/>
      <c r="D1760" s="16"/>
      <c r="E1760" s="15"/>
      <c r="F1760" s="17"/>
      <c r="G1760" s="8"/>
      <c r="H1760" s="8"/>
      <c r="I1760" s="8"/>
      <c r="J1760" s="8"/>
      <c r="K1760" s="8"/>
      <c r="L1760" s="8"/>
      <c r="M1760" s="8"/>
      <c r="N1760" s="8"/>
      <c r="O1760" s="8"/>
      <c r="P1760" s="8"/>
      <c r="Q1760" s="8"/>
      <c r="R1760" s="8"/>
      <c r="S1760" s="8"/>
      <c r="T1760" s="8"/>
      <c r="U1760" s="8"/>
      <c r="V1760" s="8"/>
      <c r="W1760" s="8"/>
      <c r="X1760" s="8"/>
      <c r="Y1760" s="8"/>
      <c r="Z1760" s="8"/>
      <c r="AA1760" s="8"/>
      <c r="AB1760" s="8"/>
      <c r="AC1760" s="8"/>
      <c r="AD1760" s="8"/>
      <c r="AE1760" s="8"/>
      <c r="AF1760" s="8"/>
      <c r="AG1760" s="8"/>
      <c r="AH1760" s="8"/>
      <c r="AI1760" s="8"/>
      <c r="AJ1760" s="8"/>
      <c r="AK1760" s="8"/>
      <c r="AL1760" s="4"/>
      <c r="AM1760" s="5" t="str">
        <f t="shared" si="109"/>
        <v/>
      </c>
      <c r="AN1760" s="5" t="str">
        <f t="shared" si="110"/>
        <v/>
      </c>
      <c r="AO1760" s="18" t="str">
        <f t="shared" si="111"/>
        <v/>
      </c>
      <c r="AP1760" s="19"/>
      <c r="AQ1760" s="20" t="str">
        <f t="shared" si="112"/>
        <v/>
      </c>
      <c r="AR1760" s="21"/>
    </row>
    <row r="1761" spans="2:44" ht="31.5" x14ac:dyDescent="0.5">
      <c r="B1761" s="1"/>
      <c r="C1761" s="15"/>
      <c r="D1761" s="16"/>
      <c r="E1761" s="15"/>
      <c r="F1761" s="17"/>
      <c r="G1761" s="8"/>
      <c r="H1761" s="8"/>
      <c r="I1761" s="8"/>
      <c r="J1761" s="8"/>
      <c r="K1761" s="8"/>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4"/>
      <c r="AM1761" s="5" t="str">
        <f t="shared" si="109"/>
        <v/>
      </c>
      <c r="AN1761" s="5" t="str">
        <f t="shared" si="110"/>
        <v/>
      </c>
      <c r="AO1761" s="18" t="str">
        <f t="shared" si="111"/>
        <v/>
      </c>
      <c r="AP1761" s="19"/>
      <c r="AQ1761" s="20" t="str">
        <f t="shared" si="112"/>
        <v/>
      </c>
      <c r="AR1761" s="21"/>
    </row>
    <row r="1762" spans="2:44" ht="31.5" x14ac:dyDescent="0.5">
      <c r="B1762" s="1"/>
      <c r="C1762" s="15"/>
      <c r="D1762" s="16"/>
      <c r="E1762" s="15"/>
      <c r="F1762" s="17"/>
      <c r="G1762" s="8"/>
      <c r="H1762" s="8"/>
      <c r="I1762" s="8"/>
      <c r="J1762" s="8"/>
      <c r="K1762" s="8"/>
      <c r="L1762" s="8"/>
      <c r="M1762" s="8"/>
      <c r="N1762" s="8"/>
      <c r="O1762" s="8"/>
      <c r="P1762" s="8"/>
      <c r="Q1762" s="8"/>
      <c r="R1762" s="8"/>
      <c r="S1762" s="8"/>
      <c r="T1762" s="8"/>
      <c r="U1762" s="8"/>
      <c r="V1762" s="8"/>
      <c r="W1762" s="8"/>
      <c r="X1762" s="8"/>
      <c r="Y1762" s="8"/>
      <c r="Z1762" s="8"/>
      <c r="AA1762" s="8"/>
      <c r="AB1762" s="8"/>
      <c r="AC1762" s="8"/>
      <c r="AD1762" s="8"/>
      <c r="AE1762" s="8"/>
      <c r="AF1762" s="8"/>
      <c r="AG1762" s="8"/>
      <c r="AH1762" s="8"/>
      <c r="AI1762" s="8"/>
      <c r="AJ1762" s="8"/>
      <c r="AK1762" s="8"/>
      <c r="AL1762" s="4"/>
      <c r="AM1762" s="5" t="str">
        <f t="shared" si="109"/>
        <v/>
      </c>
      <c r="AN1762" s="5" t="str">
        <f t="shared" si="110"/>
        <v/>
      </c>
      <c r="AO1762" s="18" t="str">
        <f t="shared" si="111"/>
        <v/>
      </c>
      <c r="AP1762" s="19"/>
      <c r="AQ1762" s="20" t="str">
        <f t="shared" si="112"/>
        <v/>
      </c>
      <c r="AR1762" s="21"/>
    </row>
    <row r="1763" spans="2:44" ht="31.5" x14ac:dyDescent="0.5">
      <c r="B1763" s="1"/>
      <c r="C1763" s="15"/>
      <c r="D1763" s="16"/>
      <c r="E1763" s="15"/>
      <c r="F1763" s="17"/>
      <c r="G1763" s="8"/>
      <c r="H1763" s="8"/>
      <c r="I1763" s="8"/>
      <c r="J1763" s="8"/>
      <c r="K1763" s="8"/>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4"/>
      <c r="AM1763" s="5" t="str">
        <f t="shared" si="109"/>
        <v/>
      </c>
      <c r="AN1763" s="5" t="str">
        <f t="shared" si="110"/>
        <v/>
      </c>
      <c r="AO1763" s="18" t="str">
        <f t="shared" si="111"/>
        <v/>
      </c>
      <c r="AP1763" s="19"/>
      <c r="AQ1763" s="20" t="str">
        <f t="shared" si="112"/>
        <v/>
      </c>
      <c r="AR1763" s="21"/>
    </row>
    <row r="1764" spans="2:44" ht="31.5" x14ac:dyDescent="0.5">
      <c r="B1764" s="1"/>
      <c r="C1764" s="15"/>
      <c r="D1764" s="16"/>
      <c r="E1764" s="15"/>
      <c r="F1764" s="17"/>
      <c r="G1764" s="8"/>
      <c r="H1764" s="8"/>
      <c r="I1764" s="8"/>
      <c r="J1764" s="8"/>
      <c r="K1764" s="8"/>
      <c r="L1764" s="8"/>
      <c r="M1764" s="8"/>
      <c r="N1764" s="8"/>
      <c r="O1764" s="8"/>
      <c r="P1764" s="8"/>
      <c r="Q1764" s="8"/>
      <c r="R1764" s="8"/>
      <c r="S1764" s="8"/>
      <c r="T1764" s="8"/>
      <c r="U1764" s="8"/>
      <c r="V1764" s="8"/>
      <c r="W1764" s="8"/>
      <c r="X1764" s="8"/>
      <c r="Y1764" s="8"/>
      <c r="Z1764" s="8"/>
      <c r="AA1764" s="8"/>
      <c r="AB1764" s="8"/>
      <c r="AC1764" s="8"/>
      <c r="AD1764" s="8"/>
      <c r="AE1764" s="8"/>
      <c r="AF1764" s="8"/>
      <c r="AG1764" s="8"/>
      <c r="AH1764" s="8"/>
      <c r="AI1764" s="8"/>
      <c r="AJ1764" s="8"/>
      <c r="AK1764" s="8"/>
      <c r="AL1764" s="4"/>
      <c r="AM1764" s="5" t="str">
        <f t="shared" si="109"/>
        <v/>
      </c>
      <c r="AN1764" s="5" t="str">
        <f t="shared" si="110"/>
        <v/>
      </c>
      <c r="AO1764" s="18" t="str">
        <f t="shared" si="111"/>
        <v/>
      </c>
      <c r="AP1764" s="19"/>
      <c r="AQ1764" s="20" t="str">
        <f t="shared" si="112"/>
        <v/>
      </c>
      <c r="AR1764" s="21"/>
    </row>
    <row r="1765" spans="2:44" ht="31.5" x14ac:dyDescent="0.5">
      <c r="B1765" s="1"/>
      <c r="C1765" s="15"/>
      <c r="D1765" s="16"/>
      <c r="E1765" s="15"/>
      <c r="F1765" s="17"/>
      <c r="G1765" s="8"/>
      <c r="H1765" s="8"/>
      <c r="I1765" s="8"/>
      <c r="J1765" s="8"/>
      <c r="K1765" s="8"/>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4"/>
      <c r="AM1765" s="5" t="str">
        <f t="shared" si="109"/>
        <v/>
      </c>
      <c r="AN1765" s="5" t="str">
        <f t="shared" si="110"/>
        <v/>
      </c>
      <c r="AO1765" s="18" t="str">
        <f t="shared" si="111"/>
        <v/>
      </c>
      <c r="AP1765" s="19"/>
      <c r="AQ1765" s="20" t="str">
        <f t="shared" si="112"/>
        <v/>
      </c>
      <c r="AR1765" s="21"/>
    </row>
    <row r="1766" spans="2:44" ht="31.5" x14ac:dyDescent="0.5">
      <c r="B1766" s="1"/>
      <c r="C1766" s="15"/>
      <c r="D1766" s="16"/>
      <c r="E1766" s="15"/>
      <c r="F1766" s="17"/>
      <c r="G1766" s="8"/>
      <c r="H1766" s="8"/>
      <c r="I1766" s="8"/>
      <c r="J1766" s="8"/>
      <c r="K1766" s="8"/>
      <c r="L1766" s="8"/>
      <c r="M1766" s="8"/>
      <c r="N1766" s="8"/>
      <c r="O1766" s="8"/>
      <c r="P1766" s="8"/>
      <c r="Q1766" s="8"/>
      <c r="R1766" s="8"/>
      <c r="S1766" s="8"/>
      <c r="T1766" s="8"/>
      <c r="U1766" s="8"/>
      <c r="V1766" s="8"/>
      <c r="W1766" s="8"/>
      <c r="X1766" s="8"/>
      <c r="Y1766" s="8"/>
      <c r="Z1766" s="8"/>
      <c r="AA1766" s="8"/>
      <c r="AB1766" s="8"/>
      <c r="AC1766" s="8"/>
      <c r="AD1766" s="8"/>
      <c r="AE1766" s="8"/>
      <c r="AF1766" s="8"/>
      <c r="AG1766" s="8"/>
      <c r="AH1766" s="8"/>
      <c r="AI1766" s="8"/>
      <c r="AJ1766" s="8"/>
      <c r="AK1766" s="8"/>
      <c r="AL1766" s="4"/>
      <c r="AM1766" s="5" t="str">
        <f t="shared" si="109"/>
        <v/>
      </c>
      <c r="AN1766" s="5" t="str">
        <f t="shared" si="110"/>
        <v/>
      </c>
      <c r="AO1766" s="18" t="str">
        <f t="shared" si="111"/>
        <v/>
      </c>
      <c r="AP1766" s="19"/>
      <c r="AQ1766" s="20" t="str">
        <f t="shared" si="112"/>
        <v/>
      </c>
      <c r="AR1766" s="21"/>
    </row>
    <row r="1767" spans="2:44" ht="31.5" x14ac:dyDescent="0.5">
      <c r="B1767" s="1"/>
      <c r="C1767" s="15"/>
      <c r="D1767" s="16"/>
      <c r="E1767" s="15"/>
      <c r="F1767" s="17"/>
      <c r="G1767" s="8"/>
      <c r="H1767" s="8"/>
      <c r="I1767" s="8"/>
      <c r="J1767" s="8"/>
      <c r="K1767" s="8"/>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4"/>
      <c r="AM1767" s="5" t="str">
        <f t="shared" si="109"/>
        <v/>
      </c>
      <c r="AN1767" s="5" t="str">
        <f t="shared" si="110"/>
        <v/>
      </c>
      <c r="AO1767" s="18" t="str">
        <f t="shared" si="111"/>
        <v/>
      </c>
      <c r="AP1767" s="19"/>
      <c r="AQ1767" s="20" t="str">
        <f t="shared" si="112"/>
        <v/>
      </c>
      <c r="AR1767" s="21"/>
    </row>
    <row r="1768" spans="2:44" ht="31.5" x14ac:dyDescent="0.5">
      <c r="B1768" s="1"/>
      <c r="C1768" s="15"/>
      <c r="D1768" s="16"/>
      <c r="E1768" s="15"/>
      <c r="F1768" s="17"/>
      <c r="G1768" s="8"/>
      <c r="H1768" s="8"/>
      <c r="I1768" s="8"/>
      <c r="J1768" s="8"/>
      <c r="K1768" s="8"/>
      <c r="L1768" s="8"/>
      <c r="M1768" s="8"/>
      <c r="N1768" s="8"/>
      <c r="O1768" s="8"/>
      <c r="P1768" s="8"/>
      <c r="Q1768" s="8"/>
      <c r="R1768" s="8"/>
      <c r="S1768" s="8"/>
      <c r="T1768" s="8"/>
      <c r="U1768" s="8"/>
      <c r="V1768" s="8"/>
      <c r="W1768" s="8"/>
      <c r="X1768" s="8"/>
      <c r="Y1768" s="8"/>
      <c r="Z1768" s="8"/>
      <c r="AA1768" s="8"/>
      <c r="AB1768" s="8"/>
      <c r="AC1768" s="8"/>
      <c r="AD1768" s="8"/>
      <c r="AE1768" s="8"/>
      <c r="AF1768" s="8"/>
      <c r="AG1768" s="8"/>
      <c r="AH1768" s="8"/>
      <c r="AI1768" s="8"/>
      <c r="AJ1768" s="8"/>
      <c r="AK1768" s="8"/>
      <c r="AL1768" s="4"/>
      <c r="AM1768" s="5" t="str">
        <f t="shared" si="109"/>
        <v/>
      </c>
      <c r="AN1768" s="5" t="str">
        <f t="shared" si="110"/>
        <v/>
      </c>
      <c r="AO1768" s="18" t="str">
        <f t="shared" si="111"/>
        <v/>
      </c>
      <c r="AP1768" s="19"/>
      <c r="AQ1768" s="20" t="str">
        <f t="shared" si="112"/>
        <v/>
      </c>
      <c r="AR1768" s="21"/>
    </row>
    <row r="1769" spans="2:44" ht="31.5" x14ac:dyDescent="0.5">
      <c r="B1769" s="1"/>
      <c r="C1769" s="15"/>
      <c r="D1769" s="16"/>
      <c r="E1769" s="15"/>
      <c r="F1769" s="17"/>
      <c r="G1769" s="8"/>
      <c r="H1769" s="8"/>
      <c r="I1769" s="8"/>
      <c r="J1769" s="8"/>
      <c r="K1769" s="8"/>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4"/>
      <c r="AM1769" s="5" t="str">
        <f t="shared" si="109"/>
        <v/>
      </c>
      <c r="AN1769" s="5" t="str">
        <f t="shared" si="110"/>
        <v/>
      </c>
      <c r="AO1769" s="18" t="str">
        <f t="shared" si="111"/>
        <v/>
      </c>
      <c r="AP1769" s="19"/>
      <c r="AQ1769" s="20" t="str">
        <f t="shared" si="112"/>
        <v/>
      </c>
      <c r="AR1769" s="21"/>
    </row>
    <row r="1770" spans="2:44" ht="31.5" x14ac:dyDescent="0.5">
      <c r="B1770" s="1"/>
      <c r="C1770" s="15"/>
      <c r="D1770" s="16"/>
      <c r="E1770" s="15"/>
      <c r="F1770" s="17"/>
      <c r="G1770" s="8"/>
      <c r="H1770" s="8"/>
      <c r="I1770" s="8"/>
      <c r="J1770" s="8"/>
      <c r="K1770" s="8"/>
      <c r="L1770" s="8"/>
      <c r="M1770" s="8"/>
      <c r="N1770" s="8"/>
      <c r="O1770" s="8"/>
      <c r="P1770" s="8"/>
      <c r="Q1770" s="8"/>
      <c r="R1770" s="8"/>
      <c r="S1770" s="8"/>
      <c r="T1770" s="8"/>
      <c r="U1770" s="8"/>
      <c r="V1770" s="8"/>
      <c r="W1770" s="8"/>
      <c r="X1770" s="8"/>
      <c r="Y1770" s="8"/>
      <c r="Z1770" s="8"/>
      <c r="AA1770" s="8"/>
      <c r="AB1770" s="8"/>
      <c r="AC1770" s="8"/>
      <c r="AD1770" s="8"/>
      <c r="AE1770" s="8"/>
      <c r="AF1770" s="8"/>
      <c r="AG1770" s="8"/>
      <c r="AH1770" s="8"/>
      <c r="AI1770" s="8"/>
      <c r="AJ1770" s="8"/>
      <c r="AK1770" s="8"/>
      <c r="AL1770" s="4"/>
      <c r="AM1770" s="5" t="str">
        <f t="shared" si="109"/>
        <v/>
      </c>
      <c r="AN1770" s="5" t="str">
        <f t="shared" si="110"/>
        <v/>
      </c>
      <c r="AO1770" s="18" t="str">
        <f t="shared" si="111"/>
        <v/>
      </c>
      <c r="AP1770" s="19"/>
      <c r="AQ1770" s="20" t="str">
        <f t="shared" si="112"/>
        <v/>
      </c>
      <c r="AR1770" s="21"/>
    </row>
    <row r="1771" spans="2:44" ht="31.5" x14ac:dyDescent="0.5">
      <c r="B1771" s="1"/>
      <c r="C1771" s="15"/>
      <c r="D1771" s="16"/>
      <c r="E1771" s="15"/>
      <c r="F1771" s="17"/>
      <c r="G1771" s="8"/>
      <c r="H1771" s="8"/>
      <c r="I1771" s="8"/>
      <c r="J1771" s="8"/>
      <c r="K1771" s="8"/>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4"/>
      <c r="AM1771" s="5" t="str">
        <f t="shared" si="109"/>
        <v/>
      </c>
      <c r="AN1771" s="5" t="str">
        <f t="shared" si="110"/>
        <v/>
      </c>
      <c r="AO1771" s="18" t="str">
        <f t="shared" si="111"/>
        <v/>
      </c>
      <c r="AP1771" s="19"/>
      <c r="AQ1771" s="20" t="str">
        <f t="shared" si="112"/>
        <v/>
      </c>
      <c r="AR1771" s="21"/>
    </row>
    <row r="1772" spans="2:44" ht="31.5" x14ac:dyDescent="0.5">
      <c r="B1772" s="1"/>
      <c r="C1772" s="15"/>
      <c r="D1772" s="16"/>
      <c r="E1772" s="15"/>
      <c r="F1772" s="17"/>
      <c r="G1772" s="8"/>
      <c r="H1772" s="8"/>
      <c r="I1772" s="8"/>
      <c r="J1772" s="8"/>
      <c r="K1772" s="8"/>
      <c r="L1772" s="8"/>
      <c r="M1772" s="8"/>
      <c r="N1772" s="8"/>
      <c r="O1772" s="8"/>
      <c r="P1772" s="8"/>
      <c r="Q1772" s="8"/>
      <c r="R1772" s="8"/>
      <c r="S1772" s="8"/>
      <c r="T1772" s="8"/>
      <c r="U1772" s="8"/>
      <c r="V1772" s="8"/>
      <c r="W1772" s="8"/>
      <c r="X1772" s="8"/>
      <c r="Y1772" s="8"/>
      <c r="Z1772" s="8"/>
      <c r="AA1772" s="8"/>
      <c r="AB1772" s="8"/>
      <c r="AC1772" s="8"/>
      <c r="AD1772" s="8"/>
      <c r="AE1772" s="8"/>
      <c r="AF1772" s="8"/>
      <c r="AG1772" s="8"/>
      <c r="AH1772" s="8"/>
      <c r="AI1772" s="8"/>
      <c r="AJ1772" s="8"/>
      <c r="AK1772" s="8"/>
      <c r="AL1772" s="4"/>
      <c r="AM1772" s="5" t="str">
        <f t="shared" si="109"/>
        <v/>
      </c>
      <c r="AN1772" s="5" t="str">
        <f t="shared" si="110"/>
        <v/>
      </c>
      <c r="AO1772" s="18" t="str">
        <f t="shared" si="111"/>
        <v/>
      </c>
      <c r="AP1772" s="19"/>
      <c r="AQ1772" s="20" t="str">
        <f t="shared" si="112"/>
        <v/>
      </c>
      <c r="AR1772" s="21"/>
    </row>
    <row r="1773" spans="2:44" ht="31.5" x14ac:dyDescent="0.5">
      <c r="B1773" s="1"/>
      <c r="C1773" s="15"/>
      <c r="D1773" s="16"/>
      <c r="E1773" s="15"/>
      <c r="F1773" s="17"/>
      <c r="G1773" s="8"/>
      <c r="H1773" s="8"/>
      <c r="I1773" s="8"/>
      <c r="J1773" s="8"/>
      <c r="K1773" s="8"/>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4"/>
      <c r="AM1773" s="5" t="str">
        <f t="shared" si="109"/>
        <v/>
      </c>
      <c r="AN1773" s="5" t="str">
        <f t="shared" si="110"/>
        <v/>
      </c>
      <c r="AO1773" s="18" t="str">
        <f t="shared" si="111"/>
        <v/>
      </c>
      <c r="AP1773" s="19"/>
      <c r="AQ1773" s="20" t="str">
        <f t="shared" si="112"/>
        <v/>
      </c>
      <c r="AR1773" s="21"/>
    </row>
    <row r="1774" spans="2:44" ht="31.5" x14ac:dyDescent="0.5">
      <c r="B1774" s="1"/>
      <c r="C1774" s="15"/>
      <c r="D1774" s="16"/>
      <c r="E1774" s="15"/>
      <c r="F1774" s="17"/>
      <c r="G1774" s="8"/>
      <c r="H1774" s="8"/>
      <c r="I1774" s="8"/>
      <c r="J1774" s="8"/>
      <c r="K1774" s="8"/>
      <c r="L1774" s="8"/>
      <c r="M1774" s="8"/>
      <c r="N1774" s="8"/>
      <c r="O1774" s="8"/>
      <c r="P1774" s="8"/>
      <c r="Q1774" s="8"/>
      <c r="R1774" s="8"/>
      <c r="S1774" s="8"/>
      <c r="T1774" s="8"/>
      <c r="U1774" s="8"/>
      <c r="V1774" s="8"/>
      <c r="W1774" s="8"/>
      <c r="X1774" s="8"/>
      <c r="Y1774" s="8"/>
      <c r="Z1774" s="8"/>
      <c r="AA1774" s="8"/>
      <c r="AB1774" s="8"/>
      <c r="AC1774" s="8"/>
      <c r="AD1774" s="8"/>
      <c r="AE1774" s="8"/>
      <c r="AF1774" s="8"/>
      <c r="AG1774" s="8"/>
      <c r="AH1774" s="8"/>
      <c r="AI1774" s="8"/>
      <c r="AJ1774" s="8"/>
      <c r="AK1774" s="8"/>
      <c r="AL1774" s="4"/>
      <c r="AM1774" s="5" t="str">
        <f t="shared" si="109"/>
        <v/>
      </c>
      <c r="AN1774" s="5" t="str">
        <f t="shared" si="110"/>
        <v/>
      </c>
      <c r="AO1774" s="18" t="str">
        <f t="shared" si="111"/>
        <v/>
      </c>
      <c r="AP1774" s="19"/>
      <c r="AQ1774" s="20" t="str">
        <f t="shared" si="112"/>
        <v/>
      </c>
      <c r="AR1774" s="21"/>
    </row>
    <row r="1775" spans="2:44" ht="31.5" x14ac:dyDescent="0.5">
      <c r="B1775" s="1"/>
      <c r="C1775" s="15"/>
      <c r="D1775" s="16"/>
      <c r="E1775" s="15"/>
      <c r="F1775" s="17"/>
      <c r="G1775" s="8"/>
      <c r="H1775" s="8"/>
      <c r="I1775" s="8"/>
      <c r="J1775" s="8"/>
      <c r="K1775" s="8"/>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4"/>
      <c r="AM1775" s="5" t="str">
        <f t="shared" si="109"/>
        <v/>
      </c>
      <c r="AN1775" s="5" t="str">
        <f t="shared" si="110"/>
        <v/>
      </c>
      <c r="AO1775" s="18" t="str">
        <f t="shared" si="111"/>
        <v/>
      </c>
      <c r="AP1775" s="19"/>
      <c r="AQ1775" s="20" t="str">
        <f t="shared" si="112"/>
        <v/>
      </c>
      <c r="AR1775" s="21"/>
    </row>
    <row r="1776" spans="2:44" ht="31.5" x14ac:dyDescent="0.5">
      <c r="B1776" s="1"/>
      <c r="C1776" s="15"/>
      <c r="D1776" s="16"/>
      <c r="E1776" s="15"/>
      <c r="F1776" s="17"/>
      <c r="G1776" s="8"/>
      <c r="H1776" s="8"/>
      <c r="I1776" s="8"/>
      <c r="J1776" s="8"/>
      <c r="K1776" s="8"/>
      <c r="L1776" s="8"/>
      <c r="M1776" s="8"/>
      <c r="N1776" s="8"/>
      <c r="O1776" s="8"/>
      <c r="P1776" s="8"/>
      <c r="Q1776" s="8"/>
      <c r="R1776" s="8"/>
      <c r="S1776" s="8"/>
      <c r="T1776" s="8"/>
      <c r="U1776" s="8"/>
      <c r="V1776" s="8"/>
      <c r="W1776" s="8"/>
      <c r="X1776" s="8"/>
      <c r="Y1776" s="8"/>
      <c r="Z1776" s="8"/>
      <c r="AA1776" s="8"/>
      <c r="AB1776" s="8"/>
      <c r="AC1776" s="8"/>
      <c r="AD1776" s="8"/>
      <c r="AE1776" s="8"/>
      <c r="AF1776" s="8"/>
      <c r="AG1776" s="8"/>
      <c r="AH1776" s="8"/>
      <c r="AI1776" s="8"/>
      <c r="AJ1776" s="8"/>
      <c r="AK1776" s="8"/>
      <c r="AL1776" s="4"/>
      <c r="AM1776" s="5" t="str">
        <f t="shared" si="109"/>
        <v/>
      </c>
      <c r="AN1776" s="5" t="str">
        <f t="shared" si="110"/>
        <v/>
      </c>
      <c r="AO1776" s="18" t="str">
        <f t="shared" si="111"/>
        <v/>
      </c>
      <c r="AP1776" s="19"/>
      <c r="AQ1776" s="20" t="str">
        <f t="shared" si="112"/>
        <v/>
      </c>
      <c r="AR1776" s="21"/>
    </row>
    <row r="1777" spans="2:44" ht="31.5" x14ac:dyDescent="0.5">
      <c r="B1777" s="1"/>
      <c r="C1777" s="15"/>
      <c r="D1777" s="16"/>
      <c r="E1777" s="15"/>
      <c r="F1777" s="17"/>
      <c r="G1777" s="8"/>
      <c r="H1777" s="8"/>
      <c r="I1777" s="8"/>
      <c r="J1777" s="8"/>
      <c r="K1777" s="8"/>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4"/>
      <c r="AM1777" s="5" t="str">
        <f t="shared" si="109"/>
        <v/>
      </c>
      <c r="AN1777" s="5" t="str">
        <f t="shared" si="110"/>
        <v/>
      </c>
      <c r="AO1777" s="18" t="str">
        <f t="shared" si="111"/>
        <v/>
      </c>
      <c r="AP1777" s="19"/>
      <c r="AQ1777" s="20" t="str">
        <f t="shared" si="112"/>
        <v/>
      </c>
      <c r="AR1777" s="21"/>
    </row>
    <row r="1778" spans="2:44" ht="31.5" x14ac:dyDescent="0.5">
      <c r="B1778" s="1"/>
      <c r="C1778" s="15"/>
      <c r="D1778" s="16"/>
      <c r="E1778" s="15"/>
      <c r="F1778" s="17"/>
      <c r="G1778" s="8"/>
      <c r="H1778" s="8"/>
      <c r="I1778" s="8"/>
      <c r="J1778" s="8"/>
      <c r="K1778" s="8"/>
      <c r="L1778" s="8"/>
      <c r="M1778" s="8"/>
      <c r="N1778" s="8"/>
      <c r="O1778" s="8"/>
      <c r="P1778" s="8"/>
      <c r="Q1778" s="8"/>
      <c r="R1778" s="8"/>
      <c r="S1778" s="8"/>
      <c r="T1778" s="8"/>
      <c r="U1778" s="8"/>
      <c r="V1778" s="8"/>
      <c r="W1778" s="8"/>
      <c r="X1778" s="8"/>
      <c r="Y1778" s="8"/>
      <c r="Z1778" s="8"/>
      <c r="AA1778" s="8"/>
      <c r="AB1778" s="8"/>
      <c r="AC1778" s="8"/>
      <c r="AD1778" s="8"/>
      <c r="AE1778" s="8"/>
      <c r="AF1778" s="8"/>
      <c r="AG1778" s="8"/>
      <c r="AH1778" s="8"/>
      <c r="AI1778" s="8"/>
      <c r="AJ1778" s="8"/>
      <c r="AK1778" s="8"/>
      <c r="AL1778" s="4"/>
      <c r="AM1778" s="5" t="str">
        <f t="shared" si="109"/>
        <v/>
      </c>
      <c r="AN1778" s="5" t="str">
        <f t="shared" si="110"/>
        <v/>
      </c>
      <c r="AO1778" s="18" t="str">
        <f t="shared" si="111"/>
        <v/>
      </c>
      <c r="AP1778" s="19"/>
      <c r="AQ1778" s="20" t="str">
        <f t="shared" si="112"/>
        <v/>
      </c>
      <c r="AR1778" s="21"/>
    </row>
    <row r="1779" spans="2:44" ht="31.5" x14ac:dyDescent="0.5">
      <c r="B1779" s="1"/>
      <c r="C1779" s="15"/>
      <c r="D1779" s="16"/>
      <c r="E1779" s="15"/>
      <c r="F1779" s="17"/>
      <c r="G1779" s="8"/>
      <c r="H1779" s="8"/>
      <c r="I1779" s="8"/>
      <c r="J1779" s="8"/>
      <c r="K1779" s="8"/>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4"/>
      <c r="AM1779" s="5" t="str">
        <f t="shared" ref="AM1779:AM1842" si="113">IF($B1779="","",COUNTIF($G1779:$AK1779,"P"))</f>
        <v/>
      </c>
      <c r="AN1779" s="5" t="str">
        <f t="shared" ref="AN1779:AN1842" si="114">IF($B1779="","",COUNTIF($G1779:$AK1779,"AB"))</f>
        <v/>
      </c>
      <c r="AO1779" s="18" t="str">
        <f t="shared" ref="AO1779:AO1842" si="115">IF($B1779="","",SUMPRODUCT(--($G$11:$AK$11&lt;&gt;""),--($G$12:$AK$12&lt;&gt;"Sun")))</f>
        <v/>
      </c>
      <c r="AP1779" s="19"/>
      <c r="AQ1779" s="20" t="str">
        <f t="shared" ref="AQ1779:AQ1842" si="116">IF($B1779="","",IF(AO1779=0,"",AM1779/AO1779))</f>
        <v/>
      </c>
      <c r="AR1779" s="21"/>
    </row>
    <row r="1780" spans="2:44" ht="31.5" x14ac:dyDescent="0.5">
      <c r="B1780" s="1"/>
      <c r="C1780" s="15"/>
      <c r="D1780" s="16"/>
      <c r="E1780" s="15"/>
      <c r="F1780" s="17"/>
      <c r="G1780" s="8"/>
      <c r="H1780" s="8"/>
      <c r="I1780" s="8"/>
      <c r="J1780" s="8"/>
      <c r="K1780" s="8"/>
      <c r="L1780" s="8"/>
      <c r="M1780" s="8"/>
      <c r="N1780" s="8"/>
      <c r="O1780" s="8"/>
      <c r="P1780" s="8"/>
      <c r="Q1780" s="8"/>
      <c r="R1780" s="8"/>
      <c r="S1780" s="8"/>
      <c r="T1780" s="8"/>
      <c r="U1780" s="8"/>
      <c r="V1780" s="8"/>
      <c r="W1780" s="8"/>
      <c r="X1780" s="8"/>
      <c r="Y1780" s="8"/>
      <c r="Z1780" s="8"/>
      <c r="AA1780" s="8"/>
      <c r="AB1780" s="8"/>
      <c r="AC1780" s="8"/>
      <c r="AD1780" s="8"/>
      <c r="AE1780" s="8"/>
      <c r="AF1780" s="8"/>
      <c r="AG1780" s="8"/>
      <c r="AH1780" s="8"/>
      <c r="AI1780" s="8"/>
      <c r="AJ1780" s="8"/>
      <c r="AK1780" s="8"/>
      <c r="AL1780" s="4"/>
      <c r="AM1780" s="5" t="str">
        <f t="shared" si="113"/>
        <v/>
      </c>
      <c r="AN1780" s="5" t="str">
        <f t="shared" si="114"/>
        <v/>
      </c>
      <c r="AO1780" s="18" t="str">
        <f t="shared" si="115"/>
        <v/>
      </c>
      <c r="AP1780" s="19"/>
      <c r="AQ1780" s="20" t="str">
        <f t="shared" si="116"/>
        <v/>
      </c>
      <c r="AR1780" s="21"/>
    </row>
    <row r="1781" spans="2:44" ht="31.5" x14ac:dyDescent="0.5">
      <c r="B1781" s="1"/>
      <c r="C1781" s="15"/>
      <c r="D1781" s="16"/>
      <c r="E1781" s="15"/>
      <c r="F1781" s="17"/>
      <c r="G1781" s="8"/>
      <c r="H1781" s="8"/>
      <c r="I1781" s="8"/>
      <c r="J1781" s="8"/>
      <c r="K1781" s="8"/>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4"/>
      <c r="AM1781" s="5" t="str">
        <f t="shared" si="113"/>
        <v/>
      </c>
      <c r="AN1781" s="5" t="str">
        <f t="shared" si="114"/>
        <v/>
      </c>
      <c r="AO1781" s="18" t="str">
        <f t="shared" si="115"/>
        <v/>
      </c>
      <c r="AP1781" s="19"/>
      <c r="AQ1781" s="20" t="str">
        <f t="shared" si="116"/>
        <v/>
      </c>
      <c r="AR1781" s="21"/>
    </row>
    <row r="1782" spans="2:44" ht="31.5" x14ac:dyDescent="0.5">
      <c r="B1782" s="1"/>
      <c r="C1782" s="15"/>
      <c r="D1782" s="16"/>
      <c r="E1782" s="15"/>
      <c r="F1782" s="17"/>
      <c r="G1782" s="8"/>
      <c r="H1782" s="8"/>
      <c r="I1782" s="8"/>
      <c r="J1782" s="8"/>
      <c r="K1782" s="8"/>
      <c r="L1782" s="8"/>
      <c r="M1782" s="8"/>
      <c r="N1782" s="8"/>
      <c r="O1782" s="8"/>
      <c r="P1782" s="8"/>
      <c r="Q1782" s="8"/>
      <c r="R1782" s="8"/>
      <c r="S1782" s="8"/>
      <c r="T1782" s="8"/>
      <c r="U1782" s="8"/>
      <c r="V1782" s="8"/>
      <c r="W1782" s="8"/>
      <c r="X1782" s="8"/>
      <c r="Y1782" s="8"/>
      <c r="Z1782" s="8"/>
      <c r="AA1782" s="8"/>
      <c r="AB1782" s="8"/>
      <c r="AC1782" s="8"/>
      <c r="AD1782" s="8"/>
      <c r="AE1782" s="8"/>
      <c r="AF1782" s="8"/>
      <c r="AG1782" s="8"/>
      <c r="AH1782" s="8"/>
      <c r="AI1782" s="8"/>
      <c r="AJ1782" s="8"/>
      <c r="AK1782" s="8"/>
      <c r="AL1782" s="4"/>
      <c r="AM1782" s="5" t="str">
        <f t="shared" si="113"/>
        <v/>
      </c>
      <c r="AN1782" s="5" t="str">
        <f t="shared" si="114"/>
        <v/>
      </c>
      <c r="AO1782" s="18" t="str">
        <f t="shared" si="115"/>
        <v/>
      </c>
      <c r="AP1782" s="19"/>
      <c r="AQ1782" s="20" t="str">
        <f t="shared" si="116"/>
        <v/>
      </c>
      <c r="AR1782" s="21"/>
    </row>
    <row r="1783" spans="2:44" ht="31.5" x14ac:dyDescent="0.5">
      <c r="B1783" s="1"/>
      <c r="C1783" s="15"/>
      <c r="D1783" s="16"/>
      <c r="E1783" s="15"/>
      <c r="F1783" s="17"/>
      <c r="G1783" s="8"/>
      <c r="H1783" s="8"/>
      <c r="I1783" s="8"/>
      <c r="J1783" s="8"/>
      <c r="K1783" s="8"/>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4"/>
      <c r="AM1783" s="5" t="str">
        <f t="shared" si="113"/>
        <v/>
      </c>
      <c r="AN1783" s="5" t="str">
        <f t="shared" si="114"/>
        <v/>
      </c>
      <c r="AO1783" s="18" t="str">
        <f t="shared" si="115"/>
        <v/>
      </c>
      <c r="AP1783" s="19"/>
      <c r="AQ1783" s="20" t="str">
        <f t="shared" si="116"/>
        <v/>
      </c>
      <c r="AR1783" s="21"/>
    </row>
    <row r="1784" spans="2:44" ht="31.5" x14ac:dyDescent="0.5">
      <c r="B1784" s="1"/>
      <c r="C1784" s="15"/>
      <c r="D1784" s="16"/>
      <c r="E1784" s="15"/>
      <c r="F1784" s="17"/>
      <c r="G1784" s="8"/>
      <c r="H1784" s="8"/>
      <c r="I1784" s="8"/>
      <c r="J1784" s="8"/>
      <c r="K1784" s="8"/>
      <c r="L1784" s="8"/>
      <c r="M1784" s="8"/>
      <c r="N1784" s="8"/>
      <c r="O1784" s="8"/>
      <c r="P1784" s="8"/>
      <c r="Q1784" s="8"/>
      <c r="R1784" s="8"/>
      <c r="S1784" s="8"/>
      <c r="T1784" s="8"/>
      <c r="U1784" s="8"/>
      <c r="V1784" s="8"/>
      <c r="W1784" s="8"/>
      <c r="X1784" s="8"/>
      <c r="Y1784" s="8"/>
      <c r="Z1784" s="8"/>
      <c r="AA1784" s="8"/>
      <c r="AB1784" s="8"/>
      <c r="AC1784" s="8"/>
      <c r="AD1784" s="8"/>
      <c r="AE1784" s="8"/>
      <c r="AF1784" s="8"/>
      <c r="AG1784" s="8"/>
      <c r="AH1784" s="8"/>
      <c r="AI1784" s="8"/>
      <c r="AJ1784" s="8"/>
      <c r="AK1784" s="8"/>
      <c r="AL1784" s="4"/>
      <c r="AM1784" s="5" t="str">
        <f t="shared" si="113"/>
        <v/>
      </c>
      <c r="AN1784" s="5" t="str">
        <f t="shared" si="114"/>
        <v/>
      </c>
      <c r="AO1784" s="18" t="str">
        <f t="shared" si="115"/>
        <v/>
      </c>
      <c r="AP1784" s="19"/>
      <c r="AQ1784" s="20" t="str">
        <f t="shared" si="116"/>
        <v/>
      </c>
      <c r="AR1784" s="21"/>
    </row>
    <row r="1785" spans="2:44" ht="31.5" x14ac:dyDescent="0.5">
      <c r="B1785" s="1"/>
      <c r="C1785" s="15"/>
      <c r="D1785" s="16"/>
      <c r="E1785" s="15"/>
      <c r="F1785" s="17"/>
      <c r="G1785" s="8"/>
      <c r="H1785" s="8"/>
      <c r="I1785" s="8"/>
      <c r="J1785" s="8"/>
      <c r="K1785" s="8"/>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4"/>
      <c r="AM1785" s="5" t="str">
        <f t="shared" si="113"/>
        <v/>
      </c>
      <c r="AN1785" s="5" t="str">
        <f t="shared" si="114"/>
        <v/>
      </c>
      <c r="AO1785" s="18" t="str">
        <f t="shared" si="115"/>
        <v/>
      </c>
      <c r="AP1785" s="19"/>
      <c r="AQ1785" s="20" t="str">
        <f t="shared" si="116"/>
        <v/>
      </c>
      <c r="AR1785" s="21"/>
    </row>
    <row r="1786" spans="2:44" ht="31.5" x14ac:dyDescent="0.5">
      <c r="B1786" s="1"/>
      <c r="C1786" s="15"/>
      <c r="D1786" s="16"/>
      <c r="E1786" s="15"/>
      <c r="F1786" s="17"/>
      <c r="G1786" s="8"/>
      <c r="H1786" s="8"/>
      <c r="I1786" s="8"/>
      <c r="J1786" s="8"/>
      <c r="K1786" s="8"/>
      <c r="L1786" s="8"/>
      <c r="M1786" s="8"/>
      <c r="N1786" s="8"/>
      <c r="O1786" s="8"/>
      <c r="P1786" s="8"/>
      <c r="Q1786" s="8"/>
      <c r="R1786" s="8"/>
      <c r="S1786" s="8"/>
      <c r="T1786" s="8"/>
      <c r="U1786" s="8"/>
      <c r="V1786" s="8"/>
      <c r="W1786" s="8"/>
      <c r="X1786" s="8"/>
      <c r="Y1786" s="8"/>
      <c r="Z1786" s="8"/>
      <c r="AA1786" s="8"/>
      <c r="AB1786" s="8"/>
      <c r="AC1786" s="8"/>
      <c r="AD1786" s="8"/>
      <c r="AE1786" s="8"/>
      <c r="AF1786" s="8"/>
      <c r="AG1786" s="8"/>
      <c r="AH1786" s="8"/>
      <c r="AI1786" s="8"/>
      <c r="AJ1786" s="8"/>
      <c r="AK1786" s="8"/>
      <c r="AL1786" s="4"/>
      <c r="AM1786" s="5" t="str">
        <f t="shared" si="113"/>
        <v/>
      </c>
      <c r="AN1786" s="5" t="str">
        <f t="shared" si="114"/>
        <v/>
      </c>
      <c r="AO1786" s="18" t="str">
        <f t="shared" si="115"/>
        <v/>
      </c>
      <c r="AP1786" s="19"/>
      <c r="AQ1786" s="20" t="str">
        <f t="shared" si="116"/>
        <v/>
      </c>
      <c r="AR1786" s="21"/>
    </row>
    <row r="1787" spans="2:44" ht="31.5" x14ac:dyDescent="0.5">
      <c r="B1787" s="1"/>
      <c r="C1787" s="15"/>
      <c r="D1787" s="16"/>
      <c r="E1787" s="15"/>
      <c r="F1787" s="17"/>
      <c r="G1787" s="8"/>
      <c r="H1787" s="8"/>
      <c r="I1787" s="8"/>
      <c r="J1787" s="8"/>
      <c r="K1787" s="8"/>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4"/>
      <c r="AM1787" s="5" t="str">
        <f t="shared" si="113"/>
        <v/>
      </c>
      <c r="AN1787" s="5" t="str">
        <f t="shared" si="114"/>
        <v/>
      </c>
      <c r="AO1787" s="18" t="str">
        <f t="shared" si="115"/>
        <v/>
      </c>
      <c r="AP1787" s="19"/>
      <c r="AQ1787" s="20" t="str">
        <f t="shared" si="116"/>
        <v/>
      </c>
      <c r="AR1787" s="21"/>
    </row>
    <row r="1788" spans="2:44" ht="31.5" x14ac:dyDescent="0.5">
      <c r="B1788" s="1"/>
      <c r="C1788" s="15"/>
      <c r="D1788" s="16"/>
      <c r="E1788" s="15"/>
      <c r="F1788" s="17"/>
      <c r="G1788" s="8"/>
      <c r="H1788" s="8"/>
      <c r="I1788" s="8"/>
      <c r="J1788" s="8"/>
      <c r="K1788" s="8"/>
      <c r="L1788" s="8"/>
      <c r="M1788" s="8"/>
      <c r="N1788" s="8"/>
      <c r="O1788" s="8"/>
      <c r="P1788" s="8"/>
      <c r="Q1788" s="8"/>
      <c r="R1788" s="8"/>
      <c r="S1788" s="8"/>
      <c r="T1788" s="8"/>
      <c r="U1788" s="8"/>
      <c r="V1788" s="8"/>
      <c r="W1788" s="8"/>
      <c r="X1788" s="8"/>
      <c r="Y1788" s="8"/>
      <c r="Z1788" s="8"/>
      <c r="AA1788" s="8"/>
      <c r="AB1788" s="8"/>
      <c r="AC1788" s="8"/>
      <c r="AD1788" s="8"/>
      <c r="AE1788" s="8"/>
      <c r="AF1788" s="8"/>
      <c r="AG1788" s="8"/>
      <c r="AH1788" s="8"/>
      <c r="AI1788" s="8"/>
      <c r="AJ1788" s="8"/>
      <c r="AK1788" s="8"/>
      <c r="AL1788" s="4"/>
      <c r="AM1788" s="5" t="str">
        <f t="shared" si="113"/>
        <v/>
      </c>
      <c r="AN1788" s="5" t="str">
        <f t="shared" si="114"/>
        <v/>
      </c>
      <c r="AO1788" s="18" t="str">
        <f t="shared" si="115"/>
        <v/>
      </c>
      <c r="AP1788" s="19"/>
      <c r="AQ1788" s="20" t="str">
        <f t="shared" si="116"/>
        <v/>
      </c>
      <c r="AR1788" s="21"/>
    </row>
    <row r="1789" spans="2:44" ht="31.5" x14ac:dyDescent="0.5">
      <c r="B1789" s="1"/>
      <c r="C1789" s="15"/>
      <c r="D1789" s="16"/>
      <c r="E1789" s="15"/>
      <c r="F1789" s="17"/>
      <c r="G1789" s="8"/>
      <c r="H1789" s="8"/>
      <c r="I1789" s="8"/>
      <c r="J1789" s="8"/>
      <c r="K1789" s="8"/>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4"/>
      <c r="AM1789" s="5" t="str">
        <f t="shared" si="113"/>
        <v/>
      </c>
      <c r="AN1789" s="5" t="str">
        <f t="shared" si="114"/>
        <v/>
      </c>
      <c r="AO1789" s="18" t="str">
        <f t="shared" si="115"/>
        <v/>
      </c>
      <c r="AP1789" s="19"/>
      <c r="AQ1789" s="20" t="str">
        <f t="shared" si="116"/>
        <v/>
      </c>
      <c r="AR1789" s="21"/>
    </row>
    <row r="1790" spans="2:44" ht="31.5" x14ac:dyDescent="0.5">
      <c r="B1790" s="1"/>
      <c r="C1790" s="15"/>
      <c r="D1790" s="16"/>
      <c r="E1790" s="15"/>
      <c r="F1790" s="17"/>
      <c r="G1790" s="8"/>
      <c r="H1790" s="8"/>
      <c r="I1790" s="8"/>
      <c r="J1790" s="8"/>
      <c r="K1790" s="8"/>
      <c r="L1790" s="8"/>
      <c r="M1790" s="8"/>
      <c r="N1790" s="8"/>
      <c r="O1790" s="8"/>
      <c r="P1790" s="8"/>
      <c r="Q1790" s="8"/>
      <c r="R1790" s="8"/>
      <c r="S1790" s="8"/>
      <c r="T1790" s="8"/>
      <c r="U1790" s="8"/>
      <c r="V1790" s="8"/>
      <c r="W1790" s="8"/>
      <c r="X1790" s="8"/>
      <c r="Y1790" s="8"/>
      <c r="Z1790" s="8"/>
      <c r="AA1790" s="8"/>
      <c r="AB1790" s="8"/>
      <c r="AC1790" s="8"/>
      <c r="AD1790" s="8"/>
      <c r="AE1790" s="8"/>
      <c r="AF1790" s="8"/>
      <c r="AG1790" s="8"/>
      <c r="AH1790" s="8"/>
      <c r="AI1790" s="8"/>
      <c r="AJ1790" s="8"/>
      <c r="AK1790" s="8"/>
      <c r="AL1790" s="4"/>
      <c r="AM1790" s="5" t="str">
        <f t="shared" si="113"/>
        <v/>
      </c>
      <c r="AN1790" s="5" t="str">
        <f t="shared" si="114"/>
        <v/>
      </c>
      <c r="AO1790" s="18" t="str">
        <f t="shared" si="115"/>
        <v/>
      </c>
      <c r="AP1790" s="19"/>
      <c r="AQ1790" s="20" t="str">
        <f t="shared" si="116"/>
        <v/>
      </c>
      <c r="AR1790" s="21"/>
    </row>
    <row r="1791" spans="2:44" ht="31.5" x14ac:dyDescent="0.5">
      <c r="B1791" s="1"/>
      <c r="C1791" s="15"/>
      <c r="D1791" s="16"/>
      <c r="E1791" s="15"/>
      <c r="F1791" s="17"/>
      <c r="G1791" s="8"/>
      <c r="H1791" s="8"/>
      <c r="I1791" s="8"/>
      <c r="J1791" s="8"/>
      <c r="K1791" s="8"/>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4"/>
      <c r="AM1791" s="5" t="str">
        <f t="shared" si="113"/>
        <v/>
      </c>
      <c r="AN1791" s="5" t="str">
        <f t="shared" si="114"/>
        <v/>
      </c>
      <c r="AO1791" s="18" t="str">
        <f t="shared" si="115"/>
        <v/>
      </c>
      <c r="AP1791" s="19"/>
      <c r="AQ1791" s="20" t="str">
        <f t="shared" si="116"/>
        <v/>
      </c>
      <c r="AR1791" s="21"/>
    </row>
    <row r="1792" spans="2:44" ht="31.5" x14ac:dyDescent="0.5">
      <c r="B1792" s="1"/>
      <c r="C1792" s="15"/>
      <c r="D1792" s="16"/>
      <c r="E1792" s="15"/>
      <c r="F1792" s="17"/>
      <c r="G1792" s="8"/>
      <c r="H1792" s="8"/>
      <c r="I1792" s="8"/>
      <c r="J1792" s="8"/>
      <c r="K1792" s="8"/>
      <c r="L1792" s="8"/>
      <c r="M1792" s="8"/>
      <c r="N1792" s="8"/>
      <c r="O1792" s="8"/>
      <c r="P1792" s="8"/>
      <c r="Q1792" s="8"/>
      <c r="R1792" s="8"/>
      <c r="S1792" s="8"/>
      <c r="T1792" s="8"/>
      <c r="U1792" s="8"/>
      <c r="V1792" s="8"/>
      <c r="W1792" s="8"/>
      <c r="X1792" s="8"/>
      <c r="Y1792" s="8"/>
      <c r="Z1792" s="8"/>
      <c r="AA1792" s="8"/>
      <c r="AB1792" s="8"/>
      <c r="AC1792" s="8"/>
      <c r="AD1792" s="8"/>
      <c r="AE1792" s="8"/>
      <c r="AF1792" s="8"/>
      <c r="AG1792" s="8"/>
      <c r="AH1792" s="8"/>
      <c r="AI1792" s="8"/>
      <c r="AJ1792" s="8"/>
      <c r="AK1792" s="8"/>
      <c r="AL1792" s="4"/>
      <c r="AM1792" s="5" t="str">
        <f t="shared" si="113"/>
        <v/>
      </c>
      <c r="AN1792" s="5" t="str">
        <f t="shared" si="114"/>
        <v/>
      </c>
      <c r="AO1792" s="18" t="str">
        <f t="shared" si="115"/>
        <v/>
      </c>
      <c r="AP1792" s="19"/>
      <c r="AQ1792" s="20" t="str">
        <f t="shared" si="116"/>
        <v/>
      </c>
      <c r="AR1792" s="21"/>
    </row>
    <row r="1793" spans="2:44" ht="31.5" x14ac:dyDescent="0.5">
      <c r="B1793" s="1"/>
      <c r="C1793" s="15"/>
      <c r="D1793" s="16"/>
      <c r="E1793" s="15"/>
      <c r="F1793" s="17"/>
      <c r="G1793" s="8"/>
      <c r="H1793" s="8"/>
      <c r="I1793" s="8"/>
      <c r="J1793" s="8"/>
      <c r="K1793" s="8"/>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4"/>
      <c r="AM1793" s="5" t="str">
        <f t="shared" si="113"/>
        <v/>
      </c>
      <c r="AN1793" s="5" t="str">
        <f t="shared" si="114"/>
        <v/>
      </c>
      <c r="AO1793" s="18" t="str">
        <f t="shared" si="115"/>
        <v/>
      </c>
      <c r="AP1793" s="19"/>
      <c r="AQ1793" s="20" t="str">
        <f t="shared" si="116"/>
        <v/>
      </c>
      <c r="AR1793" s="21"/>
    </row>
    <row r="1794" spans="2:44" ht="31.5" x14ac:dyDescent="0.5">
      <c r="B1794" s="1"/>
      <c r="C1794" s="15"/>
      <c r="D1794" s="16"/>
      <c r="E1794" s="15"/>
      <c r="F1794" s="17"/>
      <c r="G1794" s="8"/>
      <c r="H1794" s="8"/>
      <c r="I1794" s="8"/>
      <c r="J1794" s="8"/>
      <c r="K1794" s="8"/>
      <c r="L1794" s="8"/>
      <c r="M1794" s="8"/>
      <c r="N1794" s="8"/>
      <c r="O1794" s="8"/>
      <c r="P1794" s="8"/>
      <c r="Q1794" s="8"/>
      <c r="R1794" s="8"/>
      <c r="S1794" s="8"/>
      <c r="T1794" s="8"/>
      <c r="U1794" s="8"/>
      <c r="V1794" s="8"/>
      <c r="W1794" s="8"/>
      <c r="X1794" s="8"/>
      <c r="Y1794" s="8"/>
      <c r="Z1794" s="8"/>
      <c r="AA1794" s="8"/>
      <c r="AB1794" s="8"/>
      <c r="AC1794" s="8"/>
      <c r="AD1794" s="8"/>
      <c r="AE1794" s="8"/>
      <c r="AF1794" s="8"/>
      <c r="AG1794" s="8"/>
      <c r="AH1794" s="8"/>
      <c r="AI1794" s="8"/>
      <c r="AJ1794" s="8"/>
      <c r="AK1794" s="8"/>
      <c r="AL1794" s="4"/>
      <c r="AM1794" s="5" t="str">
        <f t="shared" si="113"/>
        <v/>
      </c>
      <c r="AN1794" s="5" t="str">
        <f t="shared" si="114"/>
        <v/>
      </c>
      <c r="AO1794" s="18" t="str">
        <f t="shared" si="115"/>
        <v/>
      </c>
      <c r="AP1794" s="19"/>
      <c r="AQ1794" s="20" t="str">
        <f t="shared" si="116"/>
        <v/>
      </c>
      <c r="AR1794" s="21"/>
    </row>
    <row r="1795" spans="2:44" ht="31.5" x14ac:dyDescent="0.5">
      <c r="B1795" s="1"/>
      <c r="C1795" s="15"/>
      <c r="D1795" s="16"/>
      <c r="E1795" s="15"/>
      <c r="F1795" s="17"/>
      <c r="G1795" s="8"/>
      <c r="H1795" s="8"/>
      <c r="I1795" s="8"/>
      <c r="J1795" s="8"/>
      <c r="K1795" s="8"/>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4"/>
      <c r="AM1795" s="5" t="str">
        <f t="shared" si="113"/>
        <v/>
      </c>
      <c r="AN1795" s="5" t="str">
        <f t="shared" si="114"/>
        <v/>
      </c>
      <c r="AO1795" s="18" t="str">
        <f t="shared" si="115"/>
        <v/>
      </c>
      <c r="AP1795" s="19"/>
      <c r="AQ1795" s="20" t="str">
        <f t="shared" si="116"/>
        <v/>
      </c>
      <c r="AR1795" s="21"/>
    </row>
    <row r="1796" spans="2:44" ht="31.5" x14ac:dyDescent="0.5">
      <c r="B1796" s="1"/>
      <c r="C1796" s="15"/>
      <c r="D1796" s="16"/>
      <c r="E1796" s="15"/>
      <c r="F1796" s="17"/>
      <c r="G1796" s="8"/>
      <c r="H1796" s="8"/>
      <c r="I1796" s="8"/>
      <c r="J1796" s="8"/>
      <c r="K1796" s="8"/>
      <c r="L1796" s="8"/>
      <c r="M1796" s="8"/>
      <c r="N1796" s="8"/>
      <c r="O1796" s="8"/>
      <c r="P1796" s="8"/>
      <c r="Q1796" s="8"/>
      <c r="R1796" s="8"/>
      <c r="S1796" s="8"/>
      <c r="T1796" s="8"/>
      <c r="U1796" s="8"/>
      <c r="V1796" s="8"/>
      <c r="W1796" s="8"/>
      <c r="X1796" s="8"/>
      <c r="Y1796" s="8"/>
      <c r="Z1796" s="8"/>
      <c r="AA1796" s="8"/>
      <c r="AB1796" s="8"/>
      <c r="AC1796" s="8"/>
      <c r="AD1796" s="8"/>
      <c r="AE1796" s="8"/>
      <c r="AF1796" s="8"/>
      <c r="AG1796" s="8"/>
      <c r="AH1796" s="8"/>
      <c r="AI1796" s="8"/>
      <c r="AJ1796" s="8"/>
      <c r="AK1796" s="8"/>
      <c r="AL1796" s="4"/>
      <c r="AM1796" s="5" t="str">
        <f t="shared" si="113"/>
        <v/>
      </c>
      <c r="AN1796" s="5" t="str">
        <f t="shared" si="114"/>
        <v/>
      </c>
      <c r="AO1796" s="18" t="str">
        <f t="shared" si="115"/>
        <v/>
      </c>
      <c r="AP1796" s="19"/>
      <c r="AQ1796" s="20" t="str">
        <f t="shared" si="116"/>
        <v/>
      </c>
      <c r="AR1796" s="21"/>
    </row>
    <row r="1797" spans="2:44" ht="31.5" x14ac:dyDescent="0.5">
      <c r="B1797" s="1"/>
      <c r="C1797" s="15"/>
      <c r="D1797" s="16"/>
      <c r="E1797" s="15"/>
      <c r="F1797" s="17"/>
      <c r="G1797" s="8"/>
      <c r="H1797" s="8"/>
      <c r="I1797" s="8"/>
      <c r="J1797" s="8"/>
      <c r="K1797" s="8"/>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4"/>
      <c r="AM1797" s="5" t="str">
        <f t="shared" si="113"/>
        <v/>
      </c>
      <c r="AN1797" s="5" t="str">
        <f t="shared" si="114"/>
        <v/>
      </c>
      <c r="AO1797" s="18" t="str">
        <f t="shared" si="115"/>
        <v/>
      </c>
      <c r="AP1797" s="19"/>
      <c r="AQ1797" s="20" t="str">
        <f t="shared" si="116"/>
        <v/>
      </c>
      <c r="AR1797" s="21"/>
    </row>
    <row r="1798" spans="2:44" ht="31.5" x14ac:dyDescent="0.5">
      <c r="B1798" s="1"/>
      <c r="C1798" s="15"/>
      <c r="D1798" s="16"/>
      <c r="E1798" s="15"/>
      <c r="F1798" s="17"/>
      <c r="G1798" s="8"/>
      <c r="H1798" s="8"/>
      <c r="I1798" s="8"/>
      <c r="J1798" s="8"/>
      <c r="K1798" s="8"/>
      <c r="L1798" s="8"/>
      <c r="M1798" s="8"/>
      <c r="N1798" s="8"/>
      <c r="O1798" s="8"/>
      <c r="P1798" s="8"/>
      <c r="Q1798" s="8"/>
      <c r="R1798" s="8"/>
      <c r="S1798" s="8"/>
      <c r="T1798" s="8"/>
      <c r="U1798" s="8"/>
      <c r="V1798" s="8"/>
      <c r="W1798" s="8"/>
      <c r="X1798" s="8"/>
      <c r="Y1798" s="8"/>
      <c r="Z1798" s="8"/>
      <c r="AA1798" s="8"/>
      <c r="AB1798" s="8"/>
      <c r="AC1798" s="8"/>
      <c r="AD1798" s="8"/>
      <c r="AE1798" s="8"/>
      <c r="AF1798" s="8"/>
      <c r="AG1798" s="8"/>
      <c r="AH1798" s="8"/>
      <c r="AI1798" s="8"/>
      <c r="AJ1798" s="8"/>
      <c r="AK1798" s="8"/>
      <c r="AL1798" s="4"/>
      <c r="AM1798" s="5" t="str">
        <f t="shared" si="113"/>
        <v/>
      </c>
      <c r="AN1798" s="5" t="str">
        <f t="shared" si="114"/>
        <v/>
      </c>
      <c r="AO1798" s="18" t="str">
        <f t="shared" si="115"/>
        <v/>
      </c>
      <c r="AP1798" s="19"/>
      <c r="AQ1798" s="20" t="str">
        <f t="shared" si="116"/>
        <v/>
      </c>
      <c r="AR1798" s="21"/>
    </row>
    <row r="1799" spans="2:44" ht="31.5" x14ac:dyDescent="0.5">
      <c r="B1799" s="1"/>
      <c r="C1799" s="15"/>
      <c r="D1799" s="16"/>
      <c r="E1799" s="15"/>
      <c r="F1799" s="17"/>
      <c r="G1799" s="8"/>
      <c r="H1799" s="8"/>
      <c r="I1799" s="8"/>
      <c r="J1799" s="8"/>
      <c r="K1799" s="8"/>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4"/>
      <c r="AM1799" s="5" t="str">
        <f t="shared" si="113"/>
        <v/>
      </c>
      <c r="AN1799" s="5" t="str">
        <f t="shared" si="114"/>
        <v/>
      </c>
      <c r="AO1799" s="18" t="str">
        <f t="shared" si="115"/>
        <v/>
      </c>
      <c r="AP1799" s="19"/>
      <c r="AQ1799" s="20" t="str">
        <f t="shared" si="116"/>
        <v/>
      </c>
      <c r="AR1799" s="21"/>
    </row>
    <row r="1800" spans="2:44" ht="31.5" x14ac:dyDescent="0.5">
      <c r="B1800" s="1"/>
      <c r="C1800" s="15"/>
      <c r="D1800" s="16"/>
      <c r="E1800" s="15"/>
      <c r="F1800" s="17"/>
      <c r="G1800" s="8"/>
      <c r="H1800" s="8"/>
      <c r="I1800" s="8"/>
      <c r="J1800" s="8"/>
      <c r="K1800" s="8"/>
      <c r="L1800" s="8"/>
      <c r="M1800" s="8"/>
      <c r="N1800" s="8"/>
      <c r="O1800" s="8"/>
      <c r="P1800" s="8"/>
      <c r="Q1800" s="8"/>
      <c r="R1800" s="8"/>
      <c r="S1800" s="8"/>
      <c r="T1800" s="8"/>
      <c r="U1800" s="8"/>
      <c r="V1800" s="8"/>
      <c r="W1800" s="8"/>
      <c r="X1800" s="8"/>
      <c r="Y1800" s="8"/>
      <c r="Z1800" s="8"/>
      <c r="AA1800" s="8"/>
      <c r="AB1800" s="8"/>
      <c r="AC1800" s="8"/>
      <c r="AD1800" s="8"/>
      <c r="AE1800" s="8"/>
      <c r="AF1800" s="8"/>
      <c r="AG1800" s="8"/>
      <c r="AH1800" s="8"/>
      <c r="AI1800" s="8"/>
      <c r="AJ1800" s="8"/>
      <c r="AK1800" s="8"/>
      <c r="AL1800" s="4"/>
      <c r="AM1800" s="5" t="str">
        <f t="shared" si="113"/>
        <v/>
      </c>
      <c r="AN1800" s="5" t="str">
        <f t="shared" si="114"/>
        <v/>
      </c>
      <c r="AO1800" s="18" t="str">
        <f t="shared" si="115"/>
        <v/>
      </c>
      <c r="AP1800" s="19"/>
      <c r="AQ1800" s="20" t="str">
        <f t="shared" si="116"/>
        <v/>
      </c>
      <c r="AR1800" s="21"/>
    </row>
    <row r="1801" spans="2:44" ht="31.5" x14ac:dyDescent="0.5">
      <c r="B1801" s="1"/>
      <c r="C1801" s="15"/>
      <c r="D1801" s="16"/>
      <c r="E1801" s="15"/>
      <c r="F1801" s="17"/>
      <c r="G1801" s="8"/>
      <c r="H1801" s="8"/>
      <c r="I1801" s="8"/>
      <c r="J1801" s="8"/>
      <c r="K1801" s="8"/>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4"/>
      <c r="AM1801" s="5" t="str">
        <f t="shared" si="113"/>
        <v/>
      </c>
      <c r="AN1801" s="5" t="str">
        <f t="shared" si="114"/>
        <v/>
      </c>
      <c r="AO1801" s="18" t="str">
        <f t="shared" si="115"/>
        <v/>
      </c>
      <c r="AP1801" s="19"/>
      <c r="AQ1801" s="20" t="str">
        <f t="shared" si="116"/>
        <v/>
      </c>
      <c r="AR1801" s="21"/>
    </row>
    <row r="1802" spans="2:44" ht="31.5" x14ac:dyDescent="0.5">
      <c r="B1802" s="1"/>
      <c r="C1802" s="15"/>
      <c r="D1802" s="16"/>
      <c r="E1802" s="15"/>
      <c r="F1802" s="17"/>
      <c r="G1802" s="8"/>
      <c r="H1802" s="8"/>
      <c r="I1802" s="8"/>
      <c r="J1802" s="8"/>
      <c r="K1802" s="8"/>
      <c r="L1802" s="8"/>
      <c r="M1802" s="8"/>
      <c r="N1802" s="8"/>
      <c r="O1802" s="8"/>
      <c r="P1802" s="8"/>
      <c r="Q1802" s="8"/>
      <c r="R1802" s="8"/>
      <c r="S1802" s="8"/>
      <c r="T1802" s="8"/>
      <c r="U1802" s="8"/>
      <c r="V1802" s="8"/>
      <c r="W1802" s="8"/>
      <c r="X1802" s="8"/>
      <c r="Y1802" s="8"/>
      <c r="Z1802" s="8"/>
      <c r="AA1802" s="8"/>
      <c r="AB1802" s="8"/>
      <c r="AC1802" s="8"/>
      <c r="AD1802" s="8"/>
      <c r="AE1802" s="8"/>
      <c r="AF1802" s="8"/>
      <c r="AG1802" s="8"/>
      <c r="AH1802" s="8"/>
      <c r="AI1802" s="8"/>
      <c r="AJ1802" s="8"/>
      <c r="AK1802" s="8"/>
      <c r="AL1802" s="4"/>
      <c r="AM1802" s="5" t="str">
        <f t="shared" si="113"/>
        <v/>
      </c>
      <c r="AN1802" s="5" t="str">
        <f t="shared" si="114"/>
        <v/>
      </c>
      <c r="AO1802" s="18" t="str">
        <f t="shared" si="115"/>
        <v/>
      </c>
      <c r="AP1802" s="19"/>
      <c r="AQ1802" s="20" t="str">
        <f t="shared" si="116"/>
        <v/>
      </c>
      <c r="AR1802" s="21"/>
    </row>
    <row r="1803" spans="2:44" ht="31.5" x14ac:dyDescent="0.5">
      <c r="B1803" s="1"/>
      <c r="C1803" s="15"/>
      <c r="D1803" s="16"/>
      <c r="E1803" s="15"/>
      <c r="F1803" s="17"/>
      <c r="G1803" s="8"/>
      <c r="H1803" s="8"/>
      <c r="I1803" s="8"/>
      <c r="J1803" s="8"/>
      <c r="K1803" s="8"/>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4"/>
      <c r="AM1803" s="5" t="str">
        <f t="shared" si="113"/>
        <v/>
      </c>
      <c r="AN1803" s="5" t="str">
        <f t="shared" si="114"/>
        <v/>
      </c>
      <c r="AO1803" s="18" t="str">
        <f t="shared" si="115"/>
        <v/>
      </c>
      <c r="AP1803" s="19"/>
      <c r="AQ1803" s="20" t="str">
        <f t="shared" si="116"/>
        <v/>
      </c>
      <c r="AR1803" s="21"/>
    </row>
    <row r="1804" spans="2:44" ht="31.5" x14ac:dyDescent="0.5">
      <c r="B1804" s="1"/>
      <c r="C1804" s="15"/>
      <c r="D1804" s="16"/>
      <c r="E1804" s="15"/>
      <c r="F1804" s="17"/>
      <c r="G1804" s="8"/>
      <c r="H1804" s="8"/>
      <c r="I1804" s="8"/>
      <c r="J1804" s="8"/>
      <c r="K1804" s="8"/>
      <c r="L1804" s="8"/>
      <c r="M1804" s="8"/>
      <c r="N1804" s="8"/>
      <c r="O1804" s="8"/>
      <c r="P1804" s="8"/>
      <c r="Q1804" s="8"/>
      <c r="R1804" s="8"/>
      <c r="S1804" s="8"/>
      <c r="T1804" s="8"/>
      <c r="U1804" s="8"/>
      <c r="V1804" s="8"/>
      <c r="W1804" s="8"/>
      <c r="X1804" s="8"/>
      <c r="Y1804" s="8"/>
      <c r="Z1804" s="8"/>
      <c r="AA1804" s="8"/>
      <c r="AB1804" s="8"/>
      <c r="AC1804" s="8"/>
      <c r="AD1804" s="8"/>
      <c r="AE1804" s="8"/>
      <c r="AF1804" s="8"/>
      <c r="AG1804" s="8"/>
      <c r="AH1804" s="8"/>
      <c r="AI1804" s="8"/>
      <c r="AJ1804" s="8"/>
      <c r="AK1804" s="8"/>
      <c r="AL1804" s="4"/>
      <c r="AM1804" s="5" t="str">
        <f t="shared" si="113"/>
        <v/>
      </c>
      <c r="AN1804" s="5" t="str">
        <f t="shared" si="114"/>
        <v/>
      </c>
      <c r="AO1804" s="18" t="str">
        <f t="shared" si="115"/>
        <v/>
      </c>
      <c r="AP1804" s="19"/>
      <c r="AQ1804" s="20" t="str">
        <f t="shared" si="116"/>
        <v/>
      </c>
      <c r="AR1804" s="21"/>
    </row>
    <row r="1805" spans="2:44" ht="31.5" x14ac:dyDescent="0.5">
      <c r="B1805" s="1"/>
      <c r="C1805" s="15"/>
      <c r="D1805" s="16"/>
      <c r="E1805" s="15"/>
      <c r="F1805" s="17"/>
      <c r="G1805" s="8"/>
      <c r="H1805" s="8"/>
      <c r="I1805" s="8"/>
      <c r="J1805" s="8"/>
      <c r="K1805" s="8"/>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4"/>
      <c r="AM1805" s="5" t="str">
        <f t="shared" si="113"/>
        <v/>
      </c>
      <c r="AN1805" s="5" t="str">
        <f t="shared" si="114"/>
        <v/>
      </c>
      <c r="AO1805" s="18" t="str">
        <f t="shared" si="115"/>
        <v/>
      </c>
      <c r="AP1805" s="19"/>
      <c r="AQ1805" s="20" t="str">
        <f t="shared" si="116"/>
        <v/>
      </c>
      <c r="AR1805" s="21"/>
    </row>
    <row r="1806" spans="2:44" ht="31.5" x14ac:dyDescent="0.5">
      <c r="B1806" s="1"/>
      <c r="C1806" s="15"/>
      <c r="D1806" s="16"/>
      <c r="E1806" s="15"/>
      <c r="F1806" s="17"/>
      <c r="G1806" s="8"/>
      <c r="H1806" s="8"/>
      <c r="I1806" s="8"/>
      <c r="J1806" s="8"/>
      <c r="K1806" s="8"/>
      <c r="L1806" s="8"/>
      <c r="M1806" s="8"/>
      <c r="N1806" s="8"/>
      <c r="O1806" s="8"/>
      <c r="P1806" s="8"/>
      <c r="Q1806" s="8"/>
      <c r="R1806" s="8"/>
      <c r="S1806" s="8"/>
      <c r="T1806" s="8"/>
      <c r="U1806" s="8"/>
      <c r="V1806" s="8"/>
      <c r="W1806" s="8"/>
      <c r="X1806" s="8"/>
      <c r="Y1806" s="8"/>
      <c r="Z1806" s="8"/>
      <c r="AA1806" s="8"/>
      <c r="AB1806" s="8"/>
      <c r="AC1806" s="8"/>
      <c r="AD1806" s="8"/>
      <c r="AE1806" s="8"/>
      <c r="AF1806" s="8"/>
      <c r="AG1806" s="8"/>
      <c r="AH1806" s="8"/>
      <c r="AI1806" s="8"/>
      <c r="AJ1806" s="8"/>
      <c r="AK1806" s="8"/>
      <c r="AL1806" s="4"/>
      <c r="AM1806" s="5" t="str">
        <f t="shared" si="113"/>
        <v/>
      </c>
      <c r="AN1806" s="5" t="str">
        <f t="shared" si="114"/>
        <v/>
      </c>
      <c r="AO1806" s="18" t="str">
        <f t="shared" si="115"/>
        <v/>
      </c>
      <c r="AP1806" s="19"/>
      <c r="AQ1806" s="20" t="str">
        <f t="shared" si="116"/>
        <v/>
      </c>
      <c r="AR1806" s="21"/>
    </row>
    <row r="1807" spans="2:44" ht="31.5" x14ac:dyDescent="0.5">
      <c r="B1807" s="1"/>
      <c r="C1807" s="15"/>
      <c r="D1807" s="16"/>
      <c r="E1807" s="15"/>
      <c r="F1807" s="17"/>
      <c r="G1807" s="8"/>
      <c r="H1807" s="8"/>
      <c r="I1807" s="8"/>
      <c r="J1807" s="8"/>
      <c r="K1807" s="8"/>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4"/>
      <c r="AM1807" s="5" t="str">
        <f t="shared" si="113"/>
        <v/>
      </c>
      <c r="AN1807" s="5" t="str">
        <f t="shared" si="114"/>
        <v/>
      </c>
      <c r="AO1807" s="18" t="str">
        <f t="shared" si="115"/>
        <v/>
      </c>
      <c r="AP1807" s="19"/>
      <c r="AQ1807" s="20" t="str">
        <f t="shared" si="116"/>
        <v/>
      </c>
      <c r="AR1807" s="21"/>
    </row>
    <row r="1808" spans="2:44" ht="31.5" x14ac:dyDescent="0.5">
      <c r="B1808" s="1"/>
      <c r="C1808" s="15"/>
      <c r="D1808" s="16"/>
      <c r="E1808" s="15"/>
      <c r="F1808" s="17"/>
      <c r="G1808" s="8"/>
      <c r="H1808" s="8"/>
      <c r="I1808" s="8"/>
      <c r="J1808" s="8"/>
      <c r="K1808" s="8"/>
      <c r="L1808" s="8"/>
      <c r="M1808" s="8"/>
      <c r="N1808" s="8"/>
      <c r="O1808" s="8"/>
      <c r="P1808" s="8"/>
      <c r="Q1808" s="8"/>
      <c r="R1808" s="8"/>
      <c r="S1808" s="8"/>
      <c r="T1808" s="8"/>
      <c r="U1808" s="8"/>
      <c r="V1808" s="8"/>
      <c r="W1808" s="8"/>
      <c r="X1808" s="8"/>
      <c r="Y1808" s="8"/>
      <c r="Z1808" s="8"/>
      <c r="AA1808" s="8"/>
      <c r="AB1808" s="8"/>
      <c r="AC1808" s="8"/>
      <c r="AD1808" s="8"/>
      <c r="AE1808" s="8"/>
      <c r="AF1808" s="8"/>
      <c r="AG1808" s="8"/>
      <c r="AH1808" s="8"/>
      <c r="AI1808" s="8"/>
      <c r="AJ1808" s="8"/>
      <c r="AK1808" s="8"/>
      <c r="AL1808" s="4"/>
      <c r="AM1808" s="5" t="str">
        <f t="shared" si="113"/>
        <v/>
      </c>
      <c r="AN1808" s="5" t="str">
        <f t="shared" si="114"/>
        <v/>
      </c>
      <c r="AO1808" s="18" t="str">
        <f t="shared" si="115"/>
        <v/>
      </c>
      <c r="AP1808" s="19"/>
      <c r="AQ1808" s="20" t="str">
        <f t="shared" si="116"/>
        <v/>
      </c>
      <c r="AR1808" s="21"/>
    </row>
    <row r="1809" spans="2:44" ht="31.5" x14ac:dyDescent="0.5">
      <c r="B1809" s="1"/>
      <c r="C1809" s="15"/>
      <c r="D1809" s="16"/>
      <c r="E1809" s="15"/>
      <c r="F1809" s="17"/>
      <c r="G1809" s="8"/>
      <c r="H1809" s="8"/>
      <c r="I1809" s="8"/>
      <c r="J1809" s="8"/>
      <c r="K1809" s="8"/>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4"/>
      <c r="AM1809" s="5" t="str">
        <f t="shared" si="113"/>
        <v/>
      </c>
      <c r="AN1809" s="5" t="str">
        <f t="shared" si="114"/>
        <v/>
      </c>
      <c r="AO1809" s="18" t="str">
        <f t="shared" si="115"/>
        <v/>
      </c>
      <c r="AP1809" s="19"/>
      <c r="AQ1809" s="20" t="str">
        <f t="shared" si="116"/>
        <v/>
      </c>
      <c r="AR1809" s="21"/>
    </row>
    <row r="1810" spans="2:44" ht="31.5" x14ac:dyDescent="0.5">
      <c r="B1810" s="1"/>
      <c r="C1810" s="15"/>
      <c r="D1810" s="16"/>
      <c r="E1810" s="15"/>
      <c r="F1810" s="17"/>
      <c r="G1810" s="8"/>
      <c r="H1810" s="8"/>
      <c r="I1810" s="8"/>
      <c r="J1810" s="8"/>
      <c r="K1810" s="8"/>
      <c r="L1810" s="8"/>
      <c r="M1810" s="8"/>
      <c r="N1810" s="8"/>
      <c r="O1810" s="8"/>
      <c r="P1810" s="8"/>
      <c r="Q1810" s="8"/>
      <c r="R1810" s="8"/>
      <c r="S1810" s="8"/>
      <c r="T1810" s="8"/>
      <c r="U1810" s="8"/>
      <c r="V1810" s="8"/>
      <c r="W1810" s="8"/>
      <c r="X1810" s="8"/>
      <c r="Y1810" s="8"/>
      <c r="Z1810" s="8"/>
      <c r="AA1810" s="8"/>
      <c r="AB1810" s="8"/>
      <c r="AC1810" s="8"/>
      <c r="AD1810" s="8"/>
      <c r="AE1810" s="8"/>
      <c r="AF1810" s="8"/>
      <c r="AG1810" s="8"/>
      <c r="AH1810" s="8"/>
      <c r="AI1810" s="8"/>
      <c r="AJ1810" s="8"/>
      <c r="AK1810" s="8"/>
      <c r="AL1810" s="4"/>
      <c r="AM1810" s="5" t="str">
        <f t="shared" si="113"/>
        <v/>
      </c>
      <c r="AN1810" s="5" t="str">
        <f t="shared" si="114"/>
        <v/>
      </c>
      <c r="AO1810" s="18" t="str">
        <f t="shared" si="115"/>
        <v/>
      </c>
      <c r="AP1810" s="19"/>
      <c r="AQ1810" s="20" t="str">
        <f t="shared" si="116"/>
        <v/>
      </c>
      <c r="AR1810" s="21"/>
    </row>
    <row r="1811" spans="2:44" ht="31.5" x14ac:dyDescent="0.5">
      <c r="B1811" s="1"/>
      <c r="C1811" s="15"/>
      <c r="D1811" s="16"/>
      <c r="E1811" s="15"/>
      <c r="F1811" s="17"/>
      <c r="G1811" s="8"/>
      <c r="H1811" s="8"/>
      <c r="I1811" s="8"/>
      <c r="J1811" s="8"/>
      <c r="K1811" s="8"/>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4"/>
      <c r="AM1811" s="5" t="str">
        <f t="shared" si="113"/>
        <v/>
      </c>
      <c r="AN1811" s="5" t="str">
        <f t="shared" si="114"/>
        <v/>
      </c>
      <c r="AO1811" s="18" t="str">
        <f t="shared" si="115"/>
        <v/>
      </c>
      <c r="AP1811" s="19"/>
      <c r="AQ1811" s="20" t="str">
        <f t="shared" si="116"/>
        <v/>
      </c>
      <c r="AR1811" s="21"/>
    </row>
    <row r="1812" spans="2:44" ht="31.5" x14ac:dyDescent="0.5">
      <c r="B1812" s="1"/>
      <c r="C1812" s="15"/>
      <c r="D1812" s="16"/>
      <c r="E1812" s="15"/>
      <c r="F1812" s="17"/>
      <c r="G1812" s="8"/>
      <c r="H1812" s="8"/>
      <c r="I1812" s="8"/>
      <c r="J1812" s="8"/>
      <c r="K1812" s="8"/>
      <c r="L1812" s="8"/>
      <c r="M1812" s="8"/>
      <c r="N1812" s="8"/>
      <c r="O1812" s="8"/>
      <c r="P1812" s="8"/>
      <c r="Q1812" s="8"/>
      <c r="R1812" s="8"/>
      <c r="S1812" s="8"/>
      <c r="T1812" s="8"/>
      <c r="U1812" s="8"/>
      <c r="V1812" s="8"/>
      <c r="W1812" s="8"/>
      <c r="X1812" s="8"/>
      <c r="Y1812" s="8"/>
      <c r="Z1812" s="8"/>
      <c r="AA1812" s="8"/>
      <c r="AB1812" s="8"/>
      <c r="AC1812" s="8"/>
      <c r="AD1812" s="8"/>
      <c r="AE1812" s="8"/>
      <c r="AF1812" s="8"/>
      <c r="AG1812" s="8"/>
      <c r="AH1812" s="8"/>
      <c r="AI1812" s="8"/>
      <c r="AJ1812" s="8"/>
      <c r="AK1812" s="8"/>
      <c r="AL1812" s="4"/>
      <c r="AM1812" s="5" t="str">
        <f t="shared" si="113"/>
        <v/>
      </c>
      <c r="AN1812" s="5" t="str">
        <f t="shared" si="114"/>
        <v/>
      </c>
      <c r="AO1812" s="18" t="str">
        <f t="shared" si="115"/>
        <v/>
      </c>
      <c r="AP1812" s="19"/>
      <c r="AQ1812" s="20" t="str">
        <f t="shared" si="116"/>
        <v/>
      </c>
      <c r="AR1812" s="21"/>
    </row>
    <row r="1813" spans="2:44" ht="31.5" x14ac:dyDescent="0.5">
      <c r="B1813" s="1"/>
      <c r="C1813" s="15"/>
      <c r="D1813" s="16"/>
      <c r="E1813" s="15"/>
      <c r="F1813" s="17"/>
      <c r="G1813" s="8"/>
      <c r="H1813" s="8"/>
      <c r="I1813" s="8"/>
      <c r="J1813" s="8"/>
      <c r="K1813" s="8"/>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4"/>
      <c r="AM1813" s="5" t="str">
        <f t="shared" si="113"/>
        <v/>
      </c>
      <c r="AN1813" s="5" t="str">
        <f t="shared" si="114"/>
        <v/>
      </c>
      <c r="AO1813" s="18" t="str">
        <f t="shared" si="115"/>
        <v/>
      </c>
      <c r="AP1813" s="19"/>
      <c r="AQ1813" s="20" t="str">
        <f t="shared" si="116"/>
        <v/>
      </c>
      <c r="AR1813" s="21"/>
    </row>
    <row r="1814" spans="2:44" ht="31.5" x14ac:dyDescent="0.5">
      <c r="B1814" s="1"/>
      <c r="C1814" s="15"/>
      <c r="D1814" s="16"/>
      <c r="E1814" s="15"/>
      <c r="F1814" s="17"/>
      <c r="G1814" s="8"/>
      <c r="H1814" s="8"/>
      <c r="I1814" s="8"/>
      <c r="J1814" s="8"/>
      <c r="K1814" s="8"/>
      <c r="L1814" s="8"/>
      <c r="M1814" s="8"/>
      <c r="N1814" s="8"/>
      <c r="O1814" s="8"/>
      <c r="P1814" s="8"/>
      <c r="Q1814" s="8"/>
      <c r="R1814" s="8"/>
      <c r="S1814" s="8"/>
      <c r="T1814" s="8"/>
      <c r="U1814" s="8"/>
      <c r="V1814" s="8"/>
      <c r="W1814" s="8"/>
      <c r="X1814" s="8"/>
      <c r="Y1814" s="8"/>
      <c r="Z1814" s="8"/>
      <c r="AA1814" s="8"/>
      <c r="AB1814" s="8"/>
      <c r="AC1814" s="8"/>
      <c r="AD1814" s="8"/>
      <c r="AE1814" s="8"/>
      <c r="AF1814" s="8"/>
      <c r="AG1814" s="8"/>
      <c r="AH1814" s="8"/>
      <c r="AI1814" s="8"/>
      <c r="AJ1814" s="8"/>
      <c r="AK1814" s="8"/>
      <c r="AL1814" s="4"/>
      <c r="AM1814" s="5" t="str">
        <f t="shared" si="113"/>
        <v/>
      </c>
      <c r="AN1814" s="5" t="str">
        <f t="shared" si="114"/>
        <v/>
      </c>
      <c r="AO1814" s="18" t="str">
        <f t="shared" si="115"/>
        <v/>
      </c>
      <c r="AP1814" s="19"/>
      <c r="AQ1814" s="20" t="str">
        <f t="shared" si="116"/>
        <v/>
      </c>
      <c r="AR1814" s="21"/>
    </row>
    <row r="1815" spans="2:44" ht="31.5" x14ac:dyDescent="0.5">
      <c r="B1815" s="1"/>
      <c r="C1815" s="15"/>
      <c r="D1815" s="16"/>
      <c r="E1815" s="15"/>
      <c r="F1815" s="17"/>
      <c r="G1815" s="8"/>
      <c r="H1815" s="8"/>
      <c r="I1815" s="8"/>
      <c r="J1815" s="8"/>
      <c r="K1815" s="8"/>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4"/>
      <c r="AM1815" s="5" t="str">
        <f t="shared" si="113"/>
        <v/>
      </c>
      <c r="AN1815" s="5" t="str">
        <f t="shared" si="114"/>
        <v/>
      </c>
      <c r="AO1815" s="18" t="str">
        <f t="shared" si="115"/>
        <v/>
      </c>
      <c r="AP1815" s="19"/>
      <c r="AQ1815" s="20" t="str">
        <f t="shared" si="116"/>
        <v/>
      </c>
      <c r="AR1815" s="21"/>
    </row>
    <row r="1816" spans="2:44" ht="31.5" x14ac:dyDescent="0.5">
      <c r="B1816" s="1"/>
      <c r="C1816" s="15"/>
      <c r="D1816" s="16"/>
      <c r="E1816" s="15"/>
      <c r="F1816" s="17"/>
      <c r="G1816" s="8"/>
      <c r="H1816" s="8"/>
      <c r="I1816" s="8"/>
      <c r="J1816" s="8"/>
      <c r="K1816" s="8"/>
      <c r="L1816" s="8"/>
      <c r="M1816" s="8"/>
      <c r="N1816" s="8"/>
      <c r="O1816" s="8"/>
      <c r="P1816" s="8"/>
      <c r="Q1816" s="8"/>
      <c r="R1816" s="8"/>
      <c r="S1816" s="8"/>
      <c r="T1816" s="8"/>
      <c r="U1816" s="8"/>
      <c r="V1816" s="8"/>
      <c r="W1816" s="8"/>
      <c r="X1816" s="8"/>
      <c r="Y1816" s="8"/>
      <c r="Z1816" s="8"/>
      <c r="AA1816" s="8"/>
      <c r="AB1816" s="8"/>
      <c r="AC1816" s="8"/>
      <c r="AD1816" s="8"/>
      <c r="AE1816" s="8"/>
      <c r="AF1816" s="8"/>
      <c r="AG1816" s="8"/>
      <c r="AH1816" s="8"/>
      <c r="AI1816" s="8"/>
      <c r="AJ1816" s="8"/>
      <c r="AK1816" s="8"/>
      <c r="AL1816" s="4"/>
      <c r="AM1816" s="5" t="str">
        <f t="shared" si="113"/>
        <v/>
      </c>
      <c r="AN1816" s="5" t="str">
        <f t="shared" si="114"/>
        <v/>
      </c>
      <c r="AO1816" s="18" t="str">
        <f t="shared" si="115"/>
        <v/>
      </c>
      <c r="AP1816" s="19"/>
      <c r="AQ1816" s="20" t="str">
        <f t="shared" si="116"/>
        <v/>
      </c>
      <c r="AR1816" s="21"/>
    </row>
    <row r="1817" spans="2:44" ht="31.5" x14ac:dyDescent="0.5">
      <c r="B1817" s="1"/>
      <c r="C1817" s="15"/>
      <c r="D1817" s="16"/>
      <c r="E1817" s="15"/>
      <c r="F1817" s="17"/>
      <c r="G1817" s="8"/>
      <c r="H1817" s="8"/>
      <c r="I1817" s="8"/>
      <c r="J1817" s="8"/>
      <c r="K1817" s="8"/>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4"/>
      <c r="AM1817" s="5" t="str">
        <f t="shared" si="113"/>
        <v/>
      </c>
      <c r="AN1817" s="5" t="str">
        <f t="shared" si="114"/>
        <v/>
      </c>
      <c r="AO1817" s="18" t="str">
        <f t="shared" si="115"/>
        <v/>
      </c>
      <c r="AP1817" s="19"/>
      <c r="AQ1817" s="20" t="str">
        <f t="shared" si="116"/>
        <v/>
      </c>
      <c r="AR1817" s="21"/>
    </row>
    <row r="1818" spans="2:44" ht="31.5" x14ac:dyDescent="0.5">
      <c r="B1818" s="1"/>
      <c r="C1818" s="15"/>
      <c r="D1818" s="16"/>
      <c r="E1818" s="15"/>
      <c r="F1818" s="17"/>
      <c r="G1818" s="8"/>
      <c r="H1818" s="8"/>
      <c r="I1818" s="8"/>
      <c r="J1818" s="8"/>
      <c r="K1818" s="8"/>
      <c r="L1818" s="8"/>
      <c r="M1818" s="8"/>
      <c r="N1818" s="8"/>
      <c r="O1818" s="8"/>
      <c r="P1818" s="8"/>
      <c r="Q1818" s="8"/>
      <c r="R1818" s="8"/>
      <c r="S1818" s="8"/>
      <c r="T1818" s="8"/>
      <c r="U1818" s="8"/>
      <c r="V1818" s="8"/>
      <c r="W1818" s="8"/>
      <c r="X1818" s="8"/>
      <c r="Y1818" s="8"/>
      <c r="Z1818" s="8"/>
      <c r="AA1818" s="8"/>
      <c r="AB1818" s="8"/>
      <c r="AC1818" s="8"/>
      <c r="AD1818" s="8"/>
      <c r="AE1818" s="8"/>
      <c r="AF1818" s="8"/>
      <c r="AG1818" s="8"/>
      <c r="AH1818" s="8"/>
      <c r="AI1818" s="8"/>
      <c r="AJ1818" s="8"/>
      <c r="AK1818" s="8"/>
      <c r="AL1818" s="4"/>
      <c r="AM1818" s="5" t="str">
        <f t="shared" si="113"/>
        <v/>
      </c>
      <c r="AN1818" s="5" t="str">
        <f t="shared" si="114"/>
        <v/>
      </c>
      <c r="AO1818" s="18" t="str">
        <f t="shared" si="115"/>
        <v/>
      </c>
      <c r="AP1818" s="19"/>
      <c r="AQ1818" s="20" t="str">
        <f t="shared" si="116"/>
        <v/>
      </c>
      <c r="AR1818" s="21"/>
    </row>
    <row r="1819" spans="2:44" ht="31.5" x14ac:dyDescent="0.5">
      <c r="B1819" s="1"/>
      <c r="C1819" s="15"/>
      <c r="D1819" s="16"/>
      <c r="E1819" s="15"/>
      <c r="F1819" s="17"/>
      <c r="G1819" s="8"/>
      <c r="H1819" s="8"/>
      <c r="I1819" s="8"/>
      <c r="J1819" s="8"/>
      <c r="K1819" s="8"/>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4"/>
      <c r="AM1819" s="5" t="str">
        <f t="shared" si="113"/>
        <v/>
      </c>
      <c r="AN1819" s="5" t="str">
        <f t="shared" si="114"/>
        <v/>
      </c>
      <c r="AO1819" s="18" t="str">
        <f t="shared" si="115"/>
        <v/>
      </c>
      <c r="AP1819" s="19"/>
      <c r="AQ1819" s="20" t="str">
        <f t="shared" si="116"/>
        <v/>
      </c>
      <c r="AR1819" s="21"/>
    </row>
    <row r="1820" spans="2:44" ht="31.5" x14ac:dyDescent="0.5">
      <c r="B1820" s="1"/>
      <c r="C1820" s="15"/>
      <c r="D1820" s="16"/>
      <c r="E1820" s="15"/>
      <c r="F1820" s="17"/>
      <c r="G1820" s="8"/>
      <c r="H1820" s="8"/>
      <c r="I1820" s="8"/>
      <c r="J1820" s="8"/>
      <c r="K1820" s="8"/>
      <c r="L1820" s="8"/>
      <c r="M1820" s="8"/>
      <c r="N1820" s="8"/>
      <c r="O1820" s="8"/>
      <c r="P1820" s="8"/>
      <c r="Q1820" s="8"/>
      <c r="R1820" s="8"/>
      <c r="S1820" s="8"/>
      <c r="T1820" s="8"/>
      <c r="U1820" s="8"/>
      <c r="V1820" s="8"/>
      <c r="W1820" s="8"/>
      <c r="X1820" s="8"/>
      <c r="Y1820" s="8"/>
      <c r="Z1820" s="8"/>
      <c r="AA1820" s="8"/>
      <c r="AB1820" s="8"/>
      <c r="AC1820" s="8"/>
      <c r="AD1820" s="8"/>
      <c r="AE1820" s="8"/>
      <c r="AF1820" s="8"/>
      <c r="AG1820" s="8"/>
      <c r="AH1820" s="8"/>
      <c r="AI1820" s="8"/>
      <c r="AJ1820" s="8"/>
      <c r="AK1820" s="8"/>
      <c r="AL1820" s="4"/>
      <c r="AM1820" s="5" t="str">
        <f t="shared" si="113"/>
        <v/>
      </c>
      <c r="AN1820" s="5" t="str">
        <f t="shared" si="114"/>
        <v/>
      </c>
      <c r="AO1820" s="18" t="str">
        <f t="shared" si="115"/>
        <v/>
      </c>
      <c r="AP1820" s="19"/>
      <c r="AQ1820" s="20" t="str">
        <f t="shared" si="116"/>
        <v/>
      </c>
      <c r="AR1820" s="21"/>
    </row>
    <row r="1821" spans="2:44" ht="31.5" x14ac:dyDescent="0.5">
      <c r="B1821" s="1"/>
      <c r="C1821" s="15"/>
      <c r="D1821" s="16"/>
      <c r="E1821" s="15"/>
      <c r="F1821" s="17"/>
      <c r="G1821" s="8"/>
      <c r="H1821" s="8"/>
      <c r="I1821" s="8"/>
      <c r="J1821" s="8"/>
      <c r="K1821" s="8"/>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4"/>
      <c r="AM1821" s="5" t="str">
        <f t="shared" si="113"/>
        <v/>
      </c>
      <c r="AN1821" s="5" t="str">
        <f t="shared" si="114"/>
        <v/>
      </c>
      <c r="AO1821" s="18" t="str">
        <f t="shared" si="115"/>
        <v/>
      </c>
      <c r="AP1821" s="19"/>
      <c r="AQ1821" s="20" t="str">
        <f t="shared" si="116"/>
        <v/>
      </c>
      <c r="AR1821" s="21"/>
    </row>
    <row r="1822" spans="2:44" ht="31.5" x14ac:dyDescent="0.5">
      <c r="B1822" s="1"/>
      <c r="C1822" s="15"/>
      <c r="D1822" s="16"/>
      <c r="E1822" s="15"/>
      <c r="F1822" s="17"/>
      <c r="G1822" s="8"/>
      <c r="H1822" s="8"/>
      <c r="I1822" s="8"/>
      <c r="J1822" s="8"/>
      <c r="K1822" s="8"/>
      <c r="L1822" s="8"/>
      <c r="M1822" s="8"/>
      <c r="N1822" s="8"/>
      <c r="O1822" s="8"/>
      <c r="P1822" s="8"/>
      <c r="Q1822" s="8"/>
      <c r="R1822" s="8"/>
      <c r="S1822" s="8"/>
      <c r="T1822" s="8"/>
      <c r="U1822" s="8"/>
      <c r="V1822" s="8"/>
      <c r="W1822" s="8"/>
      <c r="X1822" s="8"/>
      <c r="Y1822" s="8"/>
      <c r="Z1822" s="8"/>
      <c r="AA1822" s="8"/>
      <c r="AB1822" s="8"/>
      <c r="AC1822" s="8"/>
      <c r="AD1822" s="8"/>
      <c r="AE1822" s="8"/>
      <c r="AF1822" s="8"/>
      <c r="AG1822" s="8"/>
      <c r="AH1822" s="8"/>
      <c r="AI1822" s="8"/>
      <c r="AJ1822" s="8"/>
      <c r="AK1822" s="8"/>
      <c r="AL1822" s="4"/>
      <c r="AM1822" s="5" t="str">
        <f t="shared" si="113"/>
        <v/>
      </c>
      <c r="AN1822" s="5" t="str">
        <f t="shared" si="114"/>
        <v/>
      </c>
      <c r="AO1822" s="18" t="str">
        <f t="shared" si="115"/>
        <v/>
      </c>
      <c r="AP1822" s="19"/>
      <c r="AQ1822" s="20" t="str">
        <f t="shared" si="116"/>
        <v/>
      </c>
      <c r="AR1822" s="21"/>
    </row>
    <row r="1823" spans="2:44" ht="31.5" x14ac:dyDescent="0.5">
      <c r="B1823" s="1"/>
      <c r="C1823" s="15"/>
      <c r="D1823" s="16"/>
      <c r="E1823" s="15"/>
      <c r="F1823" s="17"/>
      <c r="G1823" s="8"/>
      <c r="H1823" s="8"/>
      <c r="I1823" s="8"/>
      <c r="J1823" s="8"/>
      <c r="K1823" s="8"/>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4"/>
      <c r="AM1823" s="5" t="str">
        <f t="shared" si="113"/>
        <v/>
      </c>
      <c r="AN1823" s="5" t="str">
        <f t="shared" si="114"/>
        <v/>
      </c>
      <c r="AO1823" s="18" t="str">
        <f t="shared" si="115"/>
        <v/>
      </c>
      <c r="AP1823" s="19"/>
      <c r="AQ1823" s="20" t="str">
        <f t="shared" si="116"/>
        <v/>
      </c>
      <c r="AR1823" s="21"/>
    </row>
    <row r="1824" spans="2:44" ht="31.5" x14ac:dyDescent="0.5">
      <c r="B1824" s="1"/>
      <c r="C1824" s="15"/>
      <c r="D1824" s="16"/>
      <c r="E1824" s="15"/>
      <c r="F1824" s="17"/>
      <c r="G1824" s="8"/>
      <c r="H1824" s="8"/>
      <c r="I1824" s="8"/>
      <c r="J1824" s="8"/>
      <c r="K1824" s="8"/>
      <c r="L1824" s="8"/>
      <c r="M1824" s="8"/>
      <c r="N1824" s="8"/>
      <c r="O1824" s="8"/>
      <c r="P1824" s="8"/>
      <c r="Q1824" s="8"/>
      <c r="R1824" s="8"/>
      <c r="S1824" s="8"/>
      <c r="T1824" s="8"/>
      <c r="U1824" s="8"/>
      <c r="V1824" s="8"/>
      <c r="W1824" s="8"/>
      <c r="X1824" s="8"/>
      <c r="Y1824" s="8"/>
      <c r="Z1824" s="8"/>
      <c r="AA1824" s="8"/>
      <c r="AB1824" s="8"/>
      <c r="AC1824" s="8"/>
      <c r="AD1824" s="8"/>
      <c r="AE1824" s="8"/>
      <c r="AF1824" s="8"/>
      <c r="AG1824" s="8"/>
      <c r="AH1824" s="8"/>
      <c r="AI1824" s="8"/>
      <c r="AJ1824" s="8"/>
      <c r="AK1824" s="8"/>
      <c r="AL1824" s="4"/>
      <c r="AM1824" s="5" t="str">
        <f t="shared" si="113"/>
        <v/>
      </c>
      <c r="AN1824" s="5" t="str">
        <f t="shared" si="114"/>
        <v/>
      </c>
      <c r="AO1824" s="18" t="str">
        <f t="shared" si="115"/>
        <v/>
      </c>
      <c r="AP1824" s="19"/>
      <c r="AQ1824" s="20" t="str">
        <f t="shared" si="116"/>
        <v/>
      </c>
      <c r="AR1824" s="21"/>
    </row>
    <row r="1825" spans="2:44" ht="31.5" x14ac:dyDescent="0.5">
      <c r="B1825" s="1"/>
      <c r="C1825" s="15"/>
      <c r="D1825" s="16"/>
      <c r="E1825" s="15"/>
      <c r="F1825" s="17"/>
      <c r="G1825" s="8"/>
      <c r="H1825" s="8"/>
      <c r="I1825" s="8"/>
      <c r="J1825" s="8"/>
      <c r="K1825" s="8"/>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4"/>
      <c r="AM1825" s="5" t="str">
        <f t="shared" si="113"/>
        <v/>
      </c>
      <c r="AN1825" s="5" t="str">
        <f t="shared" si="114"/>
        <v/>
      </c>
      <c r="AO1825" s="18" t="str">
        <f t="shared" si="115"/>
        <v/>
      </c>
      <c r="AP1825" s="19"/>
      <c r="AQ1825" s="20" t="str">
        <f t="shared" si="116"/>
        <v/>
      </c>
      <c r="AR1825" s="21"/>
    </row>
    <row r="1826" spans="2:44" ht="31.5" x14ac:dyDescent="0.5">
      <c r="B1826" s="1"/>
      <c r="C1826" s="15"/>
      <c r="D1826" s="16"/>
      <c r="E1826" s="15"/>
      <c r="F1826" s="17"/>
      <c r="G1826" s="8"/>
      <c r="H1826" s="8"/>
      <c r="I1826" s="8"/>
      <c r="J1826" s="8"/>
      <c r="K1826" s="8"/>
      <c r="L1826" s="8"/>
      <c r="M1826" s="8"/>
      <c r="N1826" s="8"/>
      <c r="O1826" s="8"/>
      <c r="P1826" s="8"/>
      <c r="Q1826" s="8"/>
      <c r="R1826" s="8"/>
      <c r="S1826" s="8"/>
      <c r="T1826" s="8"/>
      <c r="U1826" s="8"/>
      <c r="V1826" s="8"/>
      <c r="W1826" s="8"/>
      <c r="X1826" s="8"/>
      <c r="Y1826" s="8"/>
      <c r="Z1826" s="8"/>
      <c r="AA1826" s="8"/>
      <c r="AB1826" s="8"/>
      <c r="AC1826" s="8"/>
      <c r="AD1826" s="8"/>
      <c r="AE1826" s="8"/>
      <c r="AF1826" s="8"/>
      <c r="AG1826" s="8"/>
      <c r="AH1826" s="8"/>
      <c r="AI1826" s="8"/>
      <c r="AJ1826" s="8"/>
      <c r="AK1826" s="8"/>
      <c r="AL1826" s="4"/>
      <c r="AM1826" s="5" t="str">
        <f t="shared" si="113"/>
        <v/>
      </c>
      <c r="AN1826" s="5" t="str">
        <f t="shared" si="114"/>
        <v/>
      </c>
      <c r="AO1826" s="18" t="str">
        <f t="shared" si="115"/>
        <v/>
      </c>
      <c r="AP1826" s="19"/>
      <c r="AQ1826" s="20" t="str">
        <f t="shared" si="116"/>
        <v/>
      </c>
      <c r="AR1826" s="21"/>
    </row>
    <row r="1827" spans="2:44" ht="31.5" x14ac:dyDescent="0.5">
      <c r="B1827" s="1"/>
      <c r="C1827" s="15"/>
      <c r="D1827" s="16"/>
      <c r="E1827" s="15"/>
      <c r="F1827" s="17"/>
      <c r="G1827" s="8"/>
      <c r="H1827" s="8"/>
      <c r="I1827" s="8"/>
      <c r="J1827" s="8"/>
      <c r="K1827" s="8"/>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4"/>
      <c r="AM1827" s="5" t="str">
        <f t="shared" si="113"/>
        <v/>
      </c>
      <c r="AN1827" s="5" t="str">
        <f t="shared" si="114"/>
        <v/>
      </c>
      <c r="AO1827" s="18" t="str">
        <f t="shared" si="115"/>
        <v/>
      </c>
      <c r="AP1827" s="19"/>
      <c r="AQ1827" s="20" t="str">
        <f t="shared" si="116"/>
        <v/>
      </c>
      <c r="AR1827" s="21"/>
    </row>
    <row r="1828" spans="2:44" ht="31.5" x14ac:dyDescent="0.5">
      <c r="B1828" s="1"/>
      <c r="C1828" s="15"/>
      <c r="D1828" s="16"/>
      <c r="E1828" s="15"/>
      <c r="F1828" s="17"/>
      <c r="G1828" s="8"/>
      <c r="H1828" s="8"/>
      <c r="I1828" s="8"/>
      <c r="J1828" s="8"/>
      <c r="K1828" s="8"/>
      <c r="L1828" s="8"/>
      <c r="M1828" s="8"/>
      <c r="N1828" s="8"/>
      <c r="O1828" s="8"/>
      <c r="P1828" s="8"/>
      <c r="Q1828" s="8"/>
      <c r="R1828" s="8"/>
      <c r="S1828" s="8"/>
      <c r="T1828" s="8"/>
      <c r="U1828" s="8"/>
      <c r="V1828" s="8"/>
      <c r="W1828" s="8"/>
      <c r="X1828" s="8"/>
      <c r="Y1828" s="8"/>
      <c r="Z1828" s="8"/>
      <c r="AA1828" s="8"/>
      <c r="AB1828" s="8"/>
      <c r="AC1828" s="8"/>
      <c r="AD1828" s="8"/>
      <c r="AE1828" s="8"/>
      <c r="AF1828" s="8"/>
      <c r="AG1828" s="8"/>
      <c r="AH1828" s="8"/>
      <c r="AI1828" s="8"/>
      <c r="AJ1828" s="8"/>
      <c r="AK1828" s="8"/>
      <c r="AL1828" s="4"/>
      <c r="AM1828" s="5" t="str">
        <f t="shared" si="113"/>
        <v/>
      </c>
      <c r="AN1828" s="5" t="str">
        <f t="shared" si="114"/>
        <v/>
      </c>
      <c r="AO1828" s="18" t="str">
        <f t="shared" si="115"/>
        <v/>
      </c>
      <c r="AP1828" s="19"/>
      <c r="AQ1828" s="20" t="str">
        <f t="shared" si="116"/>
        <v/>
      </c>
      <c r="AR1828" s="21"/>
    </row>
    <row r="1829" spans="2:44" ht="31.5" x14ac:dyDescent="0.5">
      <c r="B1829" s="1"/>
      <c r="C1829" s="15"/>
      <c r="D1829" s="16"/>
      <c r="E1829" s="15"/>
      <c r="F1829" s="17"/>
      <c r="G1829" s="8"/>
      <c r="H1829" s="8"/>
      <c r="I1829" s="8"/>
      <c r="J1829" s="8"/>
      <c r="K1829" s="8"/>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4"/>
      <c r="AM1829" s="5" t="str">
        <f t="shared" si="113"/>
        <v/>
      </c>
      <c r="AN1829" s="5" t="str">
        <f t="shared" si="114"/>
        <v/>
      </c>
      <c r="AO1829" s="18" t="str">
        <f t="shared" si="115"/>
        <v/>
      </c>
      <c r="AP1829" s="19"/>
      <c r="AQ1829" s="20" t="str">
        <f t="shared" si="116"/>
        <v/>
      </c>
      <c r="AR1829" s="21"/>
    </row>
    <row r="1830" spans="2:44" ht="31.5" x14ac:dyDescent="0.5">
      <c r="B1830" s="1"/>
      <c r="C1830" s="15"/>
      <c r="D1830" s="16"/>
      <c r="E1830" s="15"/>
      <c r="F1830" s="17"/>
      <c r="G1830" s="8"/>
      <c r="H1830" s="8"/>
      <c r="I1830" s="8"/>
      <c r="J1830" s="8"/>
      <c r="K1830" s="8"/>
      <c r="L1830" s="8"/>
      <c r="M1830" s="8"/>
      <c r="N1830" s="8"/>
      <c r="O1830" s="8"/>
      <c r="P1830" s="8"/>
      <c r="Q1830" s="8"/>
      <c r="R1830" s="8"/>
      <c r="S1830" s="8"/>
      <c r="T1830" s="8"/>
      <c r="U1830" s="8"/>
      <c r="V1830" s="8"/>
      <c r="W1830" s="8"/>
      <c r="X1830" s="8"/>
      <c r="Y1830" s="8"/>
      <c r="Z1830" s="8"/>
      <c r="AA1830" s="8"/>
      <c r="AB1830" s="8"/>
      <c r="AC1830" s="8"/>
      <c r="AD1830" s="8"/>
      <c r="AE1830" s="8"/>
      <c r="AF1830" s="8"/>
      <c r="AG1830" s="8"/>
      <c r="AH1830" s="8"/>
      <c r="AI1830" s="8"/>
      <c r="AJ1830" s="8"/>
      <c r="AK1830" s="8"/>
      <c r="AL1830" s="4"/>
      <c r="AM1830" s="5" t="str">
        <f t="shared" si="113"/>
        <v/>
      </c>
      <c r="AN1830" s="5" t="str">
        <f t="shared" si="114"/>
        <v/>
      </c>
      <c r="AO1830" s="18" t="str">
        <f t="shared" si="115"/>
        <v/>
      </c>
      <c r="AP1830" s="19"/>
      <c r="AQ1830" s="20" t="str">
        <f t="shared" si="116"/>
        <v/>
      </c>
      <c r="AR1830" s="21"/>
    </row>
    <row r="1831" spans="2:44" ht="31.5" x14ac:dyDescent="0.5">
      <c r="B1831" s="1"/>
      <c r="C1831" s="15"/>
      <c r="D1831" s="16"/>
      <c r="E1831" s="15"/>
      <c r="F1831" s="17"/>
      <c r="G1831" s="8"/>
      <c r="H1831" s="8"/>
      <c r="I1831" s="8"/>
      <c r="J1831" s="8"/>
      <c r="K1831" s="8"/>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4"/>
      <c r="AM1831" s="5" t="str">
        <f t="shared" si="113"/>
        <v/>
      </c>
      <c r="AN1831" s="5" t="str">
        <f t="shared" si="114"/>
        <v/>
      </c>
      <c r="AO1831" s="18" t="str">
        <f t="shared" si="115"/>
        <v/>
      </c>
      <c r="AP1831" s="19"/>
      <c r="AQ1831" s="20" t="str">
        <f t="shared" si="116"/>
        <v/>
      </c>
      <c r="AR1831" s="21"/>
    </row>
    <row r="1832" spans="2:44" ht="31.5" x14ac:dyDescent="0.5">
      <c r="B1832" s="1"/>
      <c r="C1832" s="15"/>
      <c r="D1832" s="16"/>
      <c r="E1832" s="15"/>
      <c r="F1832" s="17"/>
      <c r="G1832" s="8"/>
      <c r="H1832" s="8"/>
      <c r="I1832" s="8"/>
      <c r="J1832" s="8"/>
      <c r="K1832" s="8"/>
      <c r="L1832" s="8"/>
      <c r="M1832" s="8"/>
      <c r="N1832" s="8"/>
      <c r="O1832" s="8"/>
      <c r="P1832" s="8"/>
      <c r="Q1832" s="8"/>
      <c r="R1832" s="8"/>
      <c r="S1832" s="8"/>
      <c r="T1832" s="8"/>
      <c r="U1832" s="8"/>
      <c r="V1832" s="8"/>
      <c r="W1832" s="8"/>
      <c r="X1832" s="8"/>
      <c r="Y1832" s="8"/>
      <c r="Z1832" s="8"/>
      <c r="AA1832" s="8"/>
      <c r="AB1832" s="8"/>
      <c r="AC1832" s="8"/>
      <c r="AD1832" s="8"/>
      <c r="AE1832" s="8"/>
      <c r="AF1832" s="8"/>
      <c r="AG1832" s="8"/>
      <c r="AH1832" s="8"/>
      <c r="AI1832" s="8"/>
      <c r="AJ1832" s="8"/>
      <c r="AK1832" s="8"/>
      <c r="AL1832" s="4"/>
      <c r="AM1832" s="5" t="str">
        <f t="shared" si="113"/>
        <v/>
      </c>
      <c r="AN1832" s="5" t="str">
        <f t="shared" si="114"/>
        <v/>
      </c>
      <c r="AO1832" s="18" t="str">
        <f t="shared" si="115"/>
        <v/>
      </c>
      <c r="AP1832" s="19"/>
      <c r="AQ1832" s="20" t="str">
        <f t="shared" si="116"/>
        <v/>
      </c>
      <c r="AR1832" s="21"/>
    </row>
    <row r="1833" spans="2:44" ht="31.5" x14ac:dyDescent="0.5">
      <c r="B1833" s="1"/>
      <c r="C1833" s="15"/>
      <c r="D1833" s="16"/>
      <c r="E1833" s="15"/>
      <c r="F1833" s="17"/>
      <c r="G1833" s="8"/>
      <c r="H1833" s="8"/>
      <c r="I1833" s="8"/>
      <c r="J1833" s="8"/>
      <c r="K1833" s="8"/>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4"/>
      <c r="AM1833" s="5" t="str">
        <f t="shared" si="113"/>
        <v/>
      </c>
      <c r="AN1833" s="5" t="str">
        <f t="shared" si="114"/>
        <v/>
      </c>
      <c r="AO1833" s="18" t="str">
        <f t="shared" si="115"/>
        <v/>
      </c>
      <c r="AP1833" s="19"/>
      <c r="AQ1833" s="20" t="str">
        <f t="shared" si="116"/>
        <v/>
      </c>
      <c r="AR1833" s="21"/>
    </row>
    <row r="1834" spans="2:44" ht="31.5" x14ac:dyDescent="0.5">
      <c r="B1834" s="1"/>
      <c r="C1834" s="15"/>
      <c r="D1834" s="16"/>
      <c r="E1834" s="15"/>
      <c r="F1834" s="17"/>
      <c r="G1834" s="8"/>
      <c r="H1834" s="8"/>
      <c r="I1834" s="8"/>
      <c r="J1834" s="8"/>
      <c r="K1834" s="8"/>
      <c r="L1834" s="8"/>
      <c r="M1834" s="8"/>
      <c r="N1834" s="8"/>
      <c r="O1834" s="8"/>
      <c r="P1834" s="8"/>
      <c r="Q1834" s="8"/>
      <c r="R1834" s="8"/>
      <c r="S1834" s="8"/>
      <c r="T1834" s="8"/>
      <c r="U1834" s="8"/>
      <c r="V1834" s="8"/>
      <c r="W1834" s="8"/>
      <c r="X1834" s="8"/>
      <c r="Y1834" s="8"/>
      <c r="Z1834" s="8"/>
      <c r="AA1834" s="8"/>
      <c r="AB1834" s="8"/>
      <c r="AC1834" s="8"/>
      <c r="AD1834" s="8"/>
      <c r="AE1834" s="8"/>
      <c r="AF1834" s="8"/>
      <c r="AG1834" s="8"/>
      <c r="AH1834" s="8"/>
      <c r="AI1834" s="8"/>
      <c r="AJ1834" s="8"/>
      <c r="AK1834" s="8"/>
      <c r="AL1834" s="4"/>
      <c r="AM1834" s="5" t="str">
        <f t="shared" si="113"/>
        <v/>
      </c>
      <c r="AN1834" s="5" t="str">
        <f t="shared" si="114"/>
        <v/>
      </c>
      <c r="AO1834" s="18" t="str">
        <f t="shared" si="115"/>
        <v/>
      </c>
      <c r="AP1834" s="19"/>
      <c r="AQ1834" s="20" t="str">
        <f t="shared" si="116"/>
        <v/>
      </c>
      <c r="AR1834" s="21"/>
    </row>
    <row r="1835" spans="2:44" ht="31.5" x14ac:dyDescent="0.5">
      <c r="B1835" s="1"/>
      <c r="C1835" s="15"/>
      <c r="D1835" s="16"/>
      <c r="E1835" s="15"/>
      <c r="F1835" s="17"/>
      <c r="G1835" s="8"/>
      <c r="H1835" s="8"/>
      <c r="I1835" s="8"/>
      <c r="J1835" s="8"/>
      <c r="K1835" s="8"/>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4"/>
      <c r="AM1835" s="5" t="str">
        <f t="shared" si="113"/>
        <v/>
      </c>
      <c r="AN1835" s="5" t="str">
        <f t="shared" si="114"/>
        <v/>
      </c>
      <c r="AO1835" s="18" t="str">
        <f t="shared" si="115"/>
        <v/>
      </c>
      <c r="AP1835" s="19"/>
      <c r="AQ1835" s="20" t="str">
        <f t="shared" si="116"/>
        <v/>
      </c>
      <c r="AR1835" s="21"/>
    </row>
    <row r="1836" spans="2:44" ht="31.5" x14ac:dyDescent="0.5">
      <c r="B1836" s="1"/>
      <c r="C1836" s="15"/>
      <c r="D1836" s="16"/>
      <c r="E1836" s="15"/>
      <c r="F1836" s="17"/>
      <c r="G1836" s="8"/>
      <c r="H1836" s="8"/>
      <c r="I1836" s="8"/>
      <c r="J1836" s="8"/>
      <c r="K1836" s="8"/>
      <c r="L1836" s="8"/>
      <c r="M1836" s="8"/>
      <c r="N1836" s="8"/>
      <c r="O1836" s="8"/>
      <c r="P1836" s="8"/>
      <c r="Q1836" s="8"/>
      <c r="R1836" s="8"/>
      <c r="S1836" s="8"/>
      <c r="T1836" s="8"/>
      <c r="U1836" s="8"/>
      <c r="V1836" s="8"/>
      <c r="W1836" s="8"/>
      <c r="X1836" s="8"/>
      <c r="Y1836" s="8"/>
      <c r="Z1836" s="8"/>
      <c r="AA1836" s="8"/>
      <c r="AB1836" s="8"/>
      <c r="AC1836" s="8"/>
      <c r="AD1836" s="8"/>
      <c r="AE1836" s="8"/>
      <c r="AF1836" s="8"/>
      <c r="AG1836" s="8"/>
      <c r="AH1836" s="8"/>
      <c r="AI1836" s="8"/>
      <c r="AJ1836" s="8"/>
      <c r="AK1836" s="8"/>
      <c r="AL1836" s="4"/>
      <c r="AM1836" s="5" t="str">
        <f t="shared" si="113"/>
        <v/>
      </c>
      <c r="AN1836" s="5" t="str">
        <f t="shared" si="114"/>
        <v/>
      </c>
      <c r="AO1836" s="18" t="str">
        <f t="shared" si="115"/>
        <v/>
      </c>
      <c r="AP1836" s="19"/>
      <c r="AQ1836" s="20" t="str">
        <f t="shared" si="116"/>
        <v/>
      </c>
      <c r="AR1836" s="21"/>
    </row>
    <row r="1837" spans="2:44" ht="31.5" x14ac:dyDescent="0.5">
      <c r="B1837" s="1"/>
      <c r="C1837" s="15"/>
      <c r="D1837" s="16"/>
      <c r="E1837" s="15"/>
      <c r="F1837" s="17"/>
      <c r="G1837" s="8"/>
      <c r="H1837" s="8"/>
      <c r="I1837" s="8"/>
      <c r="J1837" s="8"/>
      <c r="K1837" s="8"/>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4"/>
      <c r="AM1837" s="5" t="str">
        <f t="shared" si="113"/>
        <v/>
      </c>
      <c r="AN1837" s="5" t="str">
        <f t="shared" si="114"/>
        <v/>
      </c>
      <c r="AO1837" s="18" t="str">
        <f t="shared" si="115"/>
        <v/>
      </c>
      <c r="AP1837" s="19"/>
      <c r="AQ1837" s="20" t="str">
        <f t="shared" si="116"/>
        <v/>
      </c>
      <c r="AR1837" s="21"/>
    </row>
    <row r="1838" spans="2:44" ht="31.5" x14ac:dyDescent="0.5">
      <c r="B1838" s="1"/>
      <c r="C1838" s="15"/>
      <c r="D1838" s="16"/>
      <c r="E1838" s="15"/>
      <c r="F1838" s="17"/>
      <c r="G1838" s="8"/>
      <c r="H1838" s="8"/>
      <c r="I1838" s="8"/>
      <c r="J1838" s="8"/>
      <c r="K1838" s="8"/>
      <c r="L1838" s="8"/>
      <c r="M1838" s="8"/>
      <c r="N1838" s="8"/>
      <c r="O1838" s="8"/>
      <c r="P1838" s="8"/>
      <c r="Q1838" s="8"/>
      <c r="R1838" s="8"/>
      <c r="S1838" s="8"/>
      <c r="T1838" s="8"/>
      <c r="U1838" s="8"/>
      <c r="V1838" s="8"/>
      <c r="W1838" s="8"/>
      <c r="X1838" s="8"/>
      <c r="Y1838" s="8"/>
      <c r="Z1838" s="8"/>
      <c r="AA1838" s="8"/>
      <c r="AB1838" s="8"/>
      <c r="AC1838" s="8"/>
      <c r="AD1838" s="8"/>
      <c r="AE1838" s="8"/>
      <c r="AF1838" s="8"/>
      <c r="AG1838" s="8"/>
      <c r="AH1838" s="8"/>
      <c r="AI1838" s="8"/>
      <c r="AJ1838" s="8"/>
      <c r="AK1838" s="8"/>
      <c r="AL1838" s="4"/>
      <c r="AM1838" s="5" t="str">
        <f t="shared" si="113"/>
        <v/>
      </c>
      <c r="AN1838" s="5" t="str">
        <f t="shared" si="114"/>
        <v/>
      </c>
      <c r="AO1838" s="18" t="str">
        <f t="shared" si="115"/>
        <v/>
      </c>
      <c r="AP1838" s="19"/>
      <c r="AQ1838" s="20" t="str">
        <f t="shared" si="116"/>
        <v/>
      </c>
      <c r="AR1838" s="21"/>
    </row>
    <row r="1839" spans="2:44" ht="31.5" x14ac:dyDescent="0.5">
      <c r="B1839" s="1"/>
      <c r="C1839" s="15"/>
      <c r="D1839" s="16"/>
      <c r="E1839" s="15"/>
      <c r="F1839" s="17"/>
      <c r="G1839" s="8"/>
      <c r="H1839" s="8"/>
      <c r="I1839" s="8"/>
      <c r="J1839" s="8"/>
      <c r="K1839" s="8"/>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4"/>
      <c r="AM1839" s="5" t="str">
        <f t="shared" si="113"/>
        <v/>
      </c>
      <c r="AN1839" s="5" t="str">
        <f t="shared" si="114"/>
        <v/>
      </c>
      <c r="AO1839" s="18" t="str">
        <f t="shared" si="115"/>
        <v/>
      </c>
      <c r="AP1839" s="19"/>
      <c r="AQ1839" s="20" t="str">
        <f t="shared" si="116"/>
        <v/>
      </c>
      <c r="AR1839" s="21"/>
    </row>
    <row r="1840" spans="2:44" ht="31.5" x14ac:dyDescent="0.5">
      <c r="B1840" s="1"/>
      <c r="C1840" s="15"/>
      <c r="D1840" s="16"/>
      <c r="E1840" s="15"/>
      <c r="F1840" s="17"/>
      <c r="G1840" s="8"/>
      <c r="H1840" s="8"/>
      <c r="I1840" s="8"/>
      <c r="J1840" s="8"/>
      <c r="K1840" s="8"/>
      <c r="L1840" s="8"/>
      <c r="M1840" s="8"/>
      <c r="N1840" s="8"/>
      <c r="O1840" s="8"/>
      <c r="P1840" s="8"/>
      <c r="Q1840" s="8"/>
      <c r="R1840" s="8"/>
      <c r="S1840" s="8"/>
      <c r="T1840" s="8"/>
      <c r="U1840" s="8"/>
      <c r="V1840" s="8"/>
      <c r="W1840" s="8"/>
      <c r="X1840" s="8"/>
      <c r="Y1840" s="8"/>
      <c r="Z1840" s="8"/>
      <c r="AA1840" s="8"/>
      <c r="AB1840" s="8"/>
      <c r="AC1840" s="8"/>
      <c r="AD1840" s="8"/>
      <c r="AE1840" s="8"/>
      <c r="AF1840" s="8"/>
      <c r="AG1840" s="8"/>
      <c r="AH1840" s="8"/>
      <c r="AI1840" s="8"/>
      <c r="AJ1840" s="8"/>
      <c r="AK1840" s="8"/>
      <c r="AL1840" s="4"/>
      <c r="AM1840" s="5" t="str">
        <f t="shared" si="113"/>
        <v/>
      </c>
      <c r="AN1840" s="5" t="str">
        <f t="shared" si="114"/>
        <v/>
      </c>
      <c r="AO1840" s="18" t="str">
        <f t="shared" si="115"/>
        <v/>
      </c>
      <c r="AP1840" s="19"/>
      <c r="AQ1840" s="20" t="str">
        <f t="shared" si="116"/>
        <v/>
      </c>
      <c r="AR1840" s="21"/>
    </row>
    <row r="1841" spans="2:44" ht="31.5" x14ac:dyDescent="0.5">
      <c r="B1841" s="1"/>
      <c r="C1841" s="15"/>
      <c r="D1841" s="16"/>
      <c r="E1841" s="15"/>
      <c r="F1841" s="17"/>
      <c r="G1841" s="8"/>
      <c r="H1841" s="8"/>
      <c r="I1841" s="8"/>
      <c r="J1841" s="8"/>
      <c r="K1841" s="8"/>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4"/>
      <c r="AM1841" s="5" t="str">
        <f t="shared" si="113"/>
        <v/>
      </c>
      <c r="AN1841" s="5" t="str">
        <f t="shared" si="114"/>
        <v/>
      </c>
      <c r="AO1841" s="18" t="str">
        <f t="shared" si="115"/>
        <v/>
      </c>
      <c r="AP1841" s="19"/>
      <c r="AQ1841" s="20" t="str">
        <f t="shared" si="116"/>
        <v/>
      </c>
      <c r="AR1841" s="21"/>
    </row>
    <row r="1842" spans="2:44" ht="31.5" x14ac:dyDescent="0.5">
      <c r="B1842" s="1"/>
      <c r="C1842" s="15"/>
      <c r="D1842" s="16"/>
      <c r="E1842" s="15"/>
      <c r="F1842" s="17"/>
      <c r="G1842" s="8"/>
      <c r="H1842" s="8"/>
      <c r="I1842" s="8"/>
      <c r="J1842" s="8"/>
      <c r="K1842" s="8"/>
      <c r="L1842" s="8"/>
      <c r="M1842" s="8"/>
      <c r="N1842" s="8"/>
      <c r="O1842" s="8"/>
      <c r="P1842" s="8"/>
      <c r="Q1842" s="8"/>
      <c r="R1842" s="8"/>
      <c r="S1842" s="8"/>
      <c r="T1842" s="8"/>
      <c r="U1842" s="8"/>
      <c r="V1842" s="8"/>
      <c r="W1842" s="8"/>
      <c r="X1842" s="8"/>
      <c r="Y1842" s="8"/>
      <c r="Z1842" s="8"/>
      <c r="AA1842" s="8"/>
      <c r="AB1842" s="8"/>
      <c r="AC1842" s="8"/>
      <c r="AD1842" s="8"/>
      <c r="AE1842" s="8"/>
      <c r="AF1842" s="8"/>
      <c r="AG1842" s="8"/>
      <c r="AH1842" s="8"/>
      <c r="AI1842" s="8"/>
      <c r="AJ1842" s="8"/>
      <c r="AK1842" s="8"/>
      <c r="AL1842" s="4"/>
      <c r="AM1842" s="5" t="str">
        <f t="shared" si="113"/>
        <v/>
      </c>
      <c r="AN1842" s="5" t="str">
        <f t="shared" si="114"/>
        <v/>
      </c>
      <c r="AO1842" s="18" t="str">
        <f t="shared" si="115"/>
        <v/>
      </c>
      <c r="AP1842" s="19"/>
      <c r="AQ1842" s="20" t="str">
        <f t="shared" si="116"/>
        <v/>
      </c>
      <c r="AR1842" s="21"/>
    </row>
    <row r="1843" spans="2:44" ht="31.5" x14ac:dyDescent="0.5">
      <c r="B1843" s="1"/>
      <c r="C1843" s="15"/>
      <c r="D1843" s="16"/>
      <c r="E1843" s="15"/>
      <c r="F1843" s="17"/>
      <c r="G1843" s="8"/>
      <c r="H1843" s="8"/>
      <c r="I1843" s="8"/>
      <c r="J1843" s="8"/>
      <c r="K1843" s="8"/>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4"/>
      <c r="AM1843" s="5" t="str">
        <f t="shared" ref="AM1843:AM1906" si="117">IF($B1843="","",COUNTIF($G1843:$AK1843,"P"))</f>
        <v/>
      </c>
      <c r="AN1843" s="5" t="str">
        <f t="shared" ref="AN1843:AN1906" si="118">IF($B1843="","",COUNTIF($G1843:$AK1843,"AB"))</f>
        <v/>
      </c>
      <c r="AO1843" s="18" t="str">
        <f t="shared" ref="AO1843:AO1906" si="119">IF($B1843="","",SUMPRODUCT(--($G$11:$AK$11&lt;&gt;""),--($G$12:$AK$12&lt;&gt;"Sun")))</f>
        <v/>
      </c>
      <c r="AP1843" s="19"/>
      <c r="AQ1843" s="20" t="str">
        <f t="shared" ref="AQ1843:AQ1906" si="120">IF($B1843="","",IF(AO1843=0,"",AM1843/AO1843))</f>
        <v/>
      </c>
      <c r="AR1843" s="21"/>
    </row>
    <row r="1844" spans="2:44" ht="31.5" x14ac:dyDescent="0.5">
      <c r="B1844" s="1"/>
      <c r="C1844" s="15"/>
      <c r="D1844" s="16"/>
      <c r="E1844" s="15"/>
      <c r="F1844" s="17"/>
      <c r="G1844" s="8"/>
      <c r="H1844" s="8"/>
      <c r="I1844" s="8"/>
      <c r="J1844" s="8"/>
      <c r="K1844" s="8"/>
      <c r="L1844" s="8"/>
      <c r="M1844" s="8"/>
      <c r="N1844" s="8"/>
      <c r="O1844" s="8"/>
      <c r="P1844" s="8"/>
      <c r="Q1844" s="8"/>
      <c r="R1844" s="8"/>
      <c r="S1844" s="8"/>
      <c r="T1844" s="8"/>
      <c r="U1844" s="8"/>
      <c r="V1844" s="8"/>
      <c r="W1844" s="8"/>
      <c r="X1844" s="8"/>
      <c r="Y1844" s="8"/>
      <c r="Z1844" s="8"/>
      <c r="AA1844" s="8"/>
      <c r="AB1844" s="8"/>
      <c r="AC1844" s="8"/>
      <c r="AD1844" s="8"/>
      <c r="AE1844" s="8"/>
      <c r="AF1844" s="8"/>
      <c r="AG1844" s="8"/>
      <c r="AH1844" s="8"/>
      <c r="AI1844" s="8"/>
      <c r="AJ1844" s="8"/>
      <c r="AK1844" s="8"/>
      <c r="AL1844" s="4"/>
      <c r="AM1844" s="5" t="str">
        <f t="shared" si="117"/>
        <v/>
      </c>
      <c r="AN1844" s="5" t="str">
        <f t="shared" si="118"/>
        <v/>
      </c>
      <c r="AO1844" s="18" t="str">
        <f t="shared" si="119"/>
        <v/>
      </c>
      <c r="AP1844" s="19"/>
      <c r="AQ1844" s="20" t="str">
        <f t="shared" si="120"/>
        <v/>
      </c>
      <c r="AR1844" s="21"/>
    </row>
    <row r="1845" spans="2:44" ht="31.5" x14ac:dyDescent="0.5">
      <c r="B1845" s="1"/>
      <c r="C1845" s="15"/>
      <c r="D1845" s="16"/>
      <c r="E1845" s="15"/>
      <c r="F1845" s="17"/>
      <c r="G1845" s="8"/>
      <c r="H1845" s="8"/>
      <c r="I1845" s="8"/>
      <c r="J1845" s="8"/>
      <c r="K1845" s="8"/>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4"/>
      <c r="AM1845" s="5" t="str">
        <f t="shared" si="117"/>
        <v/>
      </c>
      <c r="AN1845" s="5" t="str">
        <f t="shared" si="118"/>
        <v/>
      </c>
      <c r="AO1845" s="18" t="str">
        <f t="shared" si="119"/>
        <v/>
      </c>
      <c r="AP1845" s="19"/>
      <c r="AQ1845" s="20" t="str">
        <f t="shared" si="120"/>
        <v/>
      </c>
      <c r="AR1845" s="21"/>
    </row>
    <row r="1846" spans="2:44" ht="31.5" x14ac:dyDescent="0.5">
      <c r="B1846" s="1"/>
      <c r="C1846" s="15"/>
      <c r="D1846" s="16"/>
      <c r="E1846" s="15"/>
      <c r="F1846" s="17"/>
      <c r="G1846" s="8"/>
      <c r="H1846" s="8"/>
      <c r="I1846" s="8"/>
      <c r="J1846" s="8"/>
      <c r="K1846" s="8"/>
      <c r="L1846" s="8"/>
      <c r="M1846" s="8"/>
      <c r="N1846" s="8"/>
      <c r="O1846" s="8"/>
      <c r="P1846" s="8"/>
      <c r="Q1846" s="8"/>
      <c r="R1846" s="8"/>
      <c r="S1846" s="8"/>
      <c r="T1846" s="8"/>
      <c r="U1846" s="8"/>
      <c r="V1846" s="8"/>
      <c r="W1846" s="8"/>
      <c r="X1846" s="8"/>
      <c r="Y1846" s="8"/>
      <c r="Z1846" s="8"/>
      <c r="AA1846" s="8"/>
      <c r="AB1846" s="8"/>
      <c r="AC1846" s="8"/>
      <c r="AD1846" s="8"/>
      <c r="AE1846" s="8"/>
      <c r="AF1846" s="8"/>
      <c r="AG1846" s="8"/>
      <c r="AH1846" s="8"/>
      <c r="AI1846" s="8"/>
      <c r="AJ1846" s="8"/>
      <c r="AK1846" s="8"/>
      <c r="AL1846" s="4"/>
      <c r="AM1846" s="5" t="str">
        <f t="shared" si="117"/>
        <v/>
      </c>
      <c r="AN1846" s="5" t="str">
        <f t="shared" si="118"/>
        <v/>
      </c>
      <c r="AO1846" s="18" t="str">
        <f t="shared" si="119"/>
        <v/>
      </c>
      <c r="AP1846" s="19"/>
      <c r="AQ1846" s="20" t="str">
        <f t="shared" si="120"/>
        <v/>
      </c>
      <c r="AR1846" s="21"/>
    </row>
    <row r="1847" spans="2:44" ht="31.5" x14ac:dyDescent="0.5">
      <c r="B1847" s="1"/>
      <c r="C1847" s="15"/>
      <c r="D1847" s="16"/>
      <c r="E1847" s="15"/>
      <c r="F1847" s="17"/>
      <c r="G1847" s="8"/>
      <c r="H1847" s="8"/>
      <c r="I1847" s="8"/>
      <c r="J1847" s="8"/>
      <c r="K1847" s="8"/>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4"/>
      <c r="AM1847" s="5" t="str">
        <f t="shared" si="117"/>
        <v/>
      </c>
      <c r="AN1847" s="5" t="str">
        <f t="shared" si="118"/>
        <v/>
      </c>
      <c r="AO1847" s="18" t="str">
        <f t="shared" si="119"/>
        <v/>
      </c>
      <c r="AP1847" s="19"/>
      <c r="AQ1847" s="20" t="str">
        <f t="shared" si="120"/>
        <v/>
      </c>
      <c r="AR1847" s="21"/>
    </row>
    <row r="1848" spans="2:44" ht="31.5" x14ac:dyDescent="0.5">
      <c r="B1848" s="1"/>
      <c r="C1848" s="15"/>
      <c r="D1848" s="16"/>
      <c r="E1848" s="15"/>
      <c r="F1848" s="17"/>
      <c r="G1848" s="8"/>
      <c r="H1848" s="8"/>
      <c r="I1848" s="8"/>
      <c r="J1848" s="8"/>
      <c r="K1848" s="8"/>
      <c r="L1848" s="8"/>
      <c r="M1848" s="8"/>
      <c r="N1848" s="8"/>
      <c r="O1848" s="8"/>
      <c r="P1848" s="8"/>
      <c r="Q1848" s="8"/>
      <c r="R1848" s="8"/>
      <c r="S1848" s="8"/>
      <c r="T1848" s="8"/>
      <c r="U1848" s="8"/>
      <c r="V1848" s="8"/>
      <c r="W1848" s="8"/>
      <c r="X1848" s="8"/>
      <c r="Y1848" s="8"/>
      <c r="Z1848" s="8"/>
      <c r="AA1848" s="8"/>
      <c r="AB1848" s="8"/>
      <c r="AC1848" s="8"/>
      <c r="AD1848" s="8"/>
      <c r="AE1848" s="8"/>
      <c r="AF1848" s="8"/>
      <c r="AG1848" s="8"/>
      <c r="AH1848" s="8"/>
      <c r="AI1848" s="8"/>
      <c r="AJ1848" s="8"/>
      <c r="AK1848" s="8"/>
      <c r="AL1848" s="4"/>
      <c r="AM1848" s="5" t="str">
        <f t="shared" si="117"/>
        <v/>
      </c>
      <c r="AN1848" s="5" t="str">
        <f t="shared" si="118"/>
        <v/>
      </c>
      <c r="AO1848" s="18" t="str">
        <f t="shared" si="119"/>
        <v/>
      </c>
      <c r="AP1848" s="19"/>
      <c r="AQ1848" s="20" t="str">
        <f t="shared" si="120"/>
        <v/>
      </c>
      <c r="AR1848" s="21"/>
    </row>
    <row r="1849" spans="2:44" ht="31.5" x14ac:dyDescent="0.5">
      <c r="B1849" s="1"/>
      <c r="C1849" s="15"/>
      <c r="D1849" s="16"/>
      <c r="E1849" s="15"/>
      <c r="F1849" s="17"/>
      <c r="G1849" s="8"/>
      <c r="H1849" s="8"/>
      <c r="I1849" s="8"/>
      <c r="J1849" s="8"/>
      <c r="K1849" s="8"/>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4"/>
      <c r="AM1849" s="5" t="str">
        <f t="shared" si="117"/>
        <v/>
      </c>
      <c r="AN1849" s="5" t="str">
        <f t="shared" si="118"/>
        <v/>
      </c>
      <c r="AO1849" s="18" t="str">
        <f t="shared" si="119"/>
        <v/>
      </c>
      <c r="AP1849" s="19"/>
      <c r="AQ1849" s="20" t="str">
        <f t="shared" si="120"/>
        <v/>
      </c>
      <c r="AR1849" s="21"/>
    </row>
    <row r="1850" spans="2:44" ht="31.5" x14ac:dyDescent="0.5">
      <c r="B1850" s="1"/>
      <c r="C1850" s="15"/>
      <c r="D1850" s="16"/>
      <c r="E1850" s="15"/>
      <c r="F1850" s="17"/>
      <c r="G1850" s="8"/>
      <c r="H1850" s="8"/>
      <c r="I1850" s="8"/>
      <c r="J1850" s="8"/>
      <c r="K1850" s="8"/>
      <c r="L1850" s="8"/>
      <c r="M1850" s="8"/>
      <c r="N1850" s="8"/>
      <c r="O1850" s="8"/>
      <c r="P1850" s="8"/>
      <c r="Q1850" s="8"/>
      <c r="R1850" s="8"/>
      <c r="S1850" s="8"/>
      <c r="T1850" s="8"/>
      <c r="U1850" s="8"/>
      <c r="V1850" s="8"/>
      <c r="W1850" s="8"/>
      <c r="X1850" s="8"/>
      <c r="Y1850" s="8"/>
      <c r="Z1850" s="8"/>
      <c r="AA1850" s="8"/>
      <c r="AB1850" s="8"/>
      <c r="AC1850" s="8"/>
      <c r="AD1850" s="8"/>
      <c r="AE1850" s="8"/>
      <c r="AF1850" s="8"/>
      <c r="AG1850" s="8"/>
      <c r="AH1850" s="8"/>
      <c r="AI1850" s="8"/>
      <c r="AJ1850" s="8"/>
      <c r="AK1850" s="8"/>
      <c r="AL1850" s="4"/>
      <c r="AM1850" s="5" t="str">
        <f t="shared" si="117"/>
        <v/>
      </c>
      <c r="AN1850" s="5" t="str">
        <f t="shared" si="118"/>
        <v/>
      </c>
      <c r="AO1850" s="18" t="str">
        <f t="shared" si="119"/>
        <v/>
      </c>
      <c r="AP1850" s="19"/>
      <c r="AQ1850" s="20" t="str">
        <f t="shared" si="120"/>
        <v/>
      </c>
      <c r="AR1850" s="21"/>
    </row>
    <row r="1851" spans="2:44" ht="31.5" x14ac:dyDescent="0.5">
      <c r="B1851" s="1"/>
      <c r="C1851" s="15"/>
      <c r="D1851" s="16"/>
      <c r="E1851" s="15"/>
      <c r="F1851" s="17"/>
      <c r="G1851" s="8"/>
      <c r="H1851" s="8"/>
      <c r="I1851" s="8"/>
      <c r="J1851" s="8"/>
      <c r="K1851" s="8"/>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4"/>
      <c r="AM1851" s="5" t="str">
        <f t="shared" si="117"/>
        <v/>
      </c>
      <c r="AN1851" s="5" t="str">
        <f t="shared" si="118"/>
        <v/>
      </c>
      <c r="AO1851" s="18" t="str">
        <f t="shared" si="119"/>
        <v/>
      </c>
      <c r="AP1851" s="19"/>
      <c r="AQ1851" s="20" t="str">
        <f t="shared" si="120"/>
        <v/>
      </c>
      <c r="AR1851" s="21"/>
    </row>
    <row r="1852" spans="2:44" ht="31.5" x14ac:dyDescent="0.5">
      <c r="B1852" s="1"/>
      <c r="C1852" s="15"/>
      <c r="D1852" s="16"/>
      <c r="E1852" s="15"/>
      <c r="F1852" s="17"/>
      <c r="G1852" s="8"/>
      <c r="H1852" s="8"/>
      <c r="I1852" s="8"/>
      <c r="J1852" s="8"/>
      <c r="K1852" s="8"/>
      <c r="L1852" s="8"/>
      <c r="M1852" s="8"/>
      <c r="N1852" s="8"/>
      <c r="O1852" s="8"/>
      <c r="P1852" s="8"/>
      <c r="Q1852" s="8"/>
      <c r="R1852" s="8"/>
      <c r="S1852" s="8"/>
      <c r="T1852" s="8"/>
      <c r="U1852" s="8"/>
      <c r="V1852" s="8"/>
      <c r="W1852" s="8"/>
      <c r="X1852" s="8"/>
      <c r="Y1852" s="8"/>
      <c r="Z1852" s="8"/>
      <c r="AA1852" s="8"/>
      <c r="AB1852" s="8"/>
      <c r="AC1852" s="8"/>
      <c r="AD1852" s="8"/>
      <c r="AE1852" s="8"/>
      <c r="AF1852" s="8"/>
      <c r="AG1852" s="8"/>
      <c r="AH1852" s="8"/>
      <c r="AI1852" s="8"/>
      <c r="AJ1852" s="8"/>
      <c r="AK1852" s="8"/>
      <c r="AL1852" s="4"/>
      <c r="AM1852" s="5" t="str">
        <f t="shared" si="117"/>
        <v/>
      </c>
      <c r="AN1852" s="5" t="str">
        <f t="shared" si="118"/>
        <v/>
      </c>
      <c r="AO1852" s="18" t="str">
        <f t="shared" si="119"/>
        <v/>
      </c>
      <c r="AP1852" s="19"/>
      <c r="AQ1852" s="20" t="str">
        <f t="shared" si="120"/>
        <v/>
      </c>
      <c r="AR1852" s="21"/>
    </row>
    <row r="1853" spans="2:44" ht="31.5" x14ac:dyDescent="0.5">
      <c r="B1853" s="1"/>
      <c r="C1853" s="15"/>
      <c r="D1853" s="16"/>
      <c r="E1853" s="15"/>
      <c r="F1853" s="17"/>
      <c r="G1853" s="8"/>
      <c r="H1853" s="8"/>
      <c r="I1853" s="8"/>
      <c r="J1853" s="8"/>
      <c r="K1853" s="8"/>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4"/>
      <c r="AM1853" s="5" t="str">
        <f t="shared" si="117"/>
        <v/>
      </c>
      <c r="AN1853" s="5" t="str">
        <f t="shared" si="118"/>
        <v/>
      </c>
      <c r="AO1853" s="18" t="str">
        <f t="shared" si="119"/>
        <v/>
      </c>
      <c r="AP1853" s="19"/>
      <c r="AQ1853" s="20" t="str">
        <f t="shared" si="120"/>
        <v/>
      </c>
      <c r="AR1853" s="21"/>
    </row>
    <row r="1854" spans="2:44" ht="31.5" x14ac:dyDescent="0.5">
      <c r="B1854" s="1"/>
      <c r="C1854" s="15"/>
      <c r="D1854" s="16"/>
      <c r="E1854" s="15"/>
      <c r="F1854" s="17"/>
      <c r="G1854" s="8"/>
      <c r="H1854" s="8"/>
      <c r="I1854" s="8"/>
      <c r="J1854" s="8"/>
      <c r="K1854" s="8"/>
      <c r="L1854" s="8"/>
      <c r="M1854" s="8"/>
      <c r="N1854" s="8"/>
      <c r="O1854" s="8"/>
      <c r="P1854" s="8"/>
      <c r="Q1854" s="8"/>
      <c r="R1854" s="8"/>
      <c r="S1854" s="8"/>
      <c r="T1854" s="8"/>
      <c r="U1854" s="8"/>
      <c r="V1854" s="8"/>
      <c r="W1854" s="8"/>
      <c r="X1854" s="8"/>
      <c r="Y1854" s="8"/>
      <c r="Z1854" s="8"/>
      <c r="AA1854" s="8"/>
      <c r="AB1854" s="8"/>
      <c r="AC1854" s="8"/>
      <c r="AD1854" s="8"/>
      <c r="AE1854" s="8"/>
      <c r="AF1854" s="8"/>
      <c r="AG1854" s="8"/>
      <c r="AH1854" s="8"/>
      <c r="AI1854" s="8"/>
      <c r="AJ1854" s="8"/>
      <c r="AK1854" s="8"/>
      <c r="AL1854" s="4"/>
      <c r="AM1854" s="5" t="str">
        <f t="shared" si="117"/>
        <v/>
      </c>
      <c r="AN1854" s="5" t="str">
        <f t="shared" si="118"/>
        <v/>
      </c>
      <c r="AO1854" s="18" t="str">
        <f t="shared" si="119"/>
        <v/>
      </c>
      <c r="AP1854" s="19"/>
      <c r="AQ1854" s="20" t="str">
        <f t="shared" si="120"/>
        <v/>
      </c>
      <c r="AR1854" s="21"/>
    </row>
    <row r="1855" spans="2:44" ht="31.5" x14ac:dyDescent="0.5">
      <c r="B1855" s="1"/>
      <c r="C1855" s="15"/>
      <c r="D1855" s="16"/>
      <c r="E1855" s="15"/>
      <c r="F1855" s="17"/>
      <c r="G1855" s="8"/>
      <c r="H1855" s="8"/>
      <c r="I1855" s="8"/>
      <c r="J1855" s="8"/>
      <c r="K1855" s="8"/>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4"/>
      <c r="AM1855" s="5" t="str">
        <f t="shared" si="117"/>
        <v/>
      </c>
      <c r="AN1855" s="5" t="str">
        <f t="shared" si="118"/>
        <v/>
      </c>
      <c r="AO1855" s="18" t="str">
        <f t="shared" si="119"/>
        <v/>
      </c>
      <c r="AP1855" s="19"/>
      <c r="AQ1855" s="20" t="str">
        <f t="shared" si="120"/>
        <v/>
      </c>
      <c r="AR1855" s="21"/>
    </row>
    <row r="1856" spans="2:44" ht="31.5" x14ac:dyDescent="0.5">
      <c r="B1856" s="1"/>
      <c r="C1856" s="15"/>
      <c r="D1856" s="16"/>
      <c r="E1856" s="15"/>
      <c r="F1856" s="17"/>
      <c r="G1856" s="8"/>
      <c r="H1856" s="8"/>
      <c r="I1856" s="8"/>
      <c r="J1856" s="8"/>
      <c r="K1856" s="8"/>
      <c r="L1856" s="8"/>
      <c r="M1856" s="8"/>
      <c r="N1856" s="8"/>
      <c r="O1856" s="8"/>
      <c r="P1856" s="8"/>
      <c r="Q1856" s="8"/>
      <c r="R1856" s="8"/>
      <c r="S1856" s="8"/>
      <c r="T1856" s="8"/>
      <c r="U1856" s="8"/>
      <c r="V1856" s="8"/>
      <c r="W1856" s="8"/>
      <c r="X1856" s="8"/>
      <c r="Y1856" s="8"/>
      <c r="Z1856" s="8"/>
      <c r="AA1856" s="8"/>
      <c r="AB1856" s="8"/>
      <c r="AC1856" s="8"/>
      <c r="AD1856" s="8"/>
      <c r="AE1856" s="8"/>
      <c r="AF1856" s="8"/>
      <c r="AG1856" s="8"/>
      <c r="AH1856" s="8"/>
      <c r="AI1856" s="8"/>
      <c r="AJ1856" s="8"/>
      <c r="AK1856" s="8"/>
      <c r="AL1856" s="4"/>
      <c r="AM1856" s="5" t="str">
        <f t="shared" si="117"/>
        <v/>
      </c>
      <c r="AN1856" s="5" t="str">
        <f t="shared" si="118"/>
        <v/>
      </c>
      <c r="AO1856" s="18" t="str">
        <f t="shared" si="119"/>
        <v/>
      </c>
      <c r="AP1856" s="19"/>
      <c r="AQ1856" s="20" t="str">
        <f t="shared" si="120"/>
        <v/>
      </c>
      <c r="AR1856" s="21"/>
    </row>
    <row r="1857" spans="2:44" ht="31.5" x14ac:dyDescent="0.5">
      <c r="B1857" s="1"/>
      <c r="C1857" s="15"/>
      <c r="D1857" s="16"/>
      <c r="E1857" s="15"/>
      <c r="F1857" s="17"/>
      <c r="G1857" s="8"/>
      <c r="H1857" s="8"/>
      <c r="I1857" s="8"/>
      <c r="J1857" s="8"/>
      <c r="K1857" s="8"/>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4"/>
      <c r="AM1857" s="5" t="str">
        <f t="shared" si="117"/>
        <v/>
      </c>
      <c r="AN1857" s="5" t="str">
        <f t="shared" si="118"/>
        <v/>
      </c>
      <c r="AO1857" s="18" t="str">
        <f t="shared" si="119"/>
        <v/>
      </c>
      <c r="AP1857" s="19"/>
      <c r="AQ1857" s="20" t="str">
        <f t="shared" si="120"/>
        <v/>
      </c>
      <c r="AR1857" s="21"/>
    </row>
    <row r="1858" spans="2:44" ht="31.5" x14ac:dyDescent="0.5">
      <c r="B1858" s="1"/>
      <c r="C1858" s="15"/>
      <c r="D1858" s="16"/>
      <c r="E1858" s="15"/>
      <c r="F1858" s="17"/>
      <c r="G1858" s="8"/>
      <c r="H1858" s="8"/>
      <c r="I1858" s="8"/>
      <c r="J1858" s="8"/>
      <c r="K1858" s="8"/>
      <c r="L1858" s="8"/>
      <c r="M1858" s="8"/>
      <c r="N1858" s="8"/>
      <c r="O1858" s="8"/>
      <c r="P1858" s="8"/>
      <c r="Q1858" s="8"/>
      <c r="R1858" s="8"/>
      <c r="S1858" s="8"/>
      <c r="T1858" s="8"/>
      <c r="U1858" s="8"/>
      <c r="V1858" s="8"/>
      <c r="W1858" s="8"/>
      <c r="X1858" s="8"/>
      <c r="Y1858" s="8"/>
      <c r="Z1858" s="8"/>
      <c r="AA1858" s="8"/>
      <c r="AB1858" s="8"/>
      <c r="AC1858" s="8"/>
      <c r="AD1858" s="8"/>
      <c r="AE1858" s="8"/>
      <c r="AF1858" s="8"/>
      <c r="AG1858" s="8"/>
      <c r="AH1858" s="8"/>
      <c r="AI1858" s="8"/>
      <c r="AJ1858" s="8"/>
      <c r="AK1858" s="8"/>
      <c r="AL1858" s="4"/>
      <c r="AM1858" s="5" t="str">
        <f t="shared" si="117"/>
        <v/>
      </c>
      <c r="AN1858" s="5" t="str">
        <f t="shared" si="118"/>
        <v/>
      </c>
      <c r="AO1858" s="18" t="str">
        <f t="shared" si="119"/>
        <v/>
      </c>
      <c r="AP1858" s="19"/>
      <c r="AQ1858" s="20" t="str">
        <f t="shared" si="120"/>
        <v/>
      </c>
      <c r="AR1858" s="21"/>
    </row>
    <row r="1859" spans="2:44" ht="31.5" x14ac:dyDescent="0.5">
      <c r="B1859" s="1"/>
      <c r="C1859" s="15"/>
      <c r="D1859" s="16"/>
      <c r="E1859" s="15"/>
      <c r="F1859" s="17"/>
      <c r="G1859" s="8"/>
      <c r="H1859" s="8"/>
      <c r="I1859" s="8"/>
      <c r="J1859" s="8"/>
      <c r="K1859" s="8"/>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4"/>
      <c r="AM1859" s="5" t="str">
        <f t="shared" si="117"/>
        <v/>
      </c>
      <c r="AN1859" s="5" t="str">
        <f t="shared" si="118"/>
        <v/>
      </c>
      <c r="AO1859" s="18" t="str">
        <f t="shared" si="119"/>
        <v/>
      </c>
      <c r="AP1859" s="19"/>
      <c r="AQ1859" s="20" t="str">
        <f t="shared" si="120"/>
        <v/>
      </c>
      <c r="AR1859" s="21"/>
    </row>
    <row r="1860" spans="2:44" ht="31.5" x14ac:dyDescent="0.5">
      <c r="B1860" s="1"/>
      <c r="C1860" s="15"/>
      <c r="D1860" s="16"/>
      <c r="E1860" s="15"/>
      <c r="F1860" s="17"/>
      <c r="G1860" s="8"/>
      <c r="H1860" s="8"/>
      <c r="I1860" s="8"/>
      <c r="J1860" s="8"/>
      <c r="K1860" s="8"/>
      <c r="L1860" s="8"/>
      <c r="M1860" s="8"/>
      <c r="N1860" s="8"/>
      <c r="O1860" s="8"/>
      <c r="P1860" s="8"/>
      <c r="Q1860" s="8"/>
      <c r="R1860" s="8"/>
      <c r="S1860" s="8"/>
      <c r="T1860" s="8"/>
      <c r="U1860" s="8"/>
      <c r="V1860" s="8"/>
      <c r="W1860" s="8"/>
      <c r="X1860" s="8"/>
      <c r="Y1860" s="8"/>
      <c r="Z1860" s="8"/>
      <c r="AA1860" s="8"/>
      <c r="AB1860" s="8"/>
      <c r="AC1860" s="8"/>
      <c r="AD1860" s="8"/>
      <c r="AE1860" s="8"/>
      <c r="AF1860" s="8"/>
      <c r="AG1860" s="8"/>
      <c r="AH1860" s="8"/>
      <c r="AI1860" s="8"/>
      <c r="AJ1860" s="8"/>
      <c r="AK1860" s="8"/>
      <c r="AL1860" s="4"/>
      <c r="AM1860" s="5" t="str">
        <f t="shared" si="117"/>
        <v/>
      </c>
      <c r="AN1860" s="5" t="str">
        <f t="shared" si="118"/>
        <v/>
      </c>
      <c r="AO1860" s="18" t="str">
        <f t="shared" si="119"/>
        <v/>
      </c>
      <c r="AP1860" s="19"/>
      <c r="AQ1860" s="20" t="str">
        <f t="shared" si="120"/>
        <v/>
      </c>
      <c r="AR1860" s="21"/>
    </row>
    <row r="1861" spans="2:44" ht="31.5" x14ac:dyDescent="0.5">
      <c r="B1861" s="1"/>
      <c r="C1861" s="15"/>
      <c r="D1861" s="16"/>
      <c r="E1861" s="15"/>
      <c r="F1861" s="17"/>
      <c r="G1861" s="8"/>
      <c r="H1861" s="8"/>
      <c r="I1861" s="8"/>
      <c r="J1861" s="8"/>
      <c r="K1861" s="8"/>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4"/>
      <c r="AM1861" s="5" t="str">
        <f t="shared" si="117"/>
        <v/>
      </c>
      <c r="AN1861" s="5" t="str">
        <f t="shared" si="118"/>
        <v/>
      </c>
      <c r="AO1861" s="18" t="str">
        <f t="shared" si="119"/>
        <v/>
      </c>
      <c r="AP1861" s="19"/>
      <c r="AQ1861" s="20" t="str">
        <f t="shared" si="120"/>
        <v/>
      </c>
      <c r="AR1861" s="21"/>
    </row>
    <row r="1862" spans="2:44" ht="31.5" x14ac:dyDescent="0.5">
      <c r="B1862" s="1"/>
      <c r="C1862" s="15"/>
      <c r="D1862" s="16"/>
      <c r="E1862" s="15"/>
      <c r="F1862" s="17"/>
      <c r="G1862" s="8"/>
      <c r="H1862" s="8"/>
      <c r="I1862" s="8"/>
      <c r="J1862" s="8"/>
      <c r="K1862" s="8"/>
      <c r="L1862" s="8"/>
      <c r="M1862" s="8"/>
      <c r="N1862" s="8"/>
      <c r="O1862" s="8"/>
      <c r="P1862" s="8"/>
      <c r="Q1862" s="8"/>
      <c r="R1862" s="8"/>
      <c r="S1862" s="8"/>
      <c r="T1862" s="8"/>
      <c r="U1862" s="8"/>
      <c r="V1862" s="8"/>
      <c r="W1862" s="8"/>
      <c r="X1862" s="8"/>
      <c r="Y1862" s="8"/>
      <c r="Z1862" s="8"/>
      <c r="AA1862" s="8"/>
      <c r="AB1862" s="8"/>
      <c r="AC1862" s="8"/>
      <c r="AD1862" s="8"/>
      <c r="AE1862" s="8"/>
      <c r="AF1862" s="8"/>
      <c r="AG1862" s="8"/>
      <c r="AH1862" s="8"/>
      <c r="AI1862" s="8"/>
      <c r="AJ1862" s="8"/>
      <c r="AK1862" s="8"/>
      <c r="AL1862" s="4"/>
      <c r="AM1862" s="5" t="str">
        <f t="shared" si="117"/>
        <v/>
      </c>
      <c r="AN1862" s="5" t="str">
        <f t="shared" si="118"/>
        <v/>
      </c>
      <c r="AO1862" s="18" t="str">
        <f t="shared" si="119"/>
        <v/>
      </c>
      <c r="AP1862" s="19"/>
      <c r="AQ1862" s="20" t="str">
        <f t="shared" si="120"/>
        <v/>
      </c>
      <c r="AR1862" s="21"/>
    </row>
    <row r="1863" spans="2:44" ht="31.5" x14ac:dyDescent="0.5">
      <c r="B1863" s="1"/>
      <c r="C1863" s="15"/>
      <c r="D1863" s="16"/>
      <c r="E1863" s="15"/>
      <c r="F1863" s="17"/>
      <c r="G1863" s="8"/>
      <c r="H1863" s="8"/>
      <c r="I1863" s="8"/>
      <c r="J1863" s="8"/>
      <c r="K1863" s="8"/>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4"/>
      <c r="AM1863" s="5" t="str">
        <f t="shared" si="117"/>
        <v/>
      </c>
      <c r="AN1863" s="5" t="str">
        <f t="shared" si="118"/>
        <v/>
      </c>
      <c r="AO1863" s="18" t="str">
        <f t="shared" si="119"/>
        <v/>
      </c>
      <c r="AP1863" s="19"/>
      <c r="AQ1863" s="20" t="str">
        <f t="shared" si="120"/>
        <v/>
      </c>
      <c r="AR1863" s="21"/>
    </row>
    <row r="1864" spans="2:44" ht="31.5" x14ac:dyDescent="0.5">
      <c r="B1864" s="1"/>
      <c r="C1864" s="15"/>
      <c r="D1864" s="16"/>
      <c r="E1864" s="15"/>
      <c r="F1864" s="17"/>
      <c r="G1864" s="8"/>
      <c r="H1864" s="8"/>
      <c r="I1864" s="8"/>
      <c r="J1864" s="8"/>
      <c r="K1864" s="8"/>
      <c r="L1864" s="8"/>
      <c r="M1864" s="8"/>
      <c r="N1864" s="8"/>
      <c r="O1864" s="8"/>
      <c r="P1864" s="8"/>
      <c r="Q1864" s="8"/>
      <c r="R1864" s="8"/>
      <c r="S1864" s="8"/>
      <c r="T1864" s="8"/>
      <c r="U1864" s="8"/>
      <c r="V1864" s="8"/>
      <c r="W1864" s="8"/>
      <c r="X1864" s="8"/>
      <c r="Y1864" s="8"/>
      <c r="Z1864" s="8"/>
      <c r="AA1864" s="8"/>
      <c r="AB1864" s="8"/>
      <c r="AC1864" s="8"/>
      <c r="AD1864" s="8"/>
      <c r="AE1864" s="8"/>
      <c r="AF1864" s="8"/>
      <c r="AG1864" s="8"/>
      <c r="AH1864" s="8"/>
      <c r="AI1864" s="8"/>
      <c r="AJ1864" s="8"/>
      <c r="AK1864" s="8"/>
      <c r="AL1864" s="4"/>
      <c r="AM1864" s="5" t="str">
        <f t="shared" si="117"/>
        <v/>
      </c>
      <c r="AN1864" s="5" t="str">
        <f t="shared" si="118"/>
        <v/>
      </c>
      <c r="AO1864" s="18" t="str">
        <f t="shared" si="119"/>
        <v/>
      </c>
      <c r="AP1864" s="19"/>
      <c r="AQ1864" s="20" t="str">
        <f t="shared" si="120"/>
        <v/>
      </c>
      <c r="AR1864" s="21"/>
    </row>
    <row r="1865" spans="2:44" ht="31.5" x14ac:dyDescent="0.5">
      <c r="B1865" s="1"/>
      <c r="C1865" s="15"/>
      <c r="D1865" s="16"/>
      <c r="E1865" s="15"/>
      <c r="F1865" s="17"/>
      <c r="G1865" s="8"/>
      <c r="H1865" s="8"/>
      <c r="I1865" s="8"/>
      <c r="J1865" s="8"/>
      <c r="K1865" s="8"/>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4"/>
      <c r="AM1865" s="5" t="str">
        <f t="shared" si="117"/>
        <v/>
      </c>
      <c r="AN1865" s="5" t="str">
        <f t="shared" si="118"/>
        <v/>
      </c>
      <c r="AO1865" s="18" t="str">
        <f t="shared" si="119"/>
        <v/>
      </c>
      <c r="AP1865" s="19"/>
      <c r="AQ1865" s="20" t="str">
        <f t="shared" si="120"/>
        <v/>
      </c>
      <c r="AR1865" s="21"/>
    </row>
    <row r="1866" spans="2:44" ht="31.5" x14ac:dyDescent="0.5">
      <c r="B1866" s="1"/>
      <c r="C1866" s="15"/>
      <c r="D1866" s="16"/>
      <c r="E1866" s="15"/>
      <c r="F1866" s="17"/>
      <c r="G1866" s="8"/>
      <c r="H1866" s="8"/>
      <c r="I1866" s="8"/>
      <c r="J1866" s="8"/>
      <c r="K1866" s="8"/>
      <c r="L1866" s="8"/>
      <c r="M1866" s="8"/>
      <c r="N1866" s="8"/>
      <c r="O1866" s="8"/>
      <c r="P1866" s="8"/>
      <c r="Q1866" s="8"/>
      <c r="R1866" s="8"/>
      <c r="S1866" s="8"/>
      <c r="T1866" s="8"/>
      <c r="U1866" s="8"/>
      <c r="V1866" s="8"/>
      <c r="W1866" s="8"/>
      <c r="X1866" s="8"/>
      <c r="Y1866" s="8"/>
      <c r="Z1866" s="8"/>
      <c r="AA1866" s="8"/>
      <c r="AB1866" s="8"/>
      <c r="AC1866" s="8"/>
      <c r="AD1866" s="8"/>
      <c r="AE1866" s="8"/>
      <c r="AF1866" s="8"/>
      <c r="AG1866" s="8"/>
      <c r="AH1866" s="8"/>
      <c r="AI1866" s="8"/>
      <c r="AJ1866" s="8"/>
      <c r="AK1866" s="8"/>
      <c r="AL1866" s="4"/>
      <c r="AM1866" s="5" t="str">
        <f t="shared" si="117"/>
        <v/>
      </c>
      <c r="AN1866" s="5" t="str">
        <f t="shared" si="118"/>
        <v/>
      </c>
      <c r="AO1866" s="18" t="str">
        <f t="shared" si="119"/>
        <v/>
      </c>
      <c r="AP1866" s="19"/>
      <c r="AQ1866" s="20" t="str">
        <f t="shared" si="120"/>
        <v/>
      </c>
      <c r="AR1866" s="21"/>
    </row>
    <row r="1867" spans="2:44" ht="31.5" x14ac:dyDescent="0.5">
      <c r="B1867" s="1"/>
      <c r="C1867" s="15"/>
      <c r="D1867" s="16"/>
      <c r="E1867" s="15"/>
      <c r="F1867" s="17"/>
      <c r="G1867" s="8"/>
      <c r="H1867" s="8"/>
      <c r="I1867" s="8"/>
      <c r="J1867" s="8"/>
      <c r="K1867" s="8"/>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4"/>
      <c r="AM1867" s="5" t="str">
        <f t="shared" si="117"/>
        <v/>
      </c>
      <c r="AN1867" s="5" t="str">
        <f t="shared" si="118"/>
        <v/>
      </c>
      <c r="AO1867" s="18" t="str">
        <f t="shared" si="119"/>
        <v/>
      </c>
      <c r="AP1867" s="19"/>
      <c r="AQ1867" s="20" t="str">
        <f t="shared" si="120"/>
        <v/>
      </c>
      <c r="AR1867" s="21"/>
    </row>
    <row r="1868" spans="2:44" ht="31.5" x14ac:dyDescent="0.5">
      <c r="B1868" s="1"/>
      <c r="C1868" s="15"/>
      <c r="D1868" s="16"/>
      <c r="E1868" s="15"/>
      <c r="F1868" s="17"/>
      <c r="G1868" s="8"/>
      <c r="H1868" s="8"/>
      <c r="I1868" s="8"/>
      <c r="J1868" s="8"/>
      <c r="K1868" s="8"/>
      <c r="L1868" s="8"/>
      <c r="M1868" s="8"/>
      <c r="N1868" s="8"/>
      <c r="O1868" s="8"/>
      <c r="P1868" s="8"/>
      <c r="Q1868" s="8"/>
      <c r="R1868" s="8"/>
      <c r="S1868" s="8"/>
      <c r="T1868" s="8"/>
      <c r="U1868" s="8"/>
      <c r="V1868" s="8"/>
      <c r="W1868" s="8"/>
      <c r="X1868" s="8"/>
      <c r="Y1868" s="8"/>
      <c r="Z1868" s="8"/>
      <c r="AA1868" s="8"/>
      <c r="AB1868" s="8"/>
      <c r="AC1868" s="8"/>
      <c r="AD1868" s="8"/>
      <c r="AE1868" s="8"/>
      <c r="AF1868" s="8"/>
      <c r="AG1868" s="8"/>
      <c r="AH1868" s="8"/>
      <c r="AI1868" s="8"/>
      <c r="AJ1868" s="8"/>
      <c r="AK1868" s="8"/>
      <c r="AL1868" s="4"/>
      <c r="AM1868" s="5" t="str">
        <f t="shared" si="117"/>
        <v/>
      </c>
      <c r="AN1868" s="5" t="str">
        <f t="shared" si="118"/>
        <v/>
      </c>
      <c r="AO1868" s="18" t="str">
        <f t="shared" si="119"/>
        <v/>
      </c>
      <c r="AP1868" s="19"/>
      <c r="AQ1868" s="20" t="str">
        <f t="shared" si="120"/>
        <v/>
      </c>
      <c r="AR1868" s="21"/>
    </row>
    <row r="1869" spans="2:44" ht="31.5" x14ac:dyDescent="0.5">
      <c r="B1869" s="1"/>
      <c r="C1869" s="15"/>
      <c r="D1869" s="16"/>
      <c r="E1869" s="15"/>
      <c r="F1869" s="17"/>
      <c r="G1869" s="8"/>
      <c r="H1869" s="8"/>
      <c r="I1869" s="8"/>
      <c r="J1869" s="8"/>
      <c r="K1869" s="8"/>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4"/>
      <c r="AM1869" s="5" t="str">
        <f t="shared" si="117"/>
        <v/>
      </c>
      <c r="AN1869" s="5" t="str">
        <f t="shared" si="118"/>
        <v/>
      </c>
      <c r="AO1869" s="18" t="str">
        <f t="shared" si="119"/>
        <v/>
      </c>
      <c r="AP1869" s="19"/>
      <c r="AQ1869" s="20" t="str">
        <f t="shared" si="120"/>
        <v/>
      </c>
      <c r="AR1869" s="21"/>
    </row>
    <row r="1870" spans="2:44" ht="31.5" x14ac:dyDescent="0.5">
      <c r="B1870" s="1"/>
      <c r="C1870" s="15"/>
      <c r="D1870" s="16"/>
      <c r="E1870" s="15"/>
      <c r="F1870" s="17"/>
      <c r="G1870" s="8"/>
      <c r="H1870" s="8"/>
      <c r="I1870" s="8"/>
      <c r="J1870" s="8"/>
      <c r="K1870" s="8"/>
      <c r="L1870" s="8"/>
      <c r="M1870" s="8"/>
      <c r="N1870" s="8"/>
      <c r="O1870" s="8"/>
      <c r="P1870" s="8"/>
      <c r="Q1870" s="8"/>
      <c r="R1870" s="8"/>
      <c r="S1870" s="8"/>
      <c r="T1870" s="8"/>
      <c r="U1870" s="8"/>
      <c r="V1870" s="8"/>
      <c r="W1870" s="8"/>
      <c r="X1870" s="8"/>
      <c r="Y1870" s="8"/>
      <c r="Z1870" s="8"/>
      <c r="AA1870" s="8"/>
      <c r="AB1870" s="8"/>
      <c r="AC1870" s="8"/>
      <c r="AD1870" s="8"/>
      <c r="AE1870" s="8"/>
      <c r="AF1870" s="8"/>
      <c r="AG1870" s="8"/>
      <c r="AH1870" s="8"/>
      <c r="AI1870" s="8"/>
      <c r="AJ1870" s="8"/>
      <c r="AK1870" s="8"/>
      <c r="AL1870" s="4"/>
      <c r="AM1870" s="5" t="str">
        <f t="shared" si="117"/>
        <v/>
      </c>
      <c r="AN1870" s="5" t="str">
        <f t="shared" si="118"/>
        <v/>
      </c>
      <c r="AO1870" s="18" t="str">
        <f t="shared" si="119"/>
        <v/>
      </c>
      <c r="AP1870" s="19"/>
      <c r="AQ1870" s="20" t="str">
        <f t="shared" si="120"/>
        <v/>
      </c>
      <c r="AR1870" s="21"/>
    </row>
    <row r="1871" spans="2:44" ht="31.5" x14ac:dyDescent="0.5">
      <c r="B1871" s="1"/>
      <c r="C1871" s="15"/>
      <c r="D1871" s="16"/>
      <c r="E1871" s="15"/>
      <c r="F1871" s="17"/>
      <c r="G1871" s="8"/>
      <c r="H1871" s="8"/>
      <c r="I1871" s="8"/>
      <c r="J1871" s="8"/>
      <c r="K1871" s="8"/>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4"/>
      <c r="AM1871" s="5" t="str">
        <f t="shared" si="117"/>
        <v/>
      </c>
      <c r="AN1871" s="5" t="str">
        <f t="shared" si="118"/>
        <v/>
      </c>
      <c r="AO1871" s="18" t="str">
        <f t="shared" si="119"/>
        <v/>
      </c>
      <c r="AP1871" s="19"/>
      <c r="AQ1871" s="20" t="str">
        <f t="shared" si="120"/>
        <v/>
      </c>
      <c r="AR1871" s="21"/>
    </row>
    <row r="1872" spans="2:44" ht="31.5" x14ac:dyDescent="0.5">
      <c r="B1872" s="1"/>
      <c r="C1872" s="15"/>
      <c r="D1872" s="16"/>
      <c r="E1872" s="15"/>
      <c r="F1872" s="17"/>
      <c r="G1872" s="8"/>
      <c r="H1872" s="8"/>
      <c r="I1872" s="8"/>
      <c r="J1872" s="8"/>
      <c r="K1872" s="8"/>
      <c r="L1872" s="8"/>
      <c r="M1872" s="8"/>
      <c r="N1872" s="8"/>
      <c r="O1872" s="8"/>
      <c r="P1872" s="8"/>
      <c r="Q1872" s="8"/>
      <c r="R1872" s="8"/>
      <c r="S1872" s="8"/>
      <c r="T1872" s="8"/>
      <c r="U1872" s="8"/>
      <c r="V1872" s="8"/>
      <c r="W1872" s="8"/>
      <c r="X1872" s="8"/>
      <c r="Y1872" s="8"/>
      <c r="Z1872" s="8"/>
      <c r="AA1872" s="8"/>
      <c r="AB1872" s="8"/>
      <c r="AC1872" s="8"/>
      <c r="AD1872" s="8"/>
      <c r="AE1872" s="8"/>
      <c r="AF1872" s="8"/>
      <c r="AG1872" s="8"/>
      <c r="AH1872" s="8"/>
      <c r="AI1872" s="8"/>
      <c r="AJ1872" s="8"/>
      <c r="AK1872" s="8"/>
      <c r="AL1872" s="4"/>
      <c r="AM1872" s="5" t="str">
        <f t="shared" si="117"/>
        <v/>
      </c>
      <c r="AN1872" s="5" t="str">
        <f t="shared" si="118"/>
        <v/>
      </c>
      <c r="AO1872" s="18" t="str">
        <f t="shared" si="119"/>
        <v/>
      </c>
      <c r="AP1872" s="19"/>
      <c r="AQ1872" s="20" t="str">
        <f t="shared" si="120"/>
        <v/>
      </c>
      <c r="AR1872" s="21"/>
    </row>
    <row r="1873" spans="2:44" ht="31.5" x14ac:dyDescent="0.5">
      <c r="B1873" s="1"/>
      <c r="C1873" s="15"/>
      <c r="D1873" s="16"/>
      <c r="E1873" s="15"/>
      <c r="F1873" s="17"/>
      <c r="G1873" s="8"/>
      <c r="H1873" s="8"/>
      <c r="I1873" s="8"/>
      <c r="J1873" s="8"/>
      <c r="K1873" s="8"/>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4"/>
      <c r="AM1873" s="5" t="str">
        <f t="shared" si="117"/>
        <v/>
      </c>
      <c r="AN1873" s="5" t="str">
        <f t="shared" si="118"/>
        <v/>
      </c>
      <c r="AO1873" s="18" t="str">
        <f t="shared" si="119"/>
        <v/>
      </c>
      <c r="AP1873" s="19"/>
      <c r="AQ1873" s="20" t="str">
        <f t="shared" si="120"/>
        <v/>
      </c>
      <c r="AR1873" s="21"/>
    </row>
    <row r="1874" spans="2:44" ht="31.5" x14ac:dyDescent="0.5">
      <c r="B1874" s="1"/>
      <c r="C1874" s="15"/>
      <c r="D1874" s="16"/>
      <c r="E1874" s="15"/>
      <c r="F1874" s="17"/>
      <c r="G1874" s="8"/>
      <c r="H1874" s="8"/>
      <c r="I1874" s="8"/>
      <c r="J1874" s="8"/>
      <c r="K1874" s="8"/>
      <c r="L1874" s="8"/>
      <c r="M1874" s="8"/>
      <c r="N1874" s="8"/>
      <c r="O1874" s="8"/>
      <c r="P1874" s="8"/>
      <c r="Q1874" s="8"/>
      <c r="R1874" s="8"/>
      <c r="S1874" s="8"/>
      <c r="T1874" s="8"/>
      <c r="U1874" s="8"/>
      <c r="V1874" s="8"/>
      <c r="W1874" s="8"/>
      <c r="X1874" s="8"/>
      <c r="Y1874" s="8"/>
      <c r="Z1874" s="8"/>
      <c r="AA1874" s="8"/>
      <c r="AB1874" s="8"/>
      <c r="AC1874" s="8"/>
      <c r="AD1874" s="8"/>
      <c r="AE1874" s="8"/>
      <c r="AF1874" s="8"/>
      <c r="AG1874" s="8"/>
      <c r="AH1874" s="8"/>
      <c r="AI1874" s="8"/>
      <c r="AJ1874" s="8"/>
      <c r="AK1874" s="8"/>
      <c r="AL1874" s="4"/>
      <c r="AM1874" s="5" t="str">
        <f t="shared" si="117"/>
        <v/>
      </c>
      <c r="AN1874" s="5" t="str">
        <f t="shared" si="118"/>
        <v/>
      </c>
      <c r="AO1874" s="18" t="str">
        <f t="shared" si="119"/>
        <v/>
      </c>
      <c r="AP1874" s="19"/>
      <c r="AQ1874" s="20" t="str">
        <f t="shared" si="120"/>
        <v/>
      </c>
      <c r="AR1874" s="21"/>
    </row>
    <row r="1875" spans="2:44" ht="31.5" x14ac:dyDescent="0.5">
      <c r="B1875" s="1"/>
      <c r="C1875" s="15"/>
      <c r="D1875" s="16"/>
      <c r="E1875" s="15"/>
      <c r="F1875" s="17"/>
      <c r="G1875" s="8"/>
      <c r="H1875" s="8"/>
      <c r="I1875" s="8"/>
      <c r="J1875" s="8"/>
      <c r="K1875" s="8"/>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4"/>
      <c r="AM1875" s="5" t="str">
        <f t="shared" si="117"/>
        <v/>
      </c>
      <c r="AN1875" s="5" t="str">
        <f t="shared" si="118"/>
        <v/>
      </c>
      <c r="AO1875" s="18" t="str">
        <f t="shared" si="119"/>
        <v/>
      </c>
      <c r="AP1875" s="19"/>
      <c r="AQ1875" s="20" t="str">
        <f t="shared" si="120"/>
        <v/>
      </c>
      <c r="AR1875" s="21"/>
    </row>
    <row r="1876" spans="2:44" ht="31.5" x14ac:dyDescent="0.5">
      <c r="B1876" s="1"/>
      <c r="C1876" s="15"/>
      <c r="D1876" s="16"/>
      <c r="E1876" s="15"/>
      <c r="F1876" s="17"/>
      <c r="G1876" s="8"/>
      <c r="H1876" s="8"/>
      <c r="I1876" s="8"/>
      <c r="J1876" s="8"/>
      <c r="K1876" s="8"/>
      <c r="L1876" s="8"/>
      <c r="M1876" s="8"/>
      <c r="N1876" s="8"/>
      <c r="O1876" s="8"/>
      <c r="P1876" s="8"/>
      <c r="Q1876" s="8"/>
      <c r="R1876" s="8"/>
      <c r="S1876" s="8"/>
      <c r="T1876" s="8"/>
      <c r="U1876" s="8"/>
      <c r="V1876" s="8"/>
      <c r="W1876" s="8"/>
      <c r="X1876" s="8"/>
      <c r="Y1876" s="8"/>
      <c r="Z1876" s="8"/>
      <c r="AA1876" s="8"/>
      <c r="AB1876" s="8"/>
      <c r="AC1876" s="8"/>
      <c r="AD1876" s="8"/>
      <c r="AE1876" s="8"/>
      <c r="AF1876" s="8"/>
      <c r="AG1876" s="8"/>
      <c r="AH1876" s="8"/>
      <c r="AI1876" s="8"/>
      <c r="AJ1876" s="8"/>
      <c r="AK1876" s="8"/>
      <c r="AL1876" s="4"/>
      <c r="AM1876" s="5" t="str">
        <f t="shared" si="117"/>
        <v/>
      </c>
      <c r="AN1876" s="5" t="str">
        <f t="shared" si="118"/>
        <v/>
      </c>
      <c r="AO1876" s="18" t="str">
        <f t="shared" si="119"/>
        <v/>
      </c>
      <c r="AP1876" s="19"/>
      <c r="AQ1876" s="20" t="str">
        <f t="shared" si="120"/>
        <v/>
      </c>
      <c r="AR1876" s="21"/>
    </row>
    <row r="1877" spans="2:44" ht="31.5" x14ac:dyDescent="0.5">
      <c r="B1877" s="1"/>
      <c r="C1877" s="15"/>
      <c r="D1877" s="16"/>
      <c r="E1877" s="15"/>
      <c r="F1877" s="17"/>
      <c r="G1877" s="8"/>
      <c r="H1877" s="8"/>
      <c r="I1877" s="8"/>
      <c r="J1877" s="8"/>
      <c r="K1877" s="8"/>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4"/>
      <c r="AM1877" s="5" t="str">
        <f t="shared" si="117"/>
        <v/>
      </c>
      <c r="AN1877" s="5" t="str">
        <f t="shared" si="118"/>
        <v/>
      </c>
      <c r="AO1877" s="18" t="str">
        <f t="shared" si="119"/>
        <v/>
      </c>
      <c r="AP1877" s="19"/>
      <c r="AQ1877" s="20" t="str">
        <f t="shared" si="120"/>
        <v/>
      </c>
      <c r="AR1877" s="21"/>
    </row>
    <row r="1878" spans="2:44" ht="31.5" x14ac:dyDescent="0.5">
      <c r="B1878" s="1"/>
      <c r="C1878" s="15"/>
      <c r="D1878" s="16"/>
      <c r="E1878" s="15"/>
      <c r="F1878" s="17"/>
      <c r="G1878" s="8"/>
      <c r="H1878" s="8"/>
      <c r="I1878" s="8"/>
      <c r="J1878" s="8"/>
      <c r="K1878" s="8"/>
      <c r="L1878" s="8"/>
      <c r="M1878" s="8"/>
      <c r="N1878" s="8"/>
      <c r="O1878" s="8"/>
      <c r="P1878" s="8"/>
      <c r="Q1878" s="8"/>
      <c r="R1878" s="8"/>
      <c r="S1878" s="8"/>
      <c r="T1878" s="8"/>
      <c r="U1878" s="8"/>
      <c r="V1878" s="8"/>
      <c r="W1878" s="8"/>
      <c r="X1878" s="8"/>
      <c r="Y1878" s="8"/>
      <c r="Z1878" s="8"/>
      <c r="AA1878" s="8"/>
      <c r="AB1878" s="8"/>
      <c r="AC1878" s="8"/>
      <c r="AD1878" s="8"/>
      <c r="AE1878" s="8"/>
      <c r="AF1878" s="8"/>
      <c r="AG1878" s="8"/>
      <c r="AH1878" s="8"/>
      <c r="AI1878" s="8"/>
      <c r="AJ1878" s="8"/>
      <c r="AK1878" s="8"/>
      <c r="AL1878" s="4"/>
      <c r="AM1878" s="5" t="str">
        <f t="shared" si="117"/>
        <v/>
      </c>
      <c r="AN1878" s="5" t="str">
        <f t="shared" si="118"/>
        <v/>
      </c>
      <c r="AO1878" s="18" t="str">
        <f t="shared" si="119"/>
        <v/>
      </c>
      <c r="AP1878" s="19"/>
      <c r="AQ1878" s="20" t="str">
        <f t="shared" si="120"/>
        <v/>
      </c>
      <c r="AR1878" s="21"/>
    </row>
    <row r="1879" spans="2:44" ht="31.5" x14ac:dyDescent="0.5">
      <c r="B1879" s="1"/>
      <c r="C1879" s="15"/>
      <c r="D1879" s="16"/>
      <c r="E1879" s="15"/>
      <c r="F1879" s="17"/>
      <c r="G1879" s="8"/>
      <c r="H1879" s="8"/>
      <c r="I1879" s="8"/>
      <c r="J1879" s="8"/>
      <c r="K1879" s="8"/>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4"/>
      <c r="AM1879" s="5" t="str">
        <f t="shared" si="117"/>
        <v/>
      </c>
      <c r="AN1879" s="5" t="str">
        <f t="shared" si="118"/>
        <v/>
      </c>
      <c r="AO1879" s="18" t="str">
        <f t="shared" si="119"/>
        <v/>
      </c>
      <c r="AP1879" s="19"/>
      <c r="AQ1879" s="20" t="str">
        <f t="shared" si="120"/>
        <v/>
      </c>
      <c r="AR1879" s="21"/>
    </row>
    <row r="1880" spans="2:44" ht="31.5" x14ac:dyDescent="0.5">
      <c r="B1880" s="1"/>
      <c r="C1880" s="15"/>
      <c r="D1880" s="16"/>
      <c r="E1880" s="15"/>
      <c r="F1880" s="17"/>
      <c r="G1880" s="8"/>
      <c r="H1880" s="8"/>
      <c r="I1880" s="8"/>
      <c r="J1880" s="8"/>
      <c r="K1880" s="8"/>
      <c r="L1880" s="8"/>
      <c r="M1880" s="8"/>
      <c r="N1880" s="8"/>
      <c r="O1880" s="8"/>
      <c r="P1880" s="8"/>
      <c r="Q1880" s="8"/>
      <c r="R1880" s="8"/>
      <c r="S1880" s="8"/>
      <c r="T1880" s="8"/>
      <c r="U1880" s="8"/>
      <c r="V1880" s="8"/>
      <c r="W1880" s="8"/>
      <c r="X1880" s="8"/>
      <c r="Y1880" s="8"/>
      <c r="Z1880" s="8"/>
      <c r="AA1880" s="8"/>
      <c r="AB1880" s="8"/>
      <c r="AC1880" s="8"/>
      <c r="AD1880" s="8"/>
      <c r="AE1880" s="8"/>
      <c r="AF1880" s="8"/>
      <c r="AG1880" s="8"/>
      <c r="AH1880" s="8"/>
      <c r="AI1880" s="8"/>
      <c r="AJ1880" s="8"/>
      <c r="AK1880" s="8"/>
      <c r="AL1880" s="4"/>
      <c r="AM1880" s="5" t="str">
        <f t="shared" si="117"/>
        <v/>
      </c>
      <c r="AN1880" s="5" t="str">
        <f t="shared" si="118"/>
        <v/>
      </c>
      <c r="AO1880" s="18" t="str">
        <f t="shared" si="119"/>
        <v/>
      </c>
      <c r="AP1880" s="19"/>
      <c r="AQ1880" s="20" t="str">
        <f t="shared" si="120"/>
        <v/>
      </c>
      <c r="AR1880" s="21"/>
    </row>
    <row r="1881" spans="2:44" ht="31.5" x14ac:dyDescent="0.5">
      <c r="B1881" s="1"/>
      <c r="C1881" s="15"/>
      <c r="D1881" s="16"/>
      <c r="E1881" s="15"/>
      <c r="F1881" s="17"/>
      <c r="G1881" s="8"/>
      <c r="H1881" s="8"/>
      <c r="I1881" s="8"/>
      <c r="J1881" s="8"/>
      <c r="K1881" s="8"/>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4"/>
      <c r="AM1881" s="5" t="str">
        <f t="shared" si="117"/>
        <v/>
      </c>
      <c r="AN1881" s="5" t="str">
        <f t="shared" si="118"/>
        <v/>
      </c>
      <c r="AO1881" s="18" t="str">
        <f t="shared" si="119"/>
        <v/>
      </c>
      <c r="AP1881" s="19"/>
      <c r="AQ1881" s="20" t="str">
        <f t="shared" si="120"/>
        <v/>
      </c>
      <c r="AR1881" s="21"/>
    </row>
    <row r="1882" spans="2:44" ht="31.5" x14ac:dyDescent="0.5">
      <c r="B1882" s="1"/>
      <c r="C1882" s="15"/>
      <c r="D1882" s="16"/>
      <c r="E1882" s="15"/>
      <c r="F1882" s="17"/>
      <c r="G1882" s="8"/>
      <c r="H1882" s="8"/>
      <c r="I1882" s="8"/>
      <c r="J1882" s="8"/>
      <c r="K1882" s="8"/>
      <c r="L1882" s="8"/>
      <c r="M1882" s="8"/>
      <c r="N1882" s="8"/>
      <c r="O1882" s="8"/>
      <c r="P1882" s="8"/>
      <c r="Q1882" s="8"/>
      <c r="R1882" s="8"/>
      <c r="S1882" s="8"/>
      <c r="T1882" s="8"/>
      <c r="U1882" s="8"/>
      <c r="V1882" s="8"/>
      <c r="W1882" s="8"/>
      <c r="X1882" s="8"/>
      <c r="Y1882" s="8"/>
      <c r="Z1882" s="8"/>
      <c r="AA1882" s="8"/>
      <c r="AB1882" s="8"/>
      <c r="AC1882" s="8"/>
      <c r="AD1882" s="8"/>
      <c r="AE1882" s="8"/>
      <c r="AF1882" s="8"/>
      <c r="AG1882" s="8"/>
      <c r="AH1882" s="8"/>
      <c r="AI1882" s="8"/>
      <c r="AJ1882" s="8"/>
      <c r="AK1882" s="8"/>
      <c r="AL1882" s="4"/>
      <c r="AM1882" s="5" t="str">
        <f t="shared" si="117"/>
        <v/>
      </c>
      <c r="AN1882" s="5" t="str">
        <f t="shared" si="118"/>
        <v/>
      </c>
      <c r="AO1882" s="18" t="str">
        <f t="shared" si="119"/>
        <v/>
      </c>
      <c r="AP1882" s="19"/>
      <c r="AQ1882" s="20" t="str">
        <f t="shared" si="120"/>
        <v/>
      </c>
      <c r="AR1882" s="21"/>
    </row>
    <row r="1883" spans="2:44" ht="31.5" x14ac:dyDescent="0.5">
      <c r="B1883" s="1"/>
      <c r="C1883" s="15"/>
      <c r="D1883" s="16"/>
      <c r="E1883" s="15"/>
      <c r="F1883" s="17"/>
      <c r="G1883" s="8"/>
      <c r="H1883" s="8"/>
      <c r="I1883" s="8"/>
      <c r="J1883" s="8"/>
      <c r="K1883" s="8"/>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4"/>
      <c r="AM1883" s="5" t="str">
        <f t="shared" si="117"/>
        <v/>
      </c>
      <c r="AN1883" s="5" t="str">
        <f t="shared" si="118"/>
        <v/>
      </c>
      <c r="AO1883" s="18" t="str">
        <f t="shared" si="119"/>
        <v/>
      </c>
      <c r="AP1883" s="19"/>
      <c r="AQ1883" s="20" t="str">
        <f t="shared" si="120"/>
        <v/>
      </c>
      <c r="AR1883" s="21"/>
    </row>
    <row r="1884" spans="2:44" ht="31.5" x14ac:dyDescent="0.5">
      <c r="B1884" s="1"/>
      <c r="C1884" s="15"/>
      <c r="D1884" s="16"/>
      <c r="E1884" s="15"/>
      <c r="F1884" s="17"/>
      <c r="G1884" s="8"/>
      <c r="H1884" s="8"/>
      <c r="I1884" s="8"/>
      <c r="J1884" s="8"/>
      <c r="K1884" s="8"/>
      <c r="L1884" s="8"/>
      <c r="M1884" s="8"/>
      <c r="N1884" s="8"/>
      <c r="O1884" s="8"/>
      <c r="P1884" s="8"/>
      <c r="Q1884" s="8"/>
      <c r="R1884" s="8"/>
      <c r="S1884" s="8"/>
      <c r="T1884" s="8"/>
      <c r="U1884" s="8"/>
      <c r="V1884" s="8"/>
      <c r="W1884" s="8"/>
      <c r="X1884" s="8"/>
      <c r="Y1884" s="8"/>
      <c r="Z1884" s="8"/>
      <c r="AA1884" s="8"/>
      <c r="AB1884" s="8"/>
      <c r="AC1884" s="8"/>
      <c r="AD1884" s="8"/>
      <c r="AE1884" s="8"/>
      <c r="AF1884" s="8"/>
      <c r="AG1884" s="8"/>
      <c r="AH1884" s="8"/>
      <c r="AI1884" s="8"/>
      <c r="AJ1884" s="8"/>
      <c r="AK1884" s="8"/>
      <c r="AL1884" s="4"/>
      <c r="AM1884" s="5" t="str">
        <f t="shared" si="117"/>
        <v/>
      </c>
      <c r="AN1884" s="5" t="str">
        <f t="shared" si="118"/>
        <v/>
      </c>
      <c r="AO1884" s="18" t="str">
        <f t="shared" si="119"/>
        <v/>
      </c>
      <c r="AP1884" s="19"/>
      <c r="AQ1884" s="20" t="str">
        <f t="shared" si="120"/>
        <v/>
      </c>
      <c r="AR1884" s="21"/>
    </row>
    <row r="1885" spans="2:44" ht="31.5" x14ac:dyDescent="0.5">
      <c r="B1885" s="1"/>
      <c r="C1885" s="15"/>
      <c r="D1885" s="16"/>
      <c r="E1885" s="15"/>
      <c r="F1885" s="17"/>
      <c r="G1885" s="8"/>
      <c r="H1885" s="8"/>
      <c r="I1885" s="8"/>
      <c r="J1885" s="8"/>
      <c r="K1885" s="8"/>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4"/>
      <c r="AM1885" s="5" t="str">
        <f t="shared" si="117"/>
        <v/>
      </c>
      <c r="AN1885" s="5" t="str">
        <f t="shared" si="118"/>
        <v/>
      </c>
      <c r="AO1885" s="18" t="str">
        <f t="shared" si="119"/>
        <v/>
      </c>
      <c r="AP1885" s="19"/>
      <c r="AQ1885" s="20" t="str">
        <f t="shared" si="120"/>
        <v/>
      </c>
      <c r="AR1885" s="21"/>
    </row>
    <row r="1886" spans="2:44" ht="31.5" x14ac:dyDescent="0.5">
      <c r="B1886" s="1"/>
      <c r="C1886" s="15"/>
      <c r="D1886" s="16"/>
      <c r="E1886" s="15"/>
      <c r="F1886" s="17"/>
      <c r="G1886" s="8"/>
      <c r="H1886" s="8"/>
      <c r="I1886" s="8"/>
      <c r="J1886" s="8"/>
      <c r="K1886" s="8"/>
      <c r="L1886" s="8"/>
      <c r="M1886" s="8"/>
      <c r="N1886" s="8"/>
      <c r="O1886" s="8"/>
      <c r="P1886" s="8"/>
      <c r="Q1886" s="8"/>
      <c r="R1886" s="8"/>
      <c r="S1886" s="8"/>
      <c r="T1886" s="8"/>
      <c r="U1886" s="8"/>
      <c r="V1886" s="8"/>
      <c r="W1886" s="8"/>
      <c r="X1886" s="8"/>
      <c r="Y1886" s="8"/>
      <c r="Z1886" s="8"/>
      <c r="AA1886" s="8"/>
      <c r="AB1886" s="8"/>
      <c r="AC1886" s="8"/>
      <c r="AD1886" s="8"/>
      <c r="AE1886" s="8"/>
      <c r="AF1886" s="8"/>
      <c r="AG1886" s="8"/>
      <c r="AH1886" s="8"/>
      <c r="AI1886" s="8"/>
      <c r="AJ1886" s="8"/>
      <c r="AK1886" s="8"/>
      <c r="AL1886" s="4"/>
      <c r="AM1886" s="5" t="str">
        <f t="shared" si="117"/>
        <v/>
      </c>
      <c r="AN1886" s="5" t="str">
        <f t="shared" si="118"/>
        <v/>
      </c>
      <c r="AO1886" s="18" t="str">
        <f t="shared" si="119"/>
        <v/>
      </c>
      <c r="AP1886" s="19"/>
      <c r="AQ1886" s="20" t="str">
        <f t="shared" si="120"/>
        <v/>
      </c>
      <c r="AR1886" s="21"/>
    </row>
    <row r="1887" spans="2:44" ht="31.5" x14ac:dyDescent="0.5">
      <c r="B1887" s="1"/>
      <c r="C1887" s="15"/>
      <c r="D1887" s="16"/>
      <c r="E1887" s="15"/>
      <c r="F1887" s="17"/>
      <c r="G1887" s="8"/>
      <c r="H1887" s="8"/>
      <c r="I1887" s="8"/>
      <c r="J1887" s="8"/>
      <c r="K1887" s="8"/>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4"/>
      <c r="AM1887" s="5" t="str">
        <f t="shared" si="117"/>
        <v/>
      </c>
      <c r="AN1887" s="5" t="str">
        <f t="shared" si="118"/>
        <v/>
      </c>
      <c r="AO1887" s="18" t="str">
        <f t="shared" si="119"/>
        <v/>
      </c>
      <c r="AP1887" s="19"/>
      <c r="AQ1887" s="20" t="str">
        <f t="shared" si="120"/>
        <v/>
      </c>
      <c r="AR1887" s="21"/>
    </row>
    <row r="1888" spans="2:44" ht="31.5" x14ac:dyDescent="0.5">
      <c r="B1888" s="1"/>
      <c r="C1888" s="15"/>
      <c r="D1888" s="16"/>
      <c r="E1888" s="15"/>
      <c r="F1888" s="17"/>
      <c r="G1888" s="8"/>
      <c r="H1888" s="8"/>
      <c r="I1888" s="8"/>
      <c r="J1888" s="8"/>
      <c r="K1888" s="8"/>
      <c r="L1888" s="8"/>
      <c r="M1888" s="8"/>
      <c r="N1888" s="8"/>
      <c r="O1888" s="8"/>
      <c r="P1888" s="8"/>
      <c r="Q1888" s="8"/>
      <c r="R1888" s="8"/>
      <c r="S1888" s="8"/>
      <c r="T1888" s="8"/>
      <c r="U1888" s="8"/>
      <c r="V1888" s="8"/>
      <c r="W1888" s="8"/>
      <c r="X1888" s="8"/>
      <c r="Y1888" s="8"/>
      <c r="Z1888" s="8"/>
      <c r="AA1888" s="8"/>
      <c r="AB1888" s="8"/>
      <c r="AC1888" s="8"/>
      <c r="AD1888" s="8"/>
      <c r="AE1888" s="8"/>
      <c r="AF1888" s="8"/>
      <c r="AG1888" s="8"/>
      <c r="AH1888" s="8"/>
      <c r="AI1888" s="8"/>
      <c r="AJ1888" s="8"/>
      <c r="AK1888" s="8"/>
      <c r="AL1888" s="4"/>
      <c r="AM1888" s="5" t="str">
        <f t="shared" si="117"/>
        <v/>
      </c>
      <c r="AN1888" s="5" t="str">
        <f t="shared" si="118"/>
        <v/>
      </c>
      <c r="AO1888" s="18" t="str">
        <f t="shared" si="119"/>
        <v/>
      </c>
      <c r="AP1888" s="19"/>
      <c r="AQ1888" s="20" t="str">
        <f t="shared" si="120"/>
        <v/>
      </c>
      <c r="AR1888" s="21"/>
    </row>
    <row r="1889" spans="2:44" ht="31.5" x14ac:dyDescent="0.5">
      <c r="B1889" s="1"/>
      <c r="C1889" s="15"/>
      <c r="D1889" s="16"/>
      <c r="E1889" s="15"/>
      <c r="F1889" s="17"/>
      <c r="G1889" s="8"/>
      <c r="H1889" s="8"/>
      <c r="I1889" s="8"/>
      <c r="J1889" s="8"/>
      <c r="K1889" s="8"/>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4"/>
      <c r="AM1889" s="5" t="str">
        <f t="shared" si="117"/>
        <v/>
      </c>
      <c r="AN1889" s="5" t="str">
        <f t="shared" si="118"/>
        <v/>
      </c>
      <c r="AO1889" s="18" t="str">
        <f t="shared" si="119"/>
        <v/>
      </c>
      <c r="AP1889" s="19"/>
      <c r="AQ1889" s="20" t="str">
        <f t="shared" si="120"/>
        <v/>
      </c>
      <c r="AR1889" s="21"/>
    </row>
    <row r="1890" spans="2:44" ht="31.5" x14ac:dyDescent="0.5">
      <c r="B1890" s="1"/>
      <c r="C1890" s="15"/>
      <c r="D1890" s="16"/>
      <c r="E1890" s="15"/>
      <c r="F1890" s="17"/>
      <c r="G1890" s="8"/>
      <c r="H1890" s="8"/>
      <c r="I1890" s="8"/>
      <c r="J1890" s="8"/>
      <c r="K1890" s="8"/>
      <c r="L1890" s="8"/>
      <c r="M1890" s="8"/>
      <c r="N1890" s="8"/>
      <c r="O1890" s="8"/>
      <c r="P1890" s="8"/>
      <c r="Q1890" s="8"/>
      <c r="R1890" s="8"/>
      <c r="S1890" s="8"/>
      <c r="T1890" s="8"/>
      <c r="U1890" s="8"/>
      <c r="V1890" s="8"/>
      <c r="W1890" s="8"/>
      <c r="X1890" s="8"/>
      <c r="Y1890" s="8"/>
      <c r="Z1890" s="8"/>
      <c r="AA1890" s="8"/>
      <c r="AB1890" s="8"/>
      <c r="AC1890" s="8"/>
      <c r="AD1890" s="8"/>
      <c r="AE1890" s="8"/>
      <c r="AF1890" s="8"/>
      <c r="AG1890" s="8"/>
      <c r="AH1890" s="8"/>
      <c r="AI1890" s="8"/>
      <c r="AJ1890" s="8"/>
      <c r="AK1890" s="8"/>
      <c r="AL1890" s="4"/>
      <c r="AM1890" s="5" t="str">
        <f t="shared" si="117"/>
        <v/>
      </c>
      <c r="AN1890" s="5" t="str">
        <f t="shared" si="118"/>
        <v/>
      </c>
      <c r="AO1890" s="18" t="str">
        <f t="shared" si="119"/>
        <v/>
      </c>
      <c r="AP1890" s="19"/>
      <c r="AQ1890" s="20" t="str">
        <f t="shared" si="120"/>
        <v/>
      </c>
      <c r="AR1890" s="21"/>
    </row>
    <row r="1891" spans="2:44" ht="31.5" x14ac:dyDescent="0.5">
      <c r="B1891" s="1"/>
      <c r="C1891" s="15"/>
      <c r="D1891" s="16"/>
      <c r="E1891" s="15"/>
      <c r="F1891" s="17"/>
      <c r="G1891" s="8"/>
      <c r="H1891" s="8"/>
      <c r="I1891" s="8"/>
      <c r="J1891" s="8"/>
      <c r="K1891" s="8"/>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4"/>
      <c r="AM1891" s="5" t="str">
        <f t="shared" si="117"/>
        <v/>
      </c>
      <c r="AN1891" s="5" t="str">
        <f t="shared" si="118"/>
        <v/>
      </c>
      <c r="AO1891" s="18" t="str">
        <f t="shared" si="119"/>
        <v/>
      </c>
      <c r="AP1891" s="19"/>
      <c r="AQ1891" s="20" t="str">
        <f t="shared" si="120"/>
        <v/>
      </c>
      <c r="AR1891" s="21"/>
    </row>
    <row r="1892" spans="2:44" ht="31.5" x14ac:dyDescent="0.5">
      <c r="B1892" s="1"/>
      <c r="C1892" s="15"/>
      <c r="D1892" s="16"/>
      <c r="E1892" s="15"/>
      <c r="F1892" s="17"/>
      <c r="G1892" s="8"/>
      <c r="H1892" s="8"/>
      <c r="I1892" s="8"/>
      <c r="J1892" s="8"/>
      <c r="K1892" s="8"/>
      <c r="L1892" s="8"/>
      <c r="M1892" s="8"/>
      <c r="N1892" s="8"/>
      <c r="O1892" s="8"/>
      <c r="P1892" s="8"/>
      <c r="Q1892" s="8"/>
      <c r="R1892" s="8"/>
      <c r="S1892" s="8"/>
      <c r="T1892" s="8"/>
      <c r="U1892" s="8"/>
      <c r="V1892" s="8"/>
      <c r="W1892" s="8"/>
      <c r="X1892" s="8"/>
      <c r="Y1892" s="8"/>
      <c r="Z1892" s="8"/>
      <c r="AA1892" s="8"/>
      <c r="AB1892" s="8"/>
      <c r="AC1892" s="8"/>
      <c r="AD1892" s="8"/>
      <c r="AE1892" s="8"/>
      <c r="AF1892" s="8"/>
      <c r="AG1892" s="8"/>
      <c r="AH1892" s="8"/>
      <c r="AI1892" s="8"/>
      <c r="AJ1892" s="8"/>
      <c r="AK1892" s="8"/>
      <c r="AL1892" s="4"/>
      <c r="AM1892" s="5" t="str">
        <f t="shared" si="117"/>
        <v/>
      </c>
      <c r="AN1892" s="5" t="str">
        <f t="shared" si="118"/>
        <v/>
      </c>
      <c r="AO1892" s="18" t="str">
        <f t="shared" si="119"/>
        <v/>
      </c>
      <c r="AP1892" s="19"/>
      <c r="AQ1892" s="20" t="str">
        <f t="shared" si="120"/>
        <v/>
      </c>
      <c r="AR1892" s="21"/>
    </row>
    <row r="1893" spans="2:44" ht="31.5" x14ac:dyDescent="0.5">
      <c r="B1893" s="1"/>
      <c r="C1893" s="15"/>
      <c r="D1893" s="16"/>
      <c r="E1893" s="15"/>
      <c r="F1893" s="17"/>
      <c r="G1893" s="8"/>
      <c r="H1893" s="8"/>
      <c r="I1893" s="8"/>
      <c r="J1893" s="8"/>
      <c r="K1893" s="8"/>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4"/>
      <c r="AM1893" s="5" t="str">
        <f t="shared" si="117"/>
        <v/>
      </c>
      <c r="AN1893" s="5" t="str">
        <f t="shared" si="118"/>
        <v/>
      </c>
      <c r="AO1893" s="18" t="str">
        <f t="shared" si="119"/>
        <v/>
      </c>
      <c r="AP1893" s="19"/>
      <c r="AQ1893" s="20" t="str">
        <f t="shared" si="120"/>
        <v/>
      </c>
      <c r="AR1893" s="21"/>
    </row>
    <row r="1894" spans="2:44" ht="31.5" x14ac:dyDescent="0.5">
      <c r="B1894" s="1"/>
      <c r="C1894" s="15"/>
      <c r="D1894" s="16"/>
      <c r="E1894" s="15"/>
      <c r="F1894" s="17"/>
      <c r="G1894" s="8"/>
      <c r="H1894" s="8"/>
      <c r="I1894" s="8"/>
      <c r="J1894" s="8"/>
      <c r="K1894" s="8"/>
      <c r="L1894" s="8"/>
      <c r="M1894" s="8"/>
      <c r="N1894" s="8"/>
      <c r="O1894" s="8"/>
      <c r="P1894" s="8"/>
      <c r="Q1894" s="8"/>
      <c r="R1894" s="8"/>
      <c r="S1894" s="8"/>
      <c r="T1894" s="8"/>
      <c r="U1894" s="8"/>
      <c r="V1894" s="8"/>
      <c r="W1894" s="8"/>
      <c r="X1894" s="8"/>
      <c r="Y1894" s="8"/>
      <c r="Z1894" s="8"/>
      <c r="AA1894" s="8"/>
      <c r="AB1894" s="8"/>
      <c r="AC1894" s="8"/>
      <c r="AD1894" s="8"/>
      <c r="AE1894" s="8"/>
      <c r="AF1894" s="8"/>
      <c r="AG1894" s="8"/>
      <c r="AH1894" s="8"/>
      <c r="AI1894" s="8"/>
      <c r="AJ1894" s="8"/>
      <c r="AK1894" s="8"/>
      <c r="AL1894" s="4"/>
      <c r="AM1894" s="5" t="str">
        <f t="shared" si="117"/>
        <v/>
      </c>
      <c r="AN1894" s="5" t="str">
        <f t="shared" si="118"/>
        <v/>
      </c>
      <c r="AO1894" s="18" t="str">
        <f t="shared" si="119"/>
        <v/>
      </c>
      <c r="AP1894" s="19"/>
      <c r="AQ1894" s="20" t="str">
        <f t="shared" si="120"/>
        <v/>
      </c>
      <c r="AR1894" s="21"/>
    </row>
    <row r="1895" spans="2:44" ht="31.5" x14ac:dyDescent="0.5">
      <c r="B1895" s="1"/>
      <c r="C1895" s="15"/>
      <c r="D1895" s="16"/>
      <c r="E1895" s="15"/>
      <c r="F1895" s="17"/>
      <c r="G1895" s="8"/>
      <c r="H1895" s="8"/>
      <c r="I1895" s="8"/>
      <c r="J1895" s="8"/>
      <c r="K1895" s="8"/>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4"/>
      <c r="AM1895" s="5" t="str">
        <f t="shared" si="117"/>
        <v/>
      </c>
      <c r="AN1895" s="5" t="str">
        <f t="shared" si="118"/>
        <v/>
      </c>
      <c r="AO1895" s="18" t="str">
        <f t="shared" si="119"/>
        <v/>
      </c>
      <c r="AP1895" s="19"/>
      <c r="AQ1895" s="20" t="str">
        <f t="shared" si="120"/>
        <v/>
      </c>
      <c r="AR1895" s="21"/>
    </row>
    <row r="1896" spans="2:44" ht="31.5" x14ac:dyDescent="0.5">
      <c r="B1896" s="1"/>
      <c r="C1896" s="15"/>
      <c r="D1896" s="16"/>
      <c r="E1896" s="15"/>
      <c r="F1896" s="17"/>
      <c r="G1896" s="8"/>
      <c r="H1896" s="8"/>
      <c r="I1896" s="8"/>
      <c r="J1896" s="8"/>
      <c r="K1896" s="8"/>
      <c r="L1896" s="8"/>
      <c r="M1896" s="8"/>
      <c r="N1896" s="8"/>
      <c r="O1896" s="8"/>
      <c r="P1896" s="8"/>
      <c r="Q1896" s="8"/>
      <c r="R1896" s="8"/>
      <c r="S1896" s="8"/>
      <c r="T1896" s="8"/>
      <c r="U1896" s="8"/>
      <c r="V1896" s="8"/>
      <c r="W1896" s="8"/>
      <c r="X1896" s="8"/>
      <c r="Y1896" s="8"/>
      <c r="Z1896" s="8"/>
      <c r="AA1896" s="8"/>
      <c r="AB1896" s="8"/>
      <c r="AC1896" s="8"/>
      <c r="AD1896" s="8"/>
      <c r="AE1896" s="8"/>
      <c r="AF1896" s="8"/>
      <c r="AG1896" s="8"/>
      <c r="AH1896" s="8"/>
      <c r="AI1896" s="8"/>
      <c r="AJ1896" s="8"/>
      <c r="AK1896" s="8"/>
      <c r="AL1896" s="4"/>
      <c r="AM1896" s="5" t="str">
        <f t="shared" si="117"/>
        <v/>
      </c>
      <c r="AN1896" s="5" t="str">
        <f t="shared" si="118"/>
        <v/>
      </c>
      <c r="AO1896" s="18" t="str">
        <f t="shared" si="119"/>
        <v/>
      </c>
      <c r="AP1896" s="19"/>
      <c r="AQ1896" s="20" t="str">
        <f t="shared" si="120"/>
        <v/>
      </c>
      <c r="AR1896" s="21"/>
    </row>
    <row r="1897" spans="2:44" ht="31.5" x14ac:dyDescent="0.5">
      <c r="B1897" s="1"/>
      <c r="C1897" s="15"/>
      <c r="D1897" s="16"/>
      <c r="E1897" s="15"/>
      <c r="F1897" s="17"/>
      <c r="G1897" s="8"/>
      <c r="H1897" s="8"/>
      <c r="I1897" s="8"/>
      <c r="J1897" s="8"/>
      <c r="K1897" s="8"/>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4"/>
      <c r="AM1897" s="5" t="str">
        <f t="shared" si="117"/>
        <v/>
      </c>
      <c r="AN1897" s="5" t="str">
        <f t="shared" si="118"/>
        <v/>
      </c>
      <c r="AO1897" s="18" t="str">
        <f t="shared" si="119"/>
        <v/>
      </c>
      <c r="AP1897" s="19"/>
      <c r="AQ1897" s="20" t="str">
        <f t="shared" si="120"/>
        <v/>
      </c>
      <c r="AR1897" s="21"/>
    </row>
    <row r="1898" spans="2:44" ht="31.5" x14ac:dyDescent="0.5">
      <c r="B1898" s="1"/>
      <c r="C1898" s="15"/>
      <c r="D1898" s="16"/>
      <c r="E1898" s="15"/>
      <c r="F1898" s="17"/>
      <c r="G1898" s="8"/>
      <c r="H1898" s="8"/>
      <c r="I1898" s="8"/>
      <c r="J1898" s="8"/>
      <c r="K1898" s="8"/>
      <c r="L1898" s="8"/>
      <c r="M1898" s="8"/>
      <c r="N1898" s="8"/>
      <c r="O1898" s="8"/>
      <c r="P1898" s="8"/>
      <c r="Q1898" s="8"/>
      <c r="R1898" s="8"/>
      <c r="S1898" s="8"/>
      <c r="T1898" s="8"/>
      <c r="U1898" s="8"/>
      <c r="V1898" s="8"/>
      <c r="W1898" s="8"/>
      <c r="X1898" s="8"/>
      <c r="Y1898" s="8"/>
      <c r="Z1898" s="8"/>
      <c r="AA1898" s="8"/>
      <c r="AB1898" s="8"/>
      <c r="AC1898" s="8"/>
      <c r="AD1898" s="8"/>
      <c r="AE1898" s="8"/>
      <c r="AF1898" s="8"/>
      <c r="AG1898" s="8"/>
      <c r="AH1898" s="8"/>
      <c r="AI1898" s="8"/>
      <c r="AJ1898" s="8"/>
      <c r="AK1898" s="8"/>
      <c r="AL1898" s="4"/>
      <c r="AM1898" s="5" t="str">
        <f t="shared" si="117"/>
        <v/>
      </c>
      <c r="AN1898" s="5" t="str">
        <f t="shared" si="118"/>
        <v/>
      </c>
      <c r="AO1898" s="18" t="str">
        <f t="shared" si="119"/>
        <v/>
      </c>
      <c r="AP1898" s="19"/>
      <c r="AQ1898" s="20" t="str">
        <f t="shared" si="120"/>
        <v/>
      </c>
      <c r="AR1898" s="21"/>
    </row>
    <row r="1899" spans="2:44" ht="31.5" x14ac:dyDescent="0.5">
      <c r="B1899" s="1"/>
      <c r="C1899" s="15"/>
      <c r="D1899" s="16"/>
      <c r="E1899" s="15"/>
      <c r="F1899" s="17"/>
      <c r="G1899" s="8"/>
      <c r="H1899" s="8"/>
      <c r="I1899" s="8"/>
      <c r="J1899" s="8"/>
      <c r="K1899" s="8"/>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4"/>
      <c r="AM1899" s="5" t="str">
        <f t="shared" si="117"/>
        <v/>
      </c>
      <c r="AN1899" s="5" t="str">
        <f t="shared" si="118"/>
        <v/>
      </c>
      <c r="AO1899" s="18" t="str">
        <f t="shared" si="119"/>
        <v/>
      </c>
      <c r="AP1899" s="19"/>
      <c r="AQ1899" s="20" t="str">
        <f t="shared" si="120"/>
        <v/>
      </c>
      <c r="AR1899" s="21"/>
    </row>
    <row r="1900" spans="2:44" ht="31.5" x14ac:dyDescent="0.5">
      <c r="B1900" s="1"/>
      <c r="C1900" s="15"/>
      <c r="D1900" s="16"/>
      <c r="E1900" s="15"/>
      <c r="F1900" s="17"/>
      <c r="G1900" s="8"/>
      <c r="H1900" s="8"/>
      <c r="I1900" s="8"/>
      <c r="J1900" s="8"/>
      <c r="K1900" s="8"/>
      <c r="L1900" s="8"/>
      <c r="M1900" s="8"/>
      <c r="N1900" s="8"/>
      <c r="O1900" s="8"/>
      <c r="P1900" s="8"/>
      <c r="Q1900" s="8"/>
      <c r="R1900" s="8"/>
      <c r="S1900" s="8"/>
      <c r="T1900" s="8"/>
      <c r="U1900" s="8"/>
      <c r="V1900" s="8"/>
      <c r="W1900" s="8"/>
      <c r="X1900" s="8"/>
      <c r="Y1900" s="8"/>
      <c r="Z1900" s="8"/>
      <c r="AA1900" s="8"/>
      <c r="AB1900" s="8"/>
      <c r="AC1900" s="8"/>
      <c r="AD1900" s="8"/>
      <c r="AE1900" s="8"/>
      <c r="AF1900" s="8"/>
      <c r="AG1900" s="8"/>
      <c r="AH1900" s="8"/>
      <c r="AI1900" s="8"/>
      <c r="AJ1900" s="8"/>
      <c r="AK1900" s="8"/>
      <c r="AL1900" s="4"/>
      <c r="AM1900" s="5" t="str">
        <f t="shared" si="117"/>
        <v/>
      </c>
      <c r="AN1900" s="5" t="str">
        <f t="shared" si="118"/>
        <v/>
      </c>
      <c r="AO1900" s="18" t="str">
        <f t="shared" si="119"/>
        <v/>
      </c>
      <c r="AP1900" s="19"/>
      <c r="AQ1900" s="20" t="str">
        <f t="shared" si="120"/>
        <v/>
      </c>
      <c r="AR1900" s="21"/>
    </row>
    <row r="1901" spans="2:44" ht="31.5" x14ac:dyDescent="0.5">
      <c r="B1901" s="1"/>
      <c r="C1901" s="15"/>
      <c r="D1901" s="16"/>
      <c r="E1901" s="15"/>
      <c r="F1901" s="17"/>
      <c r="G1901" s="8"/>
      <c r="H1901" s="8"/>
      <c r="I1901" s="8"/>
      <c r="J1901" s="8"/>
      <c r="K1901" s="8"/>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4"/>
      <c r="AM1901" s="5" t="str">
        <f t="shared" si="117"/>
        <v/>
      </c>
      <c r="AN1901" s="5" t="str">
        <f t="shared" si="118"/>
        <v/>
      </c>
      <c r="AO1901" s="18" t="str">
        <f t="shared" si="119"/>
        <v/>
      </c>
      <c r="AP1901" s="19"/>
      <c r="AQ1901" s="20" t="str">
        <f t="shared" si="120"/>
        <v/>
      </c>
      <c r="AR1901" s="21"/>
    </row>
    <row r="1902" spans="2:44" ht="31.5" x14ac:dyDescent="0.5">
      <c r="B1902" s="1"/>
      <c r="C1902" s="15"/>
      <c r="D1902" s="16"/>
      <c r="E1902" s="15"/>
      <c r="F1902" s="17"/>
      <c r="G1902" s="8"/>
      <c r="H1902" s="8"/>
      <c r="I1902" s="8"/>
      <c r="J1902" s="8"/>
      <c r="K1902" s="8"/>
      <c r="L1902" s="8"/>
      <c r="M1902" s="8"/>
      <c r="N1902" s="8"/>
      <c r="O1902" s="8"/>
      <c r="P1902" s="8"/>
      <c r="Q1902" s="8"/>
      <c r="R1902" s="8"/>
      <c r="S1902" s="8"/>
      <c r="T1902" s="8"/>
      <c r="U1902" s="8"/>
      <c r="V1902" s="8"/>
      <c r="W1902" s="8"/>
      <c r="X1902" s="8"/>
      <c r="Y1902" s="8"/>
      <c r="Z1902" s="8"/>
      <c r="AA1902" s="8"/>
      <c r="AB1902" s="8"/>
      <c r="AC1902" s="8"/>
      <c r="AD1902" s="8"/>
      <c r="AE1902" s="8"/>
      <c r="AF1902" s="8"/>
      <c r="AG1902" s="8"/>
      <c r="AH1902" s="8"/>
      <c r="AI1902" s="8"/>
      <c r="AJ1902" s="8"/>
      <c r="AK1902" s="8"/>
      <c r="AL1902" s="4"/>
      <c r="AM1902" s="5" t="str">
        <f t="shared" si="117"/>
        <v/>
      </c>
      <c r="AN1902" s="5" t="str">
        <f t="shared" si="118"/>
        <v/>
      </c>
      <c r="AO1902" s="18" t="str">
        <f t="shared" si="119"/>
        <v/>
      </c>
      <c r="AP1902" s="19"/>
      <c r="AQ1902" s="20" t="str">
        <f t="shared" si="120"/>
        <v/>
      </c>
      <c r="AR1902" s="21"/>
    </row>
    <row r="1903" spans="2:44" ht="31.5" x14ac:dyDescent="0.5">
      <c r="B1903" s="1"/>
      <c r="C1903" s="15"/>
      <c r="D1903" s="16"/>
      <c r="E1903" s="15"/>
      <c r="F1903" s="17"/>
      <c r="G1903" s="8"/>
      <c r="H1903" s="8"/>
      <c r="I1903" s="8"/>
      <c r="J1903" s="8"/>
      <c r="K1903" s="8"/>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4"/>
      <c r="AM1903" s="5" t="str">
        <f t="shared" si="117"/>
        <v/>
      </c>
      <c r="AN1903" s="5" t="str">
        <f t="shared" si="118"/>
        <v/>
      </c>
      <c r="AO1903" s="18" t="str">
        <f t="shared" si="119"/>
        <v/>
      </c>
      <c r="AP1903" s="19"/>
      <c r="AQ1903" s="20" t="str">
        <f t="shared" si="120"/>
        <v/>
      </c>
      <c r="AR1903" s="21"/>
    </row>
    <row r="1904" spans="2:44" ht="31.5" x14ac:dyDescent="0.5">
      <c r="B1904" s="1"/>
      <c r="C1904" s="15"/>
      <c r="D1904" s="16"/>
      <c r="E1904" s="15"/>
      <c r="F1904" s="17"/>
      <c r="G1904" s="8"/>
      <c r="H1904" s="8"/>
      <c r="I1904" s="8"/>
      <c r="J1904" s="8"/>
      <c r="K1904" s="8"/>
      <c r="L1904" s="8"/>
      <c r="M1904" s="8"/>
      <c r="N1904" s="8"/>
      <c r="O1904" s="8"/>
      <c r="P1904" s="8"/>
      <c r="Q1904" s="8"/>
      <c r="R1904" s="8"/>
      <c r="S1904" s="8"/>
      <c r="T1904" s="8"/>
      <c r="U1904" s="8"/>
      <c r="V1904" s="8"/>
      <c r="W1904" s="8"/>
      <c r="X1904" s="8"/>
      <c r="Y1904" s="8"/>
      <c r="Z1904" s="8"/>
      <c r="AA1904" s="8"/>
      <c r="AB1904" s="8"/>
      <c r="AC1904" s="8"/>
      <c r="AD1904" s="8"/>
      <c r="AE1904" s="8"/>
      <c r="AF1904" s="8"/>
      <c r="AG1904" s="8"/>
      <c r="AH1904" s="8"/>
      <c r="AI1904" s="8"/>
      <c r="AJ1904" s="8"/>
      <c r="AK1904" s="8"/>
      <c r="AL1904" s="4"/>
      <c r="AM1904" s="5" t="str">
        <f t="shared" si="117"/>
        <v/>
      </c>
      <c r="AN1904" s="5" t="str">
        <f t="shared" si="118"/>
        <v/>
      </c>
      <c r="AO1904" s="18" t="str">
        <f t="shared" si="119"/>
        <v/>
      </c>
      <c r="AP1904" s="19"/>
      <c r="AQ1904" s="20" t="str">
        <f t="shared" si="120"/>
        <v/>
      </c>
      <c r="AR1904" s="21"/>
    </row>
    <row r="1905" spans="2:44" ht="31.5" x14ac:dyDescent="0.5">
      <c r="B1905" s="1"/>
      <c r="C1905" s="15"/>
      <c r="D1905" s="16"/>
      <c r="E1905" s="15"/>
      <c r="F1905" s="17"/>
      <c r="G1905" s="8"/>
      <c r="H1905" s="8"/>
      <c r="I1905" s="8"/>
      <c r="J1905" s="8"/>
      <c r="K1905" s="8"/>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4"/>
      <c r="AM1905" s="5" t="str">
        <f t="shared" si="117"/>
        <v/>
      </c>
      <c r="AN1905" s="5" t="str">
        <f t="shared" si="118"/>
        <v/>
      </c>
      <c r="AO1905" s="18" t="str">
        <f t="shared" si="119"/>
        <v/>
      </c>
      <c r="AP1905" s="19"/>
      <c r="AQ1905" s="20" t="str">
        <f t="shared" si="120"/>
        <v/>
      </c>
      <c r="AR1905" s="21"/>
    </row>
    <row r="1906" spans="2:44" ht="31.5" x14ac:dyDescent="0.5">
      <c r="B1906" s="1"/>
      <c r="C1906" s="15"/>
      <c r="D1906" s="16"/>
      <c r="E1906" s="15"/>
      <c r="F1906" s="17"/>
      <c r="G1906" s="8"/>
      <c r="H1906" s="8"/>
      <c r="I1906" s="8"/>
      <c r="J1906" s="8"/>
      <c r="K1906" s="8"/>
      <c r="L1906" s="8"/>
      <c r="M1906" s="8"/>
      <c r="N1906" s="8"/>
      <c r="O1906" s="8"/>
      <c r="P1906" s="8"/>
      <c r="Q1906" s="8"/>
      <c r="R1906" s="8"/>
      <c r="S1906" s="8"/>
      <c r="T1906" s="8"/>
      <c r="U1906" s="8"/>
      <c r="V1906" s="8"/>
      <c r="W1906" s="8"/>
      <c r="X1906" s="8"/>
      <c r="Y1906" s="8"/>
      <c r="Z1906" s="8"/>
      <c r="AA1906" s="8"/>
      <c r="AB1906" s="8"/>
      <c r="AC1906" s="8"/>
      <c r="AD1906" s="8"/>
      <c r="AE1906" s="8"/>
      <c r="AF1906" s="8"/>
      <c r="AG1906" s="8"/>
      <c r="AH1906" s="8"/>
      <c r="AI1906" s="8"/>
      <c r="AJ1906" s="8"/>
      <c r="AK1906" s="8"/>
      <c r="AL1906" s="4"/>
      <c r="AM1906" s="5" t="str">
        <f t="shared" si="117"/>
        <v/>
      </c>
      <c r="AN1906" s="5" t="str">
        <f t="shared" si="118"/>
        <v/>
      </c>
      <c r="AO1906" s="18" t="str">
        <f t="shared" si="119"/>
        <v/>
      </c>
      <c r="AP1906" s="19"/>
      <c r="AQ1906" s="20" t="str">
        <f t="shared" si="120"/>
        <v/>
      </c>
      <c r="AR1906" s="21"/>
    </row>
    <row r="1907" spans="2:44" ht="31.5" x14ac:dyDescent="0.5">
      <c r="B1907" s="1"/>
      <c r="C1907" s="15"/>
      <c r="D1907" s="16"/>
      <c r="E1907" s="15"/>
      <c r="F1907" s="17"/>
      <c r="G1907" s="8"/>
      <c r="H1907" s="8"/>
      <c r="I1907" s="8"/>
      <c r="J1907" s="8"/>
      <c r="K1907" s="8"/>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4"/>
      <c r="AM1907" s="5" t="str">
        <f t="shared" ref="AM1907:AM1970" si="121">IF($B1907="","",COUNTIF($G1907:$AK1907,"P"))</f>
        <v/>
      </c>
      <c r="AN1907" s="5" t="str">
        <f t="shared" ref="AN1907:AN1970" si="122">IF($B1907="","",COUNTIF($G1907:$AK1907,"AB"))</f>
        <v/>
      </c>
      <c r="AO1907" s="18" t="str">
        <f t="shared" ref="AO1907:AO1970" si="123">IF($B1907="","",SUMPRODUCT(--($G$11:$AK$11&lt;&gt;""),--($G$12:$AK$12&lt;&gt;"Sun")))</f>
        <v/>
      </c>
      <c r="AP1907" s="19"/>
      <c r="AQ1907" s="20" t="str">
        <f t="shared" ref="AQ1907:AQ1970" si="124">IF($B1907="","",IF(AO1907=0,"",AM1907/AO1907))</f>
        <v/>
      </c>
      <c r="AR1907" s="21"/>
    </row>
    <row r="1908" spans="2:44" ht="31.5" x14ac:dyDescent="0.5">
      <c r="B1908" s="1"/>
      <c r="C1908" s="15"/>
      <c r="D1908" s="16"/>
      <c r="E1908" s="15"/>
      <c r="F1908" s="17"/>
      <c r="G1908" s="8"/>
      <c r="H1908" s="8"/>
      <c r="I1908" s="8"/>
      <c r="J1908" s="8"/>
      <c r="K1908" s="8"/>
      <c r="L1908" s="8"/>
      <c r="M1908" s="8"/>
      <c r="N1908" s="8"/>
      <c r="O1908" s="8"/>
      <c r="P1908" s="8"/>
      <c r="Q1908" s="8"/>
      <c r="R1908" s="8"/>
      <c r="S1908" s="8"/>
      <c r="T1908" s="8"/>
      <c r="U1908" s="8"/>
      <c r="V1908" s="8"/>
      <c r="W1908" s="8"/>
      <c r="X1908" s="8"/>
      <c r="Y1908" s="8"/>
      <c r="Z1908" s="8"/>
      <c r="AA1908" s="8"/>
      <c r="AB1908" s="8"/>
      <c r="AC1908" s="8"/>
      <c r="AD1908" s="8"/>
      <c r="AE1908" s="8"/>
      <c r="AF1908" s="8"/>
      <c r="AG1908" s="8"/>
      <c r="AH1908" s="8"/>
      <c r="AI1908" s="8"/>
      <c r="AJ1908" s="8"/>
      <c r="AK1908" s="8"/>
      <c r="AL1908" s="4"/>
      <c r="AM1908" s="5" t="str">
        <f t="shared" si="121"/>
        <v/>
      </c>
      <c r="AN1908" s="5" t="str">
        <f t="shared" si="122"/>
        <v/>
      </c>
      <c r="AO1908" s="18" t="str">
        <f t="shared" si="123"/>
        <v/>
      </c>
      <c r="AP1908" s="19"/>
      <c r="AQ1908" s="20" t="str">
        <f t="shared" si="124"/>
        <v/>
      </c>
      <c r="AR1908" s="21"/>
    </row>
    <row r="1909" spans="2:44" ht="31.5" x14ac:dyDescent="0.5">
      <c r="B1909" s="1"/>
      <c r="C1909" s="15"/>
      <c r="D1909" s="16"/>
      <c r="E1909" s="15"/>
      <c r="F1909" s="17"/>
      <c r="G1909" s="8"/>
      <c r="H1909" s="8"/>
      <c r="I1909" s="8"/>
      <c r="J1909" s="8"/>
      <c r="K1909" s="8"/>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4"/>
      <c r="AM1909" s="5" t="str">
        <f t="shared" si="121"/>
        <v/>
      </c>
      <c r="AN1909" s="5" t="str">
        <f t="shared" si="122"/>
        <v/>
      </c>
      <c r="AO1909" s="18" t="str">
        <f t="shared" si="123"/>
        <v/>
      </c>
      <c r="AP1909" s="19"/>
      <c r="AQ1909" s="20" t="str">
        <f t="shared" si="124"/>
        <v/>
      </c>
      <c r="AR1909" s="21"/>
    </row>
    <row r="1910" spans="2:44" ht="31.5" x14ac:dyDescent="0.5">
      <c r="B1910" s="1"/>
      <c r="C1910" s="15"/>
      <c r="D1910" s="16"/>
      <c r="E1910" s="15"/>
      <c r="F1910" s="17"/>
      <c r="G1910" s="8"/>
      <c r="H1910" s="8"/>
      <c r="I1910" s="8"/>
      <c r="J1910" s="8"/>
      <c r="K1910" s="8"/>
      <c r="L1910" s="8"/>
      <c r="M1910" s="8"/>
      <c r="N1910" s="8"/>
      <c r="O1910" s="8"/>
      <c r="P1910" s="8"/>
      <c r="Q1910" s="8"/>
      <c r="R1910" s="8"/>
      <c r="S1910" s="8"/>
      <c r="T1910" s="8"/>
      <c r="U1910" s="8"/>
      <c r="V1910" s="8"/>
      <c r="W1910" s="8"/>
      <c r="X1910" s="8"/>
      <c r="Y1910" s="8"/>
      <c r="Z1910" s="8"/>
      <c r="AA1910" s="8"/>
      <c r="AB1910" s="8"/>
      <c r="AC1910" s="8"/>
      <c r="AD1910" s="8"/>
      <c r="AE1910" s="8"/>
      <c r="AF1910" s="8"/>
      <c r="AG1910" s="8"/>
      <c r="AH1910" s="8"/>
      <c r="AI1910" s="8"/>
      <c r="AJ1910" s="8"/>
      <c r="AK1910" s="8"/>
      <c r="AL1910" s="4"/>
      <c r="AM1910" s="5" t="str">
        <f t="shared" si="121"/>
        <v/>
      </c>
      <c r="AN1910" s="5" t="str">
        <f t="shared" si="122"/>
        <v/>
      </c>
      <c r="AO1910" s="18" t="str">
        <f t="shared" si="123"/>
        <v/>
      </c>
      <c r="AP1910" s="19"/>
      <c r="AQ1910" s="20" t="str">
        <f t="shared" si="124"/>
        <v/>
      </c>
      <c r="AR1910" s="21"/>
    </row>
    <row r="1911" spans="2:44" ht="31.5" x14ac:dyDescent="0.5">
      <c r="B1911" s="1"/>
      <c r="C1911" s="15"/>
      <c r="D1911" s="16"/>
      <c r="E1911" s="15"/>
      <c r="F1911" s="17"/>
      <c r="G1911" s="8"/>
      <c r="H1911" s="8"/>
      <c r="I1911" s="8"/>
      <c r="J1911" s="8"/>
      <c r="K1911" s="8"/>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4"/>
      <c r="AM1911" s="5" t="str">
        <f t="shared" si="121"/>
        <v/>
      </c>
      <c r="AN1911" s="5" t="str">
        <f t="shared" si="122"/>
        <v/>
      </c>
      <c r="AO1911" s="18" t="str">
        <f t="shared" si="123"/>
        <v/>
      </c>
      <c r="AP1911" s="19"/>
      <c r="AQ1911" s="20" t="str">
        <f t="shared" si="124"/>
        <v/>
      </c>
      <c r="AR1911" s="21"/>
    </row>
    <row r="1912" spans="2:44" ht="31.5" x14ac:dyDescent="0.5">
      <c r="B1912" s="1"/>
      <c r="C1912" s="15"/>
      <c r="D1912" s="16"/>
      <c r="E1912" s="15"/>
      <c r="F1912" s="17"/>
      <c r="G1912" s="8"/>
      <c r="H1912" s="8"/>
      <c r="I1912" s="8"/>
      <c r="J1912" s="8"/>
      <c r="K1912" s="8"/>
      <c r="L1912" s="8"/>
      <c r="M1912" s="8"/>
      <c r="N1912" s="8"/>
      <c r="O1912" s="8"/>
      <c r="P1912" s="8"/>
      <c r="Q1912" s="8"/>
      <c r="R1912" s="8"/>
      <c r="S1912" s="8"/>
      <c r="T1912" s="8"/>
      <c r="U1912" s="8"/>
      <c r="V1912" s="8"/>
      <c r="W1912" s="8"/>
      <c r="X1912" s="8"/>
      <c r="Y1912" s="8"/>
      <c r="Z1912" s="8"/>
      <c r="AA1912" s="8"/>
      <c r="AB1912" s="8"/>
      <c r="AC1912" s="8"/>
      <c r="AD1912" s="8"/>
      <c r="AE1912" s="8"/>
      <c r="AF1912" s="8"/>
      <c r="AG1912" s="8"/>
      <c r="AH1912" s="8"/>
      <c r="AI1912" s="8"/>
      <c r="AJ1912" s="8"/>
      <c r="AK1912" s="8"/>
      <c r="AL1912" s="4"/>
      <c r="AM1912" s="5" t="str">
        <f t="shared" si="121"/>
        <v/>
      </c>
      <c r="AN1912" s="5" t="str">
        <f t="shared" si="122"/>
        <v/>
      </c>
      <c r="AO1912" s="18" t="str">
        <f t="shared" si="123"/>
        <v/>
      </c>
      <c r="AP1912" s="19"/>
      <c r="AQ1912" s="20" t="str">
        <f t="shared" si="124"/>
        <v/>
      </c>
      <c r="AR1912" s="21"/>
    </row>
    <row r="1913" spans="2:44" ht="31.5" x14ac:dyDescent="0.5">
      <c r="B1913" s="1"/>
      <c r="C1913" s="15"/>
      <c r="D1913" s="16"/>
      <c r="E1913" s="15"/>
      <c r="F1913" s="17"/>
      <c r="G1913" s="8"/>
      <c r="H1913" s="8"/>
      <c r="I1913" s="8"/>
      <c r="J1913" s="8"/>
      <c r="K1913" s="8"/>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4"/>
      <c r="AM1913" s="5" t="str">
        <f t="shared" si="121"/>
        <v/>
      </c>
      <c r="AN1913" s="5" t="str">
        <f t="shared" si="122"/>
        <v/>
      </c>
      <c r="AO1913" s="18" t="str">
        <f t="shared" si="123"/>
        <v/>
      </c>
      <c r="AP1913" s="19"/>
      <c r="AQ1913" s="20" t="str">
        <f t="shared" si="124"/>
        <v/>
      </c>
      <c r="AR1913" s="21"/>
    </row>
    <row r="1914" spans="2:44" ht="31.5" x14ac:dyDescent="0.5">
      <c r="B1914" s="1"/>
      <c r="C1914" s="15"/>
      <c r="D1914" s="16"/>
      <c r="E1914" s="15"/>
      <c r="F1914" s="17"/>
      <c r="G1914" s="8"/>
      <c r="H1914" s="8"/>
      <c r="I1914" s="8"/>
      <c r="J1914" s="8"/>
      <c r="K1914" s="8"/>
      <c r="L1914" s="8"/>
      <c r="M1914" s="8"/>
      <c r="N1914" s="8"/>
      <c r="O1914" s="8"/>
      <c r="P1914" s="8"/>
      <c r="Q1914" s="8"/>
      <c r="R1914" s="8"/>
      <c r="S1914" s="8"/>
      <c r="T1914" s="8"/>
      <c r="U1914" s="8"/>
      <c r="V1914" s="8"/>
      <c r="W1914" s="8"/>
      <c r="X1914" s="8"/>
      <c r="Y1914" s="8"/>
      <c r="Z1914" s="8"/>
      <c r="AA1914" s="8"/>
      <c r="AB1914" s="8"/>
      <c r="AC1914" s="8"/>
      <c r="AD1914" s="8"/>
      <c r="AE1914" s="8"/>
      <c r="AF1914" s="8"/>
      <c r="AG1914" s="8"/>
      <c r="AH1914" s="8"/>
      <c r="AI1914" s="8"/>
      <c r="AJ1914" s="8"/>
      <c r="AK1914" s="8"/>
      <c r="AL1914" s="4"/>
      <c r="AM1914" s="5" t="str">
        <f t="shared" si="121"/>
        <v/>
      </c>
      <c r="AN1914" s="5" t="str">
        <f t="shared" si="122"/>
        <v/>
      </c>
      <c r="AO1914" s="18" t="str">
        <f t="shared" si="123"/>
        <v/>
      </c>
      <c r="AP1914" s="19"/>
      <c r="AQ1914" s="20" t="str">
        <f t="shared" si="124"/>
        <v/>
      </c>
      <c r="AR1914" s="21"/>
    </row>
    <row r="1915" spans="2:44" ht="31.5" x14ac:dyDescent="0.5">
      <c r="B1915" s="1"/>
      <c r="C1915" s="15"/>
      <c r="D1915" s="16"/>
      <c r="E1915" s="15"/>
      <c r="F1915" s="17"/>
      <c r="G1915" s="8"/>
      <c r="H1915" s="8"/>
      <c r="I1915" s="8"/>
      <c r="J1915" s="8"/>
      <c r="K1915" s="8"/>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4"/>
      <c r="AM1915" s="5" t="str">
        <f t="shared" si="121"/>
        <v/>
      </c>
      <c r="AN1915" s="5" t="str">
        <f t="shared" si="122"/>
        <v/>
      </c>
      <c r="AO1915" s="18" t="str">
        <f t="shared" si="123"/>
        <v/>
      </c>
      <c r="AP1915" s="19"/>
      <c r="AQ1915" s="20" t="str">
        <f t="shared" si="124"/>
        <v/>
      </c>
      <c r="AR1915" s="21"/>
    </row>
    <row r="1916" spans="2:44" ht="31.5" x14ac:dyDescent="0.5">
      <c r="B1916" s="1"/>
      <c r="C1916" s="15"/>
      <c r="D1916" s="16"/>
      <c r="E1916" s="15"/>
      <c r="F1916" s="17"/>
      <c r="G1916" s="8"/>
      <c r="H1916" s="8"/>
      <c r="I1916" s="8"/>
      <c r="J1916" s="8"/>
      <c r="K1916" s="8"/>
      <c r="L1916" s="8"/>
      <c r="M1916" s="8"/>
      <c r="N1916" s="8"/>
      <c r="O1916" s="8"/>
      <c r="P1916" s="8"/>
      <c r="Q1916" s="8"/>
      <c r="R1916" s="8"/>
      <c r="S1916" s="8"/>
      <c r="T1916" s="8"/>
      <c r="U1916" s="8"/>
      <c r="V1916" s="8"/>
      <c r="W1916" s="8"/>
      <c r="X1916" s="8"/>
      <c r="Y1916" s="8"/>
      <c r="Z1916" s="8"/>
      <c r="AA1916" s="8"/>
      <c r="AB1916" s="8"/>
      <c r="AC1916" s="8"/>
      <c r="AD1916" s="8"/>
      <c r="AE1916" s="8"/>
      <c r="AF1916" s="8"/>
      <c r="AG1916" s="8"/>
      <c r="AH1916" s="8"/>
      <c r="AI1916" s="8"/>
      <c r="AJ1916" s="8"/>
      <c r="AK1916" s="8"/>
      <c r="AL1916" s="4"/>
      <c r="AM1916" s="5" t="str">
        <f t="shared" si="121"/>
        <v/>
      </c>
      <c r="AN1916" s="5" t="str">
        <f t="shared" si="122"/>
        <v/>
      </c>
      <c r="AO1916" s="18" t="str">
        <f t="shared" si="123"/>
        <v/>
      </c>
      <c r="AP1916" s="19"/>
      <c r="AQ1916" s="20" t="str">
        <f t="shared" si="124"/>
        <v/>
      </c>
      <c r="AR1916" s="21"/>
    </row>
    <row r="1917" spans="2:44" ht="31.5" x14ac:dyDescent="0.5">
      <c r="B1917" s="1"/>
      <c r="C1917" s="15"/>
      <c r="D1917" s="16"/>
      <c r="E1917" s="15"/>
      <c r="F1917" s="17"/>
      <c r="G1917" s="8"/>
      <c r="H1917" s="8"/>
      <c r="I1917" s="8"/>
      <c r="J1917" s="8"/>
      <c r="K1917" s="8"/>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4"/>
      <c r="AM1917" s="5" t="str">
        <f t="shared" si="121"/>
        <v/>
      </c>
      <c r="AN1917" s="5" t="str">
        <f t="shared" si="122"/>
        <v/>
      </c>
      <c r="AO1917" s="18" t="str">
        <f t="shared" si="123"/>
        <v/>
      </c>
      <c r="AP1917" s="19"/>
      <c r="AQ1917" s="20" t="str">
        <f t="shared" si="124"/>
        <v/>
      </c>
      <c r="AR1917" s="21"/>
    </row>
    <row r="1918" spans="2:44" ht="31.5" x14ac:dyDescent="0.5">
      <c r="B1918" s="1"/>
      <c r="C1918" s="15"/>
      <c r="D1918" s="16"/>
      <c r="E1918" s="15"/>
      <c r="F1918" s="17"/>
      <c r="G1918" s="8"/>
      <c r="H1918" s="8"/>
      <c r="I1918" s="8"/>
      <c r="J1918" s="8"/>
      <c r="K1918" s="8"/>
      <c r="L1918" s="8"/>
      <c r="M1918" s="8"/>
      <c r="N1918" s="8"/>
      <c r="O1918" s="8"/>
      <c r="P1918" s="8"/>
      <c r="Q1918" s="8"/>
      <c r="R1918" s="8"/>
      <c r="S1918" s="8"/>
      <c r="T1918" s="8"/>
      <c r="U1918" s="8"/>
      <c r="V1918" s="8"/>
      <c r="W1918" s="8"/>
      <c r="X1918" s="8"/>
      <c r="Y1918" s="8"/>
      <c r="Z1918" s="8"/>
      <c r="AA1918" s="8"/>
      <c r="AB1918" s="8"/>
      <c r="AC1918" s="8"/>
      <c r="AD1918" s="8"/>
      <c r="AE1918" s="8"/>
      <c r="AF1918" s="8"/>
      <c r="AG1918" s="8"/>
      <c r="AH1918" s="8"/>
      <c r="AI1918" s="8"/>
      <c r="AJ1918" s="8"/>
      <c r="AK1918" s="8"/>
      <c r="AL1918" s="4"/>
      <c r="AM1918" s="5" t="str">
        <f t="shared" si="121"/>
        <v/>
      </c>
      <c r="AN1918" s="5" t="str">
        <f t="shared" si="122"/>
        <v/>
      </c>
      <c r="AO1918" s="18" t="str">
        <f t="shared" si="123"/>
        <v/>
      </c>
      <c r="AP1918" s="19"/>
      <c r="AQ1918" s="20" t="str">
        <f t="shared" si="124"/>
        <v/>
      </c>
      <c r="AR1918" s="21"/>
    </row>
    <row r="1919" spans="2:44" ht="31.5" x14ac:dyDescent="0.5">
      <c r="B1919" s="1"/>
      <c r="C1919" s="15"/>
      <c r="D1919" s="16"/>
      <c r="E1919" s="15"/>
      <c r="F1919" s="17"/>
      <c r="G1919" s="8"/>
      <c r="H1919" s="8"/>
      <c r="I1919" s="8"/>
      <c r="J1919" s="8"/>
      <c r="K1919" s="8"/>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4"/>
      <c r="AM1919" s="5" t="str">
        <f t="shared" si="121"/>
        <v/>
      </c>
      <c r="AN1919" s="5" t="str">
        <f t="shared" si="122"/>
        <v/>
      </c>
      <c r="AO1919" s="18" t="str">
        <f t="shared" si="123"/>
        <v/>
      </c>
      <c r="AP1919" s="19"/>
      <c r="AQ1919" s="20" t="str">
        <f t="shared" si="124"/>
        <v/>
      </c>
      <c r="AR1919" s="21"/>
    </row>
    <row r="1920" spans="2:44" ht="31.5" x14ac:dyDescent="0.5">
      <c r="B1920" s="1"/>
      <c r="C1920" s="15"/>
      <c r="D1920" s="16"/>
      <c r="E1920" s="15"/>
      <c r="F1920" s="17"/>
      <c r="G1920" s="8"/>
      <c r="H1920" s="8"/>
      <c r="I1920" s="8"/>
      <c r="J1920" s="8"/>
      <c r="K1920" s="8"/>
      <c r="L1920" s="8"/>
      <c r="M1920" s="8"/>
      <c r="N1920" s="8"/>
      <c r="O1920" s="8"/>
      <c r="P1920" s="8"/>
      <c r="Q1920" s="8"/>
      <c r="R1920" s="8"/>
      <c r="S1920" s="8"/>
      <c r="T1920" s="8"/>
      <c r="U1920" s="8"/>
      <c r="V1920" s="8"/>
      <c r="W1920" s="8"/>
      <c r="X1920" s="8"/>
      <c r="Y1920" s="8"/>
      <c r="Z1920" s="8"/>
      <c r="AA1920" s="8"/>
      <c r="AB1920" s="8"/>
      <c r="AC1920" s="8"/>
      <c r="AD1920" s="8"/>
      <c r="AE1920" s="8"/>
      <c r="AF1920" s="8"/>
      <c r="AG1920" s="8"/>
      <c r="AH1920" s="8"/>
      <c r="AI1920" s="8"/>
      <c r="AJ1920" s="8"/>
      <c r="AK1920" s="8"/>
      <c r="AL1920" s="4"/>
      <c r="AM1920" s="5" t="str">
        <f t="shared" si="121"/>
        <v/>
      </c>
      <c r="AN1920" s="5" t="str">
        <f t="shared" si="122"/>
        <v/>
      </c>
      <c r="AO1920" s="18" t="str">
        <f t="shared" si="123"/>
        <v/>
      </c>
      <c r="AP1920" s="19"/>
      <c r="AQ1920" s="20" t="str">
        <f t="shared" si="124"/>
        <v/>
      </c>
      <c r="AR1920" s="21"/>
    </row>
    <row r="1921" spans="2:44" ht="31.5" x14ac:dyDescent="0.5">
      <c r="B1921" s="1"/>
      <c r="C1921" s="15"/>
      <c r="D1921" s="16"/>
      <c r="E1921" s="15"/>
      <c r="F1921" s="17"/>
      <c r="G1921" s="8"/>
      <c r="H1921" s="8"/>
      <c r="I1921" s="8"/>
      <c r="J1921" s="8"/>
      <c r="K1921" s="8"/>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4"/>
      <c r="AM1921" s="5" t="str">
        <f t="shared" si="121"/>
        <v/>
      </c>
      <c r="AN1921" s="5" t="str">
        <f t="shared" si="122"/>
        <v/>
      </c>
      <c r="AO1921" s="18" t="str">
        <f t="shared" si="123"/>
        <v/>
      </c>
      <c r="AP1921" s="19"/>
      <c r="AQ1921" s="20" t="str">
        <f t="shared" si="124"/>
        <v/>
      </c>
      <c r="AR1921" s="21"/>
    </row>
    <row r="1922" spans="2:44" ht="31.5" x14ac:dyDescent="0.5">
      <c r="B1922" s="1"/>
      <c r="C1922" s="15"/>
      <c r="D1922" s="16"/>
      <c r="E1922" s="15"/>
      <c r="F1922" s="17"/>
      <c r="G1922" s="8"/>
      <c r="H1922" s="8"/>
      <c r="I1922" s="8"/>
      <c r="J1922" s="8"/>
      <c r="K1922" s="8"/>
      <c r="L1922" s="8"/>
      <c r="M1922" s="8"/>
      <c r="N1922" s="8"/>
      <c r="O1922" s="8"/>
      <c r="P1922" s="8"/>
      <c r="Q1922" s="8"/>
      <c r="R1922" s="8"/>
      <c r="S1922" s="8"/>
      <c r="T1922" s="8"/>
      <c r="U1922" s="8"/>
      <c r="V1922" s="8"/>
      <c r="W1922" s="8"/>
      <c r="X1922" s="8"/>
      <c r="Y1922" s="8"/>
      <c r="Z1922" s="8"/>
      <c r="AA1922" s="8"/>
      <c r="AB1922" s="8"/>
      <c r="AC1922" s="8"/>
      <c r="AD1922" s="8"/>
      <c r="AE1922" s="8"/>
      <c r="AF1922" s="8"/>
      <c r="AG1922" s="8"/>
      <c r="AH1922" s="8"/>
      <c r="AI1922" s="8"/>
      <c r="AJ1922" s="8"/>
      <c r="AK1922" s="8"/>
      <c r="AL1922" s="4"/>
      <c r="AM1922" s="5" t="str">
        <f t="shared" si="121"/>
        <v/>
      </c>
      <c r="AN1922" s="5" t="str">
        <f t="shared" si="122"/>
        <v/>
      </c>
      <c r="AO1922" s="18" t="str">
        <f t="shared" si="123"/>
        <v/>
      </c>
      <c r="AP1922" s="19"/>
      <c r="AQ1922" s="20" t="str">
        <f t="shared" si="124"/>
        <v/>
      </c>
      <c r="AR1922" s="21"/>
    </row>
    <row r="1923" spans="2:44" ht="31.5" x14ac:dyDescent="0.5">
      <c r="B1923" s="1"/>
      <c r="C1923" s="15"/>
      <c r="D1923" s="16"/>
      <c r="E1923" s="15"/>
      <c r="F1923" s="17"/>
      <c r="G1923" s="8"/>
      <c r="H1923" s="8"/>
      <c r="I1923" s="8"/>
      <c r="J1923" s="8"/>
      <c r="K1923" s="8"/>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4"/>
      <c r="AM1923" s="5" t="str">
        <f t="shared" si="121"/>
        <v/>
      </c>
      <c r="AN1923" s="5" t="str">
        <f t="shared" si="122"/>
        <v/>
      </c>
      <c r="AO1923" s="18" t="str">
        <f t="shared" si="123"/>
        <v/>
      </c>
      <c r="AP1923" s="19"/>
      <c r="AQ1923" s="20" t="str">
        <f t="shared" si="124"/>
        <v/>
      </c>
      <c r="AR1923" s="21"/>
    </row>
    <row r="1924" spans="2:44" ht="31.5" x14ac:dyDescent="0.5">
      <c r="B1924" s="1"/>
      <c r="C1924" s="15"/>
      <c r="D1924" s="16"/>
      <c r="E1924" s="15"/>
      <c r="F1924" s="17"/>
      <c r="G1924" s="8"/>
      <c r="H1924" s="8"/>
      <c r="I1924" s="8"/>
      <c r="J1924" s="8"/>
      <c r="K1924" s="8"/>
      <c r="L1924" s="8"/>
      <c r="M1924" s="8"/>
      <c r="N1924" s="8"/>
      <c r="O1924" s="8"/>
      <c r="P1924" s="8"/>
      <c r="Q1924" s="8"/>
      <c r="R1924" s="8"/>
      <c r="S1924" s="8"/>
      <c r="T1924" s="8"/>
      <c r="U1924" s="8"/>
      <c r="V1924" s="8"/>
      <c r="W1924" s="8"/>
      <c r="X1924" s="8"/>
      <c r="Y1924" s="8"/>
      <c r="Z1924" s="8"/>
      <c r="AA1924" s="8"/>
      <c r="AB1924" s="8"/>
      <c r="AC1924" s="8"/>
      <c r="AD1924" s="8"/>
      <c r="AE1924" s="8"/>
      <c r="AF1924" s="8"/>
      <c r="AG1924" s="8"/>
      <c r="AH1924" s="8"/>
      <c r="AI1924" s="8"/>
      <c r="AJ1924" s="8"/>
      <c r="AK1924" s="8"/>
      <c r="AL1924" s="4"/>
      <c r="AM1924" s="5" t="str">
        <f t="shared" si="121"/>
        <v/>
      </c>
      <c r="AN1924" s="5" t="str">
        <f t="shared" si="122"/>
        <v/>
      </c>
      <c r="AO1924" s="18" t="str">
        <f t="shared" si="123"/>
        <v/>
      </c>
      <c r="AP1924" s="19"/>
      <c r="AQ1924" s="20" t="str">
        <f t="shared" si="124"/>
        <v/>
      </c>
      <c r="AR1924" s="21"/>
    </row>
    <row r="1925" spans="2:44" ht="31.5" x14ac:dyDescent="0.5">
      <c r="B1925" s="1"/>
      <c r="C1925" s="15"/>
      <c r="D1925" s="16"/>
      <c r="E1925" s="15"/>
      <c r="F1925" s="17"/>
      <c r="G1925" s="8"/>
      <c r="H1925" s="8"/>
      <c r="I1925" s="8"/>
      <c r="J1925" s="8"/>
      <c r="K1925" s="8"/>
      <c r="L1925" s="8"/>
      <c r="M1925" s="8"/>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4"/>
      <c r="AM1925" s="5" t="str">
        <f t="shared" si="121"/>
        <v/>
      </c>
      <c r="AN1925" s="5" t="str">
        <f t="shared" si="122"/>
        <v/>
      </c>
      <c r="AO1925" s="18" t="str">
        <f t="shared" si="123"/>
        <v/>
      </c>
      <c r="AP1925" s="19"/>
      <c r="AQ1925" s="20" t="str">
        <f t="shared" si="124"/>
        <v/>
      </c>
      <c r="AR1925" s="21"/>
    </row>
    <row r="1926" spans="2:44" ht="31.5" x14ac:dyDescent="0.5">
      <c r="B1926" s="1"/>
      <c r="C1926" s="15"/>
      <c r="D1926" s="16"/>
      <c r="E1926" s="15"/>
      <c r="F1926" s="17"/>
      <c r="G1926" s="8"/>
      <c r="H1926" s="8"/>
      <c r="I1926" s="8"/>
      <c r="J1926" s="8"/>
      <c r="K1926" s="8"/>
      <c r="L1926" s="8"/>
      <c r="M1926" s="8"/>
      <c r="N1926" s="8"/>
      <c r="O1926" s="8"/>
      <c r="P1926" s="8"/>
      <c r="Q1926" s="8"/>
      <c r="R1926" s="8"/>
      <c r="S1926" s="8"/>
      <c r="T1926" s="8"/>
      <c r="U1926" s="8"/>
      <c r="V1926" s="8"/>
      <c r="W1926" s="8"/>
      <c r="X1926" s="8"/>
      <c r="Y1926" s="8"/>
      <c r="Z1926" s="8"/>
      <c r="AA1926" s="8"/>
      <c r="AB1926" s="8"/>
      <c r="AC1926" s="8"/>
      <c r="AD1926" s="8"/>
      <c r="AE1926" s="8"/>
      <c r="AF1926" s="8"/>
      <c r="AG1926" s="8"/>
      <c r="AH1926" s="8"/>
      <c r="AI1926" s="8"/>
      <c r="AJ1926" s="8"/>
      <c r="AK1926" s="8"/>
      <c r="AL1926" s="4"/>
      <c r="AM1926" s="5" t="str">
        <f t="shared" si="121"/>
        <v/>
      </c>
      <c r="AN1926" s="5" t="str">
        <f t="shared" si="122"/>
        <v/>
      </c>
      <c r="AO1926" s="18" t="str">
        <f t="shared" si="123"/>
        <v/>
      </c>
      <c r="AP1926" s="19"/>
      <c r="AQ1926" s="20" t="str">
        <f t="shared" si="124"/>
        <v/>
      </c>
      <c r="AR1926" s="21"/>
    </row>
    <row r="1927" spans="2:44" ht="31.5" x14ac:dyDescent="0.5">
      <c r="B1927" s="1"/>
      <c r="C1927" s="15"/>
      <c r="D1927" s="16"/>
      <c r="E1927" s="15"/>
      <c r="F1927" s="17"/>
      <c r="G1927" s="8"/>
      <c r="H1927" s="8"/>
      <c r="I1927" s="8"/>
      <c r="J1927" s="8"/>
      <c r="K1927" s="8"/>
      <c r="L1927" s="8"/>
      <c r="M1927" s="8"/>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4"/>
      <c r="AM1927" s="5" t="str">
        <f t="shared" si="121"/>
        <v/>
      </c>
      <c r="AN1927" s="5" t="str">
        <f t="shared" si="122"/>
        <v/>
      </c>
      <c r="AO1927" s="18" t="str">
        <f t="shared" si="123"/>
        <v/>
      </c>
      <c r="AP1927" s="19"/>
      <c r="AQ1927" s="20" t="str">
        <f t="shared" si="124"/>
        <v/>
      </c>
      <c r="AR1927" s="21"/>
    </row>
    <row r="1928" spans="2:44" ht="31.5" x14ac:dyDescent="0.5">
      <c r="B1928" s="1"/>
      <c r="C1928" s="15"/>
      <c r="D1928" s="16"/>
      <c r="E1928" s="15"/>
      <c r="F1928" s="17"/>
      <c r="G1928" s="8"/>
      <c r="H1928" s="8"/>
      <c r="I1928" s="8"/>
      <c r="J1928" s="8"/>
      <c r="K1928" s="8"/>
      <c r="L1928" s="8"/>
      <c r="M1928" s="8"/>
      <c r="N1928" s="8"/>
      <c r="O1928" s="8"/>
      <c r="P1928" s="8"/>
      <c r="Q1928" s="8"/>
      <c r="R1928" s="8"/>
      <c r="S1928" s="8"/>
      <c r="T1928" s="8"/>
      <c r="U1928" s="8"/>
      <c r="V1928" s="8"/>
      <c r="W1928" s="8"/>
      <c r="X1928" s="8"/>
      <c r="Y1928" s="8"/>
      <c r="Z1928" s="8"/>
      <c r="AA1928" s="8"/>
      <c r="AB1928" s="8"/>
      <c r="AC1928" s="8"/>
      <c r="AD1928" s="8"/>
      <c r="AE1928" s="8"/>
      <c r="AF1928" s="8"/>
      <c r="AG1928" s="8"/>
      <c r="AH1928" s="8"/>
      <c r="AI1928" s="8"/>
      <c r="AJ1928" s="8"/>
      <c r="AK1928" s="8"/>
      <c r="AL1928" s="4"/>
      <c r="AM1928" s="5" t="str">
        <f t="shared" si="121"/>
        <v/>
      </c>
      <c r="AN1928" s="5" t="str">
        <f t="shared" si="122"/>
        <v/>
      </c>
      <c r="AO1928" s="18" t="str">
        <f t="shared" si="123"/>
        <v/>
      </c>
      <c r="AP1928" s="19"/>
      <c r="AQ1928" s="20" t="str">
        <f t="shared" si="124"/>
        <v/>
      </c>
      <c r="AR1928" s="21"/>
    </row>
    <row r="1929" spans="2:44" ht="31.5" x14ac:dyDescent="0.5">
      <c r="B1929" s="1"/>
      <c r="C1929" s="15"/>
      <c r="D1929" s="16"/>
      <c r="E1929" s="15"/>
      <c r="F1929" s="17"/>
      <c r="G1929" s="8"/>
      <c r="H1929" s="8"/>
      <c r="I1929" s="8"/>
      <c r="J1929" s="8"/>
      <c r="K1929" s="8"/>
      <c r="L1929" s="8"/>
      <c r="M1929" s="8"/>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4"/>
      <c r="AM1929" s="5" t="str">
        <f t="shared" si="121"/>
        <v/>
      </c>
      <c r="AN1929" s="5" t="str">
        <f t="shared" si="122"/>
        <v/>
      </c>
      <c r="AO1929" s="18" t="str">
        <f t="shared" si="123"/>
        <v/>
      </c>
      <c r="AP1929" s="19"/>
      <c r="AQ1929" s="20" t="str">
        <f t="shared" si="124"/>
        <v/>
      </c>
      <c r="AR1929" s="21"/>
    </row>
    <row r="1930" spans="2:44" ht="31.5" x14ac:dyDescent="0.5">
      <c r="B1930" s="1"/>
      <c r="C1930" s="15"/>
      <c r="D1930" s="16"/>
      <c r="E1930" s="15"/>
      <c r="F1930" s="17"/>
      <c r="G1930" s="8"/>
      <c r="H1930" s="8"/>
      <c r="I1930" s="8"/>
      <c r="J1930" s="8"/>
      <c r="K1930" s="8"/>
      <c r="L1930" s="8"/>
      <c r="M1930" s="8"/>
      <c r="N1930" s="8"/>
      <c r="O1930" s="8"/>
      <c r="P1930" s="8"/>
      <c r="Q1930" s="8"/>
      <c r="R1930" s="8"/>
      <c r="S1930" s="8"/>
      <c r="T1930" s="8"/>
      <c r="U1930" s="8"/>
      <c r="V1930" s="8"/>
      <c r="W1930" s="8"/>
      <c r="X1930" s="8"/>
      <c r="Y1930" s="8"/>
      <c r="Z1930" s="8"/>
      <c r="AA1930" s="8"/>
      <c r="AB1930" s="8"/>
      <c r="AC1930" s="8"/>
      <c r="AD1930" s="8"/>
      <c r="AE1930" s="8"/>
      <c r="AF1930" s="8"/>
      <c r="AG1930" s="8"/>
      <c r="AH1930" s="8"/>
      <c r="AI1930" s="8"/>
      <c r="AJ1930" s="8"/>
      <c r="AK1930" s="8"/>
      <c r="AL1930" s="4"/>
      <c r="AM1930" s="5" t="str">
        <f t="shared" si="121"/>
        <v/>
      </c>
      <c r="AN1930" s="5" t="str">
        <f t="shared" si="122"/>
        <v/>
      </c>
      <c r="AO1930" s="18" t="str">
        <f t="shared" si="123"/>
        <v/>
      </c>
      <c r="AP1930" s="19"/>
      <c r="AQ1930" s="20" t="str">
        <f t="shared" si="124"/>
        <v/>
      </c>
      <c r="AR1930" s="21"/>
    </row>
    <row r="1931" spans="2:44" ht="31.5" x14ac:dyDescent="0.5">
      <c r="B1931" s="1"/>
      <c r="C1931" s="15"/>
      <c r="D1931" s="16"/>
      <c r="E1931" s="15"/>
      <c r="F1931" s="17"/>
      <c r="G1931" s="8"/>
      <c r="H1931" s="8"/>
      <c r="I1931" s="8"/>
      <c r="J1931" s="8"/>
      <c r="K1931" s="8"/>
      <c r="L1931" s="8"/>
      <c r="M1931" s="8"/>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4"/>
      <c r="AM1931" s="5" t="str">
        <f t="shared" si="121"/>
        <v/>
      </c>
      <c r="AN1931" s="5" t="str">
        <f t="shared" si="122"/>
        <v/>
      </c>
      <c r="AO1931" s="18" t="str">
        <f t="shared" si="123"/>
        <v/>
      </c>
      <c r="AP1931" s="19"/>
      <c r="AQ1931" s="20" t="str">
        <f t="shared" si="124"/>
        <v/>
      </c>
      <c r="AR1931" s="21"/>
    </row>
    <row r="1932" spans="2:44" ht="31.5" x14ac:dyDescent="0.5">
      <c r="B1932" s="1"/>
      <c r="C1932" s="15"/>
      <c r="D1932" s="16"/>
      <c r="E1932" s="15"/>
      <c r="F1932" s="17"/>
      <c r="G1932" s="8"/>
      <c r="H1932" s="8"/>
      <c r="I1932" s="8"/>
      <c r="J1932" s="8"/>
      <c r="K1932" s="8"/>
      <c r="L1932" s="8"/>
      <c r="M1932" s="8"/>
      <c r="N1932" s="8"/>
      <c r="O1932" s="8"/>
      <c r="P1932" s="8"/>
      <c r="Q1932" s="8"/>
      <c r="R1932" s="8"/>
      <c r="S1932" s="8"/>
      <c r="T1932" s="8"/>
      <c r="U1932" s="8"/>
      <c r="V1932" s="8"/>
      <c r="W1932" s="8"/>
      <c r="X1932" s="8"/>
      <c r="Y1932" s="8"/>
      <c r="Z1932" s="8"/>
      <c r="AA1932" s="8"/>
      <c r="AB1932" s="8"/>
      <c r="AC1932" s="8"/>
      <c r="AD1932" s="8"/>
      <c r="AE1932" s="8"/>
      <c r="AF1932" s="8"/>
      <c r="AG1932" s="8"/>
      <c r="AH1932" s="8"/>
      <c r="AI1932" s="8"/>
      <c r="AJ1932" s="8"/>
      <c r="AK1932" s="8"/>
      <c r="AL1932" s="4"/>
      <c r="AM1932" s="5" t="str">
        <f t="shared" si="121"/>
        <v/>
      </c>
      <c r="AN1932" s="5" t="str">
        <f t="shared" si="122"/>
        <v/>
      </c>
      <c r="AO1932" s="18" t="str">
        <f t="shared" si="123"/>
        <v/>
      </c>
      <c r="AP1932" s="19"/>
      <c r="AQ1932" s="20" t="str">
        <f t="shared" si="124"/>
        <v/>
      </c>
      <c r="AR1932" s="21"/>
    </row>
    <row r="1933" spans="2:44" ht="31.5" x14ac:dyDescent="0.5">
      <c r="B1933" s="1"/>
      <c r="C1933" s="15"/>
      <c r="D1933" s="16"/>
      <c r="E1933" s="15"/>
      <c r="F1933" s="17"/>
      <c r="G1933" s="8"/>
      <c r="H1933" s="8"/>
      <c r="I1933" s="8"/>
      <c r="J1933" s="8"/>
      <c r="K1933" s="8"/>
      <c r="L1933" s="8"/>
      <c r="M1933" s="8"/>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4"/>
      <c r="AM1933" s="5" t="str">
        <f t="shared" si="121"/>
        <v/>
      </c>
      <c r="AN1933" s="5" t="str">
        <f t="shared" si="122"/>
        <v/>
      </c>
      <c r="AO1933" s="18" t="str">
        <f t="shared" si="123"/>
        <v/>
      </c>
      <c r="AP1933" s="19"/>
      <c r="AQ1933" s="20" t="str">
        <f t="shared" si="124"/>
        <v/>
      </c>
      <c r="AR1933" s="21"/>
    </row>
    <row r="1934" spans="2:44" ht="31.5" x14ac:dyDescent="0.5">
      <c r="B1934" s="1"/>
      <c r="C1934" s="15"/>
      <c r="D1934" s="16"/>
      <c r="E1934" s="15"/>
      <c r="F1934" s="17"/>
      <c r="G1934" s="8"/>
      <c r="H1934" s="8"/>
      <c r="I1934" s="8"/>
      <c r="J1934" s="8"/>
      <c r="K1934" s="8"/>
      <c r="L1934" s="8"/>
      <c r="M1934" s="8"/>
      <c r="N1934" s="8"/>
      <c r="O1934" s="8"/>
      <c r="P1934" s="8"/>
      <c r="Q1934" s="8"/>
      <c r="R1934" s="8"/>
      <c r="S1934" s="8"/>
      <c r="T1934" s="8"/>
      <c r="U1934" s="8"/>
      <c r="V1934" s="8"/>
      <c r="W1934" s="8"/>
      <c r="X1934" s="8"/>
      <c r="Y1934" s="8"/>
      <c r="Z1934" s="8"/>
      <c r="AA1934" s="8"/>
      <c r="AB1934" s="8"/>
      <c r="AC1934" s="8"/>
      <c r="AD1934" s="8"/>
      <c r="AE1934" s="8"/>
      <c r="AF1934" s="8"/>
      <c r="AG1934" s="8"/>
      <c r="AH1934" s="8"/>
      <c r="AI1934" s="8"/>
      <c r="AJ1934" s="8"/>
      <c r="AK1934" s="8"/>
      <c r="AL1934" s="4"/>
      <c r="AM1934" s="5" t="str">
        <f t="shared" si="121"/>
        <v/>
      </c>
      <c r="AN1934" s="5" t="str">
        <f t="shared" si="122"/>
        <v/>
      </c>
      <c r="AO1934" s="18" t="str">
        <f t="shared" si="123"/>
        <v/>
      </c>
      <c r="AP1934" s="19"/>
      <c r="AQ1934" s="20" t="str">
        <f t="shared" si="124"/>
        <v/>
      </c>
      <c r="AR1934" s="21"/>
    </row>
    <row r="1935" spans="2:44" ht="31.5" x14ac:dyDescent="0.5">
      <c r="B1935" s="1"/>
      <c r="C1935" s="15"/>
      <c r="D1935" s="16"/>
      <c r="E1935" s="15"/>
      <c r="F1935" s="17"/>
      <c r="G1935" s="8"/>
      <c r="H1935" s="8"/>
      <c r="I1935" s="8"/>
      <c r="J1935" s="8"/>
      <c r="K1935" s="8"/>
      <c r="L1935" s="8"/>
      <c r="M1935" s="8"/>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4"/>
      <c r="AM1935" s="5" t="str">
        <f t="shared" si="121"/>
        <v/>
      </c>
      <c r="AN1935" s="5" t="str">
        <f t="shared" si="122"/>
        <v/>
      </c>
      <c r="AO1935" s="18" t="str">
        <f t="shared" si="123"/>
        <v/>
      </c>
      <c r="AP1935" s="19"/>
      <c r="AQ1935" s="20" t="str">
        <f t="shared" si="124"/>
        <v/>
      </c>
      <c r="AR1935" s="21"/>
    </row>
    <row r="1936" spans="2:44" ht="31.5" x14ac:dyDescent="0.5">
      <c r="B1936" s="1"/>
      <c r="C1936" s="15"/>
      <c r="D1936" s="16"/>
      <c r="E1936" s="15"/>
      <c r="F1936" s="17"/>
      <c r="G1936" s="8"/>
      <c r="H1936" s="8"/>
      <c r="I1936" s="8"/>
      <c r="J1936" s="8"/>
      <c r="K1936" s="8"/>
      <c r="L1936" s="8"/>
      <c r="M1936" s="8"/>
      <c r="N1936" s="8"/>
      <c r="O1936" s="8"/>
      <c r="P1936" s="8"/>
      <c r="Q1936" s="8"/>
      <c r="R1936" s="8"/>
      <c r="S1936" s="8"/>
      <c r="T1936" s="8"/>
      <c r="U1936" s="8"/>
      <c r="V1936" s="8"/>
      <c r="W1936" s="8"/>
      <c r="X1936" s="8"/>
      <c r="Y1936" s="8"/>
      <c r="Z1936" s="8"/>
      <c r="AA1936" s="8"/>
      <c r="AB1936" s="8"/>
      <c r="AC1936" s="8"/>
      <c r="AD1936" s="8"/>
      <c r="AE1936" s="8"/>
      <c r="AF1936" s="8"/>
      <c r="AG1936" s="8"/>
      <c r="AH1936" s="8"/>
      <c r="AI1936" s="8"/>
      <c r="AJ1936" s="8"/>
      <c r="AK1936" s="8"/>
      <c r="AL1936" s="4"/>
      <c r="AM1936" s="5" t="str">
        <f t="shared" si="121"/>
        <v/>
      </c>
      <c r="AN1936" s="5" t="str">
        <f t="shared" si="122"/>
        <v/>
      </c>
      <c r="AO1936" s="18" t="str">
        <f t="shared" si="123"/>
        <v/>
      </c>
      <c r="AP1936" s="19"/>
      <c r="AQ1936" s="20" t="str">
        <f t="shared" si="124"/>
        <v/>
      </c>
      <c r="AR1936" s="21"/>
    </row>
    <row r="1937" spans="2:44" ht="31.5" x14ac:dyDescent="0.5">
      <c r="B1937" s="1"/>
      <c r="C1937" s="15"/>
      <c r="D1937" s="16"/>
      <c r="E1937" s="15"/>
      <c r="F1937" s="17"/>
      <c r="G1937" s="8"/>
      <c r="H1937" s="8"/>
      <c r="I1937" s="8"/>
      <c r="J1937" s="8"/>
      <c r="K1937" s="8"/>
      <c r="L1937" s="8"/>
      <c r="M1937" s="8"/>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4"/>
      <c r="AM1937" s="5" t="str">
        <f t="shared" si="121"/>
        <v/>
      </c>
      <c r="AN1937" s="5" t="str">
        <f t="shared" si="122"/>
        <v/>
      </c>
      <c r="AO1937" s="18" t="str">
        <f t="shared" si="123"/>
        <v/>
      </c>
      <c r="AP1937" s="19"/>
      <c r="AQ1937" s="20" t="str">
        <f t="shared" si="124"/>
        <v/>
      </c>
      <c r="AR1937" s="21"/>
    </row>
    <row r="1938" spans="2:44" ht="31.5" x14ac:dyDescent="0.5">
      <c r="B1938" s="1"/>
      <c r="C1938" s="15"/>
      <c r="D1938" s="16"/>
      <c r="E1938" s="15"/>
      <c r="F1938" s="17"/>
      <c r="G1938" s="8"/>
      <c r="H1938" s="8"/>
      <c r="I1938" s="8"/>
      <c r="J1938" s="8"/>
      <c r="K1938" s="8"/>
      <c r="L1938" s="8"/>
      <c r="M1938" s="8"/>
      <c r="N1938" s="8"/>
      <c r="O1938" s="8"/>
      <c r="P1938" s="8"/>
      <c r="Q1938" s="8"/>
      <c r="R1938" s="8"/>
      <c r="S1938" s="8"/>
      <c r="T1938" s="8"/>
      <c r="U1938" s="8"/>
      <c r="V1938" s="8"/>
      <c r="W1938" s="8"/>
      <c r="X1938" s="8"/>
      <c r="Y1938" s="8"/>
      <c r="Z1938" s="8"/>
      <c r="AA1938" s="8"/>
      <c r="AB1938" s="8"/>
      <c r="AC1938" s="8"/>
      <c r="AD1938" s="8"/>
      <c r="AE1938" s="8"/>
      <c r="AF1938" s="8"/>
      <c r="AG1938" s="8"/>
      <c r="AH1938" s="8"/>
      <c r="AI1938" s="8"/>
      <c r="AJ1938" s="8"/>
      <c r="AK1938" s="8"/>
      <c r="AL1938" s="4"/>
      <c r="AM1938" s="5" t="str">
        <f t="shared" si="121"/>
        <v/>
      </c>
      <c r="AN1938" s="5" t="str">
        <f t="shared" si="122"/>
        <v/>
      </c>
      <c r="AO1938" s="18" t="str">
        <f t="shared" si="123"/>
        <v/>
      </c>
      <c r="AP1938" s="19"/>
      <c r="AQ1938" s="20" t="str">
        <f t="shared" si="124"/>
        <v/>
      </c>
      <c r="AR1938" s="21"/>
    </row>
    <row r="1939" spans="2:44" ht="31.5" x14ac:dyDescent="0.5">
      <c r="B1939" s="1"/>
      <c r="C1939" s="15"/>
      <c r="D1939" s="16"/>
      <c r="E1939" s="15"/>
      <c r="F1939" s="17"/>
      <c r="G1939" s="8"/>
      <c r="H1939" s="8"/>
      <c r="I1939" s="8"/>
      <c r="J1939" s="8"/>
      <c r="K1939" s="8"/>
      <c r="L1939" s="8"/>
      <c r="M1939" s="8"/>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4"/>
      <c r="AM1939" s="5" t="str">
        <f t="shared" si="121"/>
        <v/>
      </c>
      <c r="AN1939" s="5" t="str">
        <f t="shared" si="122"/>
        <v/>
      </c>
      <c r="AO1939" s="18" t="str">
        <f t="shared" si="123"/>
        <v/>
      </c>
      <c r="AP1939" s="19"/>
      <c r="AQ1939" s="20" t="str">
        <f t="shared" si="124"/>
        <v/>
      </c>
      <c r="AR1939" s="21"/>
    </row>
    <row r="1940" spans="2:44" ht="31.5" x14ac:dyDescent="0.5">
      <c r="B1940" s="1"/>
      <c r="C1940" s="15"/>
      <c r="D1940" s="16"/>
      <c r="E1940" s="15"/>
      <c r="F1940" s="17"/>
      <c r="G1940" s="8"/>
      <c r="H1940" s="8"/>
      <c r="I1940" s="8"/>
      <c r="J1940" s="8"/>
      <c r="K1940" s="8"/>
      <c r="L1940" s="8"/>
      <c r="M1940" s="8"/>
      <c r="N1940" s="8"/>
      <c r="O1940" s="8"/>
      <c r="P1940" s="8"/>
      <c r="Q1940" s="8"/>
      <c r="R1940" s="8"/>
      <c r="S1940" s="8"/>
      <c r="T1940" s="8"/>
      <c r="U1940" s="8"/>
      <c r="V1940" s="8"/>
      <c r="W1940" s="8"/>
      <c r="X1940" s="8"/>
      <c r="Y1940" s="8"/>
      <c r="Z1940" s="8"/>
      <c r="AA1940" s="8"/>
      <c r="AB1940" s="8"/>
      <c r="AC1940" s="8"/>
      <c r="AD1940" s="8"/>
      <c r="AE1940" s="8"/>
      <c r="AF1940" s="8"/>
      <c r="AG1940" s="8"/>
      <c r="AH1940" s="8"/>
      <c r="AI1940" s="8"/>
      <c r="AJ1940" s="8"/>
      <c r="AK1940" s="8"/>
      <c r="AL1940" s="4"/>
      <c r="AM1940" s="5" t="str">
        <f t="shared" si="121"/>
        <v/>
      </c>
      <c r="AN1940" s="5" t="str">
        <f t="shared" si="122"/>
        <v/>
      </c>
      <c r="AO1940" s="18" t="str">
        <f t="shared" si="123"/>
        <v/>
      </c>
      <c r="AP1940" s="19"/>
      <c r="AQ1940" s="20" t="str">
        <f t="shared" si="124"/>
        <v/>
      </c>
      <c r="AR1940" s="21"/>
    </row>
    <row r="1941" spans="2:44" ht="31.5" x14ac:dyDescent="0.5">
      <c r="B1941" s="1"/>
      <c r="C1941" s="15"/>
      <c r="D1941" s="16"/>
      <c r="E1941" s="15"/>
      <c r="F1941" s="17"/>
      <c r="G1941" s="8"/>
      <c r="H1941" s="8"/>
      <c r="I1941" s="8"/>
      <c r="J1941" s="8"/>
      <c r="K1941" s="8"/>
      <c r="L1941" s="8"/>
      <c r="M1941" s="8"/>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4"/>
      <c r="AM1941" s="5" t="str">
        <f t="shared" si="121"/>
        <v/>
      </c>
      <c r="AN1941" s="5" t="str">
        <f t="shared" si="122"/>
        <v/>
      </c>
      <c r="AO1941" s="18" t="str">
        <f t="shared" si="123"/>
        <v/>
      </c>
      <c r="AP1941" s="19"/>
      <c r="AQ1941" s="20" t="str">
        <f t="shared" si="124"/>
        <v/>
      </c>
      <c r="AR1941" s="21"/>
    </row>
    <row r="1942" spans="2:44" ht="31.5" x14ac:dyDescent="0.5">
      <c r="B1942" s="1"/>
      <c r="C1942" s="15"/>
      <c r="D1942" s="16"/>
      <c r="E1942" s="15"/>
      <c r="F1942" s="17"/>
      <c r="G1942" s="8"/>
      <c r="H1942" s="8"/>
      <c r="I1942" s="8"/>
      <c r="J1942" s="8"/>
      <c r="K1942" s="8"/>
      <c r="L1942" s="8"/>
      <c r="M1942" s="8"/>
      <c r="N1942" s="8"/>
      <c r="O1942" s="8"/>
      <c r="P1942" s="8"/>
      <c r="Q1942" s="8"/>
      <c r="R1942" s="8"/>
      <c r="S1942" s="8"/>
      <c r="T1942" s="8"/>
      <c r="U1942" s="8"/>
      <c r="V1942" s="8"/>
      <c r="W1942" s="8"/>
      <c r="X1942" s="8"/>
      <c r="Y1942" s="8"/>
      <c r="Z1942" s="8"/>
      <c r="AA1942" s="8"/>
      <c r="AB1942" s="8"/>
      <c r="AC1942" s="8"/>
      <c r="AD1942" s="8"/>
      <c r="AE1942" s="8"/>
      <c r="AF1942" s="8"/>
      <c r="AG1942" s="8"/>
      <c r="AH1942" s="8"/>
      <c r="AI1942" s="8"/>
      <c r="AJ1942" s="8"/>
      <c r="AK1942" s="8"/>
      <c r="AL1942" s="4"/>
      <c r="AM1942" s="5" t="str">
        <f t="shared" si="121"/>
        <v/>
      </c>
      <c r="AN1942" s="5" t="str">
        <f t="shared" si="122"/>
        <v/>
      </c>
      <c r="AO1942" s="18" t="str">
        <f t="shared" si="123"/>
        <v/>
      </c>
      <c r="AP1942" s="19"/>
      <c r="AQ1942" s="20" t="str">
        <f t="shared" si="124"/>
        <v/>
      </c>
      <c r="AR1942" s="21"/>
    </row>
    <row r="1943" spans="2:44" ht="31.5" x14ac:dyDescent="0.5">
      <c r="B1943" s="1"/>
      <c r="C1943" s="15"/>
      <c r="D1943" s="16"/>
      <c r="E1943" s="15"/>
      <c r="F1943" s="17"/>
      <c r="G1943" s="8"/>
      <c r="H1943" s="8"/>
      <c r="I1943" s="8"/>
      <c r="J1943" s="8"/>
      <c r="K1943" s="8"/>
      <c r="L1943" s="8"/>
      <c r="M1943" s="8"/>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4"/>
      <c r="AM1943" s="5" t="str">
        <f t="shared" si="121"/>
        <v/>
      </c>
      <c r="AN1943" s="5" t="str">
        <f t="shared" si="122"/>
        <v/>
      </c>
      <c r="AO1943" s="18" t="str">
        <f t="shared" si="123"/>
        <v/>
      </c>
      <c r="AP1943" s="19"/>
      <c r="AQ1943" s="20" t="str">
        <f t="shared" si="124"/>
        <v/>
      </c>
      <c r="AR1943" s="21"/>
    </row>
    <row r="1944" spans="2:44" ht="31.5" x14ac:dyDescent="0.5">
      <c r="B1944" s="1"/>
      <c r="C1944" s="15"/>
      <c r="D1944" s="16"/>
      <c r="E1944" s="15"/>
      <c r="F1944" s="17"/>
      <c r="G1944" s="8"/>
      <c r="H1944" s="8"/>
      <c r="I1944" s="8"/>
      <c r="J1944" s="8"/>
      <c r="K1944" s="8"/>
      <c r="L1944" s="8"/>
      <c r="M1944" s="8"/>
      <c r="N1944" s="8"/>
      <c r="O1944" s="8"/>
      <c r="P1944" s="8"/>
      <c r="Q1944" s="8"/>
      <c r="R1944" s="8"/>
      <c r="S1944" s="8"/>
      <c r="T1944" s="8"/>
      <c r="U1944" s="8"/>
      <c r="V1944" s="8"/>
      <c r="W1944" s="8"/>
      <c r="X1944" s="8"/>
      <c r="Y1944" s="8"/>
      <c r="Z1944" s="8"/>
      <c r="AA1944" s="8"/>
      <c r="AB1944" s="8"/>
      <c r="AC1944" s="8"/>
      <c r="AD1944" s="8"/>
      <c r="AE1944" s="8"/>
      <c r="AF1944" s="8"/>
      <c r="AG1944" s="8"/>
      <c r="AH1944" s="8"/>
      <c r="AI1944" s="8"/>
      <c r="AJ1944" s="8"/>
      <c r="AK1944" s="8"/>
      <c r="AL1944" s="4"/>
      <c r="AM1944" s="5" t="str">
        <f t="shared" si="121"/>
        <v/>
      </c>
      <c r="AN1944" s="5" t="str">
        <f t="shared" si="122"/>
        <v/>
      </c>
      <c r="AO1944" s="18" t="str">
        <f t="shared" si="123"/>
        <v/>
      </c>
      <c r="AP1944" s="19"/>
      <c r="AQ1944" s="20" t="str">
        <f t="shared" si="124"/>
        <v/>
      </c>
      <c r="AR1944" s="21"/>
    </row>
    <row r="1945" spans="2:44" ht="31.5" x14ac:dyDescent="0.5">
      <c r="B1945" s="1"/>
      <c r="C1945" s="15"/>
      <c r="D1945" s="16"/>
      <c r="E1945" s="15"/>
      <c r="F1945" s="17"/>
      <c r="G1945" s="8"/>
      <c r="H1945" s="8"/>
      <c r="I1945" s="8"/>
      <c r="J1945" s="8"/>
      <c r="K1945" s="8"/>
      <c r="L1945" s="8"/>
      <c r="M1945" s="8"/>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4"/>
      <c r="AM1945" s="5" t="str">
        <f t="shared" si="121"/>
        <v/>
      </c>
      <c r="AN1945" s="5" t="str">
        <f t="shared" si="122"/>
        <v/>
      </c>
      <c r="AO1945" s="18" t="str">
        <f t="shared" si="123"/>
        <v/>
      </c>
      <c r="AP1945" s="19"/>
      <c r="AQ1945" s="20" t="str">
        <f t="shared" si="124"/>
        <v/>
      </c>
      <c r="AR1945" s="21"/>
    </row>
    <row r="1946" spans="2:44" ht="31.5" x14ac:dyDescent="0.5">
      <c r="B1946" s="1"/>
      <c r="C1946" s="15"/>
      <c r="D1946" s="16"/>
      <c r="E1946" s="15"/>
      <c r="F1946" s="17"/>
      <c r="G1946" s="8"/>
      <c r="H1946" s="8"/>
      <c r="I1946" s="8"/>
      <c r="J1946" s="8"/>
      <c r="K1946" s="8"/>
      <c r="L1946" s="8"/>
      <c r="M1946" s="8"/>
      <c r="N1946" s="8"/>
      <c r="O1946" s="8"/>
      <c r="P1946" s="8"/>
      <c r="Q1946" s="8"/>
      <c r="R1946" s="8"/>
      <c r="S1946" s="8"/>
      <c r="T1946" s="8"/>
      <c r="U1946" s="8"/>
      <c r="V1946" s="8"/>
      <c r="W1946" s="8"/>
      <c r="X1946" s="8"/>
      <c r="Y1946" s="8"/>
      <c r="Z1946" s="8"/>
      <c r="AA1946" s="8"/>
      <c r="AB1946" s="8"/>
      <c r="AC1946" s="8"/>
      <c r="AD1946" s="8"/>
      <c r="AE1946" s="8"/>
      <c r="AF1946" s="8"/>
      <c r="AG1946" s="8"/>
      <c r="AH1946" s="8"/>
      <c r="AI1946" s="8"/>
      <c r="AJ1946" s="8"/>
      <c r="AK1946" s="8"/>
      <c r="AL1946" s="4"/>
      <c r="AM1946" s="5" t="str">
        <f t="shared" si="121"/>
        <v/>
      </c>
      <c r="AN1946" s="5" t="str">
        <f t="shared" si="122"/>
        <v/>
      </c>
      <c r="AO1946" s="18" t="str">
        <f t="shared" si="123"/>
        <v/>
      </c>
      <c r="AP1946" s="19"/>
      <c r="AQ1946" s="20" t="str">
        <f t="shared" si="124"/>
        <v/>
      </c>
      <c r="AR1946" s="21"/>
    </row>
    <row r="1947" spans="2:44" ht="31.5" x14ac:dyDescent="0.5">
      <c r="B1947" s="1"/>
      <c r="C1947" s="15"/>
      <c r="D1947" s="16"/>
      <c r="E1947" s="15"/>
      <c r="F1947" s="17"/>
      <c r="G1947" s="8"/>
      <c r="H1947" s="8"/>
      <c r="I1947" s="8"/>
      <c r="J1947" s="8"/>
      <c r="K1947" s="8"/>
      <c r="L1947" s="8"/>
      <c r="M1947" s="8"/>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4"/>
      <c r="AM1947" s="5" t="str">
        <f t="shared" si="121"/>
        <v/>
      </c>
      <c r="AN1947" s="5" t="str">
        <f t="shared" si="122"/>
        <v/>
      </c>
      <c r="AO1947" s="18" t="str">
        <f t="shared" si="123"/>
        <v/>
      </c>
      <c r="AP1947" s="19"/>
      <c r="AQ1947" s="20" t="str">
        <f t="shared" si="124"/>
        <v/>
      </c>
      <c r="AR1947" s="21"/>
    </row>
    <row r="1948" spans="2:44" ht="31.5" x14ac:dyDescent="0.5">
      <c r="B1948" s="1"/>
      <c r="C1948" s="15"/>
      <c r="D1948" s="16"/>
      <c r="E1948" s="15"/>
      <c r="F1948" s="17"/>
      <c r="G1948" s="8"/>
      <c r="H1948" s="8"/>
      <c r="I1948" s="8"/>
      <c r="J1948" s="8"/>
      <c r="K1948" s="8"/>
      <c r="L1948" s="8"/>
      <c r="M1948" s="8"/>
      <c r="N1948" s="8"/>
      <c r="O1948" s="8"/>
      <c r="P1948" s="8"/>
      <c r="Q1948" s="8"/>
      <c r="R1948" s="8"/>
      <c r="S1948" s="8"/>
      <c r="T1948" s="8"/>
      <c r="U1948" s="8"/>
      <c r="V1948" s="8"/>
      <c r="W1948" s="8"/>
      <c r="X1948" s="8"/>
      <c r="Y1948" s="8"/>
      <c r="Z1948" s="8"/>
      <c r="AA1948" s="8"/>
      <c r="AB1948" s="8"/>
      <c r="AC1948" s="8"/>
      <c r="AD1948" s="8"/>
      <c r="AE1948" s="8"/>
      <c r="AF1948" s="8"/>
      <c r="AG1948" s="8"/>
      <c r="AH1948" s="8"/>
      <c r="AI1948" s="8"/>
      <c r="AJ1948" s="8"/>
      <c r="AK1948" s="8"/>
      <c r="AL1948" s="4"/>
      <c r="AM1948" s="5" t="str">
        <f t="shared" si="121"/>
        <v/>
      </c>
      <c r="AN1948" s="5" t="str">
        <f t="shared" si="122"/>
        <v/>
      </c>
      <c r="AO1948" s="18" t="str">
        <f t="shared" si="123"/>
        <v/>
      </c>
      <c r="AP1948" s="19"/>
      <c r="AQ1948" s="20" t="str">
        <f t="shared" si="124"/>
        <v/>
      </c>
      <c r="AR1948" s="21"/>
    </row>
    <row r="1949" spans="2:44" ht="31.5" x14ac:dyDescent="0.5">
      <c r="B1949" s="1"/>
      <c r="C1949" s="15"/>
      <c r="D1949" s="16"/>
      <c r="E1949" s="15"/>
      <c r="F1949" s="17"/>
      <c r="G1949" s="8"/>
      <c r="H1949" s="8"/>
      <c r="I1949" s="8"/>
      <c r="J1949" s="8"/>
      <c r="K1949" s="8"/>
      <c r="L1949" s="8"/>
      <c r="M1949" s="8"/>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4"/>
      <c r="AM1949" s="5" t="str">
        <f t="shared" si="121"/>
        <v/>
      </c>
      <c r="AN1949" s="5" t="str">
        <f t="shared" si="122"/>
        <v/>
      </c>
      <c r="AO1949" s="18" t="str">
        <f t="shared" si="123"/>
        <v/>
      </c>
      <c r="AP1949" s="19"/>
      <c r="AQ1949" s="20" t="str">
        <f t="shared" si="124"/>
        <v/>
      </c>
      <c r="AR1949" s="21"/>
    </row>
    <row r="1950" spans="2:44" ht="31.5" x14ac:dyDescent="0.5">
      <c r="B1950" s="1"/>
      <c r="C1950" s="15"/>
      <c r="D1950" s="16"/>
      <c r="E1950" s="15"/>
      <c r="F1950" s="17"/>
      <c r="G1950" s="8"/>
      <c r="H1950" s="8"/>
      <c r="I1950" s="8"/>
      <c r="J1950" s="8"/>
      <c r="K1950" s="8"/>
      <c r="L1950" s="8"/>
      <c r="M1950" s="8"/>
      <c r="N1950" s="8"/>
      <c r="O1950" s="8"/>
      <c r="P1950" s="8"/>
      <c r="Q1950" s="8"/>
      <c r="R1950" s="8"/>
      <c r="S1950" s="8"/>
      <c r="T1950" s="8"/>
      <c r="U1950" s="8"/>
      <c r="V1950" s="8"/>
      <c r="W1950" s="8"/>
      <c r="X1950" s="8"/>
      <c r="Y1950" s="8"/>
      <c r="Z1950" s="8"/>
      <c r="AA1950" s="8"/>
      <c r="AB1950" s="8"/>
      <c r="AC1950" s="8"/>
      <c r="AD1950" s="8"/>
      <c r="AE1950" s="8"/>
      <c r="AF1950" s="8"/>
      <c r="AG1950" s="8"/>
      <c r="AH1950" s="8"/>
      <c r="AI1950" s="8"/>
      <c r="AJ1950" s="8"/>
      <c r="AK1950" s="8"/>
      <c r="AL1950" s="4"/>
      <c r="AM1950" s="5" t="str">
        <f t="shared" si="121"/>
        <v/>
      </c>
      <c r="AN1950" s="5" t="str">
        <f t="shared" si="122"/>
        <v/>
      </c>
      <c r="AO1950" s="18" t="str">
        <f t="shared" si="123"/>
        <v/>
      </c>
      <c r="AP1950" s="19"/>
      <c r="AQ1950" s="20" t="str">
        <f t="shared" si="124"/>
        <v/>
      </c>
      <c r="AR1950" s="21"/>
    </row>
    <row r="1951" spans="2:44" ht="31.5" x14ac:dyDescent="0.5">
      <c r="B1951" s="1"/>
      <c r="C1951" s="15"/>
      <c r="D1951" s="16"/>
      <c r="E1951" s="15"/>
      <c r="F1951" s="17"/>
      <c r="G1951" s="8"/>
      <c r="H1951" s="8"/>
      <c r="I1951" s="8"/>
      <c r="J1951" s="8"/>
      <c r="K1951" s="8"/>
      <c r="L1951" s="8"/>
      <c r="M1951" s="8"/>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4"/>
      <c r="AM1951" s="5" t="str">
        <f t="shared" si="121"/>
        <v/>
      </c>
      <c r="AN1951" s="5" t="str">
        <f t="shared" si="122"/>
        <v/>
      </c>
      <c r="AO1951" s="18" t="str">
        <f t="shared" si="123"/>
        <v/>
      </c>
      <c r="AP1951" s="19"/>
      <c r="AQ1951" s="20" t="str">
        <f t="shared" si="124"/>
        <v/>
      </c>
      <c r="AR1951" s="21"/>
    </row>
    <row r="1952" spans="2:44" ht="31.5" x14ac:dyDescent="0.5">
      <c r="B1952" s="1"/>
      <c r="C1952" s="15"/>
      <c r="D1952" s="16"/>
      <c r="E1952" s="15"/>
      <c r="F1952" s="17"/>
      <c r="G1952" s="8"/>
      <c r="H1952" s="8"/>
      <c r="I1952" s="8"/>
      <c r="J1952" s="8"/>
      <c r="K1952" s="8"/>
      <c r="L1952" s="8"/>
      <c r="M1952" s="8"/>
      <c r="N1952" s="8"/>
      <c r="O1952" s="8"/>
      <c r="P1952" s="8"/>
      <c r="Q1952" s="8"/>
      <c r="R1952" s="8"/>
      <c r="S1952" s="8"/>
      <c r="T1952" s="8"/>
      <c r="U1952" s="8"/>
      <c r="V1952" s="8"/>
      <c r="W1952" s="8"/>
      <c r="X1952" s="8"/>
      <c r="Y1952" s="8"/>
      <c r="Z1952" s="8"/>
      <c r="AA1952" s="8"/>
      <c r="AB1952" s="8"/>
      <c r="AC1952" s="8"/>
      <c r="AD1952" s="8"/>
      <c r="AE1952" s="8"/>
      <c r="AF1952" s="8"/>
      <c r="AG1952" s="8"/>
      <c r="AH1952" s="8"/>
      <c r="AI1952" s="8"/>
      <c r="AJ1952" s="8"/>
      <c r="AK1952" s="8"/>
      <c r="AL1952" s="4"/>
      <c r="AM1952" s="5" t="str">
        <f t="shared" si="121"/>
        <v/>
      </c>
      <c r="AN1952" s="5" t="str">
        <f t="shared" si="122"/>
        <v/>
      </c>
      <c r="AO1952" s="18" t="str">
        <f t="shared" si="123"/>
        <v/>
      </c>
      <c r="AP1952" s="19"/>
      <c r="AQ1952" s="20" t="str">
        <f t="shared" si="124"/>
        <v/>
      </c>
      <c r="AR1952" s="21"/>
    </row>
    <row r="1953" spans="2:44" ht="31.5" x14ac:dyDescent="0.5">
      <c r="B1953" s="1"/>
      <c r="C1953" s="15"/>
      <c r="D1953" s="16"/>
      <c r="E1953" s="15"/>
      <c r="F1953" s="17"/>
      <c r="G1953" s="8"/>
      <c r="H1953" s="8"/>
      <c r="I1953" s="8"/>
      <c r="J1953" s="8"/>
      <c r="K1953" s="8"/>
      <c r="L1953" s="8"/>
      <c r="M1953" s="8"/>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4"/>
      <c r="AM1953" s="5" t="str">
        <f t="shared" si="121"/>
        <v/>
      </c>
      <c r="AN1953" s="5" t="str">
        <f t="shared" si="122"/>
        <v/>
      </c>
      <c r="AO1953" s="18" t="str">
        <f t="shared" si="123"/>
        <v/>
      </c>
      <c r="AP1953" s="19"/>
      <c r="AQ1953" s="20" t="str">
        <f t="shared" si="124"/>
        <v/>
      </c>
      <c r="AR1953" s="21"/>
    </row>
    <row r="1954" spans="2:44" ht="31.5" x14ac:dyDescent="0.5">
      <c r="B1954" s="1"/>
      <c r="C1954" s="15"/>
      <c r="D1954" s="16"/>
      <c r="E1954" s="15"/>
      <c r="F1954" s="17"/>
      <c r="G1954" s="8"/>
      <c r="H1954" s="8"/>
      <c r="I1954" s="8"/>
      <c r="J1954" s="8"/>
      <c r="K1954" s="8"/>
      <c r="L1954" s="8"/>
      <c r="M1954" s="8"/>
      <c r="N1954" s="8"/>
      <c r="O1954" s="8"/>
      <c r="P1954" s="8"/>
      <c r="Q1954" s="8"/>
      <c r="R1954" s="8"/>
      <c r="S1954" s="8"/>
      <c r="T1954" s="8"/>
      <c r="U1954" s="8"/>
      <c r="V1954" s="8"/>
      <c r="W1954" s="8"/>
      <c r="X1954" s="8"/>
      <c r="Y1954" s="8"/>
      <c r="Z1954" s="8"/>
      <c r="AA1954" s="8"/>
      <c r="AB1954" s="8"/>
      <c r="AC1954" s="8"/>
      <c r="AD1954" s="8"/>
      <c r="AE1954" s="8"/>
      <c r="AF1954" s="8"/>
      <c r="AG1954" s="8"/>
      <c r="AH1954" s="8"/>
      <c r="AI1954" s="8"/>
      <c r="AJ1954" s="8"/>
      <c r="AK1954" s="8"/>
      <c r="AL1954" s="4"/>
      <c r="AM1954" s="5" t="str">
        <f t="shared" si="121"/>
        <v/>
      </c>
      <c r="AN1954" s="5" t="str">
        <f t="shared" si="122"/>
        <v/>
      </c>
      <c r="AO1954" s="18" t="str">
        <f t="shared" si="123"/>
        <v/>
      </c>
      <c r="AP1954" s="19"/>
      <c r="AQ1954" s="20" t="str">
        <f t="shared" si="124"/>
        <v/>
      </c>
      <c r="AR1954" s="21"/>
    </row>
    <row r="1955" spans="2:44" ht="31.5" x14ac:dyDescent="0.5">
      <c r="B1955" s="1"/>
      <c r="C1955" s="15"/>
      <c r="D1955" s="16"/>
      <c r="E1955" s="15"/>
      <c r="F1955" s="17"/>
      <c r="G1955" s="8"/>
      <c r="H1955" s="8"/>
      <c r="I1955" s="8"/>
      <c r="J1955" s="8"/>
      <c r="K1955" s="8"/>
      <c r="L1955" s="8"/>
      <c r="M1955" s="8"/>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4"/>
      <c r="AM1955" s="5" t="str">
        <f t="shared" si="121"/>
        <v/>
      </c>
      <c r="AN1955" s="5" t="str">
        <f t="shared" si="122"/>
        <v/>
      </c>
      <c r="AO1955" s="18" t="str">
        <f t="shared" si="123"/>
        <v/>
      </c>
      <c r="AP1955" s="19"/>
      <c r="AQ1955" s="20" t="str">
        <f t="shared" si="124"/>
        <v/>
      </c>
      <c r="AR1955" s="21"/>
    </row>
    <row r="1956" spans="2:44" ht="31.5" x14ac:dyDescent="0.5">
      <c r="B1956" s="1"/>
      <c r="C1956" s="15"/>
      <c r="D1956" s="16"/>
      <c r="E1956" s="15"/>
      <c r="F1956" s="17"/>
      <c r="G1956" s="8"/>
      <c r="H1956" s="8"/>
      <c r="I1956" s="8"/>
      <c r="J1956" s="8"/>
      <c r="K1956" s="8"/>
      <c r="L1956" s="8"/>
      <c r="M1956" s="8"/>
      <c r="N1956" s="8"/>
      <c r="O1956" s="8"/>
      <c r="P1956" s="8"/>
      <c r="Q1956" s="8"/>
      <c r="R1956" s="8"/>
      <c r="S1956" s="8"/>
      <c r="T1956" s="8"/>
      <c r="U1956" s="8"/>
      <c r="V1956" s="8"/>
      <c r="W1956" s="8"/>
      <c r="X1956" s="8"/>
      <c r="Y1956" s="8"/>
      <c r="Z1956" s="8"/>
      <c r="AA1956" s="8"/>
      <c r="AB1956" s="8"/>
      <c r="AC1956" s="8"/>
      <c r="AD1956" s="8"/>
      <c r="AE1956" s="8"/>
      <c r="AF1956" s="8"/>
      <c r="AG1956" s="8"/>
      <c r="AH1956" s="8"/>
      <c r="AI1956" s="8"/>
      <c r="AJ1956" s="8"/>
      <c r="AK1956" s="8"/>
      <c r="AL1956" s="4"/>
      <c r="AM1956" s="5" t="str">
        <f t="shared" si="121"/>
        <v/>
      </c>
      <c r="AN1956" s="5" t="str">
        <f t="shared" si="122"/>
        <v/>
      </c>
      <c r="AO1956" s="18" t="str">
        <f t="shared" si="123"/>
        <v/>
      </c>
      <c r="AP1956" s="19"/>
      <c r="AQ1956" s="20" t="str">
        <f t="shared" si="124"/>
        <v/>
      </c>
      <c r="AR1956" s="21"/>
    </row>
    <row r="1957" spans="2:44" ht="31.5" x14ac:dyDescent="0.5">
      <c r="B1957" s="1"/>
      <c r="C1957" s="15"/>
      <c r="D1957" s="16"/>
      <c r="E1957" s="15"/>
      <c r="F1957" s="17"/>
      <c r="G1957" s="8"/>
      <c r="H1957" s="8"/>
      <c r="I1957" s="8"/>
      <c r="J1957" s="8"/>
      <c r="K1957" s="8"/>
      <c r="L1957" s="8"/>
      <c r="M1957" s="8"/>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4"/>
      <c r="AM1957" s="5" t="str">
        <f t="shared" si="121"/>
        <v/>
      </c>
      <c r="AN1957" s="5" t="str">
        <f t="shared" si="122"/>
        <v/>
      </c>
      <c r="AO1957" s="18" t="str">
        <f t="shared" si="123"/>
        <v/>
      </c>
      <c r="AP1957" s="19"/>
      <c r="AQ1957" s="20" t="str">
        <f t="shared" si="124"/>
        <v/>
      </c>
      <c r="AR1957" s="21"/>
    </row>
    <row r="1958" spans="2:44" ht="31.5" x14ac:dyDescent="0.5">
      <c r="B1958" s="1"/>
      <c r="C1958" s="15"/>
      <c r="D1958" s="16"/>
      <c r="E1958" s="15"/>
      <c r="F1958" s="17"/>
      <c r="G1958" s="8"/>
      <c r="H1958" s="8"/>
      <c r="I1958" s="8"/>
      <c r="J1958" s="8"/>
      <c r="K1958" s="8"/>
      <c r="L1958" s="8"/>
      <c r="M1958" s="8"/>
      <c r="N1958" s="8"/>
      <c r="O1958" s="8"/>
      <c r="P1958" s="8"/>
      <c r="Q1958" s="8"/>
      <c r="R1958" s="8"/>
      <c r="S1958" s="8"/>
      <c r="T1958" s="8"/>
      <c r="U1958" s="8"/>
      <c r="V1958" s="8"/>
      <c r="W1958" s="8"/>
      <c r="X1958" s="8"/>
      <c r="Y1958" s="8"/>
      <c r="Z1958" s="8"/>
      <c r="AA1958" s="8"/>
      <c r="AB1958" s="8"/>
      <c r="AC1958" s="8"/>
      <c r="AD1958" s="8"/>
      <c r="AE1958" s="8"/>
      <c r="AF1958" s="8"/>
      <c r="AG1958" s="8"/>
      <c r="AH1958" s="8"/>
      <c r="AI1958" s="8"/>
      <c r="AJ1958" s="8"/>
      <c r="AK1958" s="8"/>
      <c r="AL1958" s="4"/>
      <c r="AM1958" s="5" t="str">
        <f t="shared" si="121"/>
        <v/>
      </c>
      <c r="AN1958" s="5" t="str">
        <f t="shared" si="122"/>
        <v/>
      </c>
      <c r="AO1958" s="18" t="str">
        <f t="shared" si="123"/>
        <v/>
      </c>
      <c r="AP1958" s="19"/>
      <c r="AQ1958" s="20" t="str">
        <f t="shared" si="124"/>
        <v/>
      </c>
      <c r="AR1958" s="21"/>
    </row>
    <row r="1959" spans="2:44" ht="31.5" x14ac:dyDescent="0.5">
      <c r="B1959" s="1"/>
      <c r="C1959" s="15"/>
      <c r="D1959" s="16"/>
      <c r="E1959" s="15"/>
      <c r="F1959" s="17"/>
      <c r="G1959" s="8"/>
      <c r="H1959" s="8"/>
      <c r="I1959" s="8"/>
      <c r="J1959" s="8"/>
      <c r="K1959" s="8"/>
      <c r="L1959" s="8"/>
      <c r="M1959" s="8"/>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4"/>
      <c r="AM1959" s="5" t="str">
        <f t="shared" si="121"/>
        <v/>
      </c>
      <c r="AN1959" s="5" t="str">
        <f t="shared" si="122"/>
        <v/>
      </c>
      <c r="AO1959" s="18" t="str">
        <f t="shared" si="123"/>
        <v/>
      </c>
      <c r="AP1959" s="19"/>
      <c r="AQ1959" s="20" t="str">
        <f t="shared" si="124"/>
        <v/>
      </c>
      <c r="AR1959" s="21"/>
    </row>
    <row r="1960" spans="2:44" ht="31.5" x14ac:dyDescent="0.5">
      <c r="B1960" s="1"/>
      <c r="C1960" s="15"/>
      <c r="D1960" s="16"/>
      <c r="E1960" s="15"/>
      <c r="F1960" s="17"/>
      <c r="G1960" s="8"/>
      <c r="H1960" s="8"/>
      <c r="I1960" s="8"/>
      <c r="J1960" s="8"/>
      <c r="K1960" s="8"/>
      <c r="L1960" s="8"/>
      <c r="M1960" s="8"/>
      <c r="N1960" s="8"/>
      <c r="O1960" s="8"/>
      <c r="P1960" s="8"/>
      <c r="Q1960" s="8"/>
      <c r="R1960" s="8"/>
      <c r="S1960" s="8"/>
      <c r="T1960" s="8"/>
      <c r="U1960" s="8"/>
      <c r="V1960" s="8"/>
      <c r="W1960" s="8"/>
      <c r="X1960" s="8"/>
      <c r="Y1960" s="8"/>
      <c r="Z1960" s="8"/>
      <c r="AA1960" s="8"/>
      <c r="AB1960" s="8"/>
      <c r="AC1960" s="8"/>
      <c r="AD1960" s="8"/>
      <c r="AE1960" s="8"/>
      <c r="AF1960" s="8"/>
      <c r="AG1960" s="8"/>
      <c r="AH1960" s="8"/>
      <c r="AI1960" s="8"/>
      <c r="AJ1960" s="8"/>
      <c r="AK1960" s="8"/>
      <c r="AL1960" s="4"/>
      <c r="AM1960" s="5" t="str">
        <f t="shared" si="121"/>
        <v/>
      </c>
      <c r="AN1960" s="5" t="str">
        <f t="shared" si="122"/>
        <v/>
      </c>
      <c r="AO1960" s="18" t="str">
        <f t="shared" si="123"/>
        <v/>
      </c>
      <c r="AP1960" s="19"/>
      <c r="AQ1960" s="20" t="str">
        <f t="shared" si="124"/>
        <v/>
      </c>
      <c r="AR1960" s="21"/>
    </row>
    <row r="1961" spans="2:44" ht="31.5" x14ac:dyDescent="0.5">
      <c r="B1961" s="1"/>
      <c r="C1961" s="15"/>
      <c r="D1961" s="16"/>
      <c r="E1961" s="15"/>
      <c r="F1961" s="17"/>
      <c r="G1961" s="8"/>
      <c r="H1961" s="8"/>
      <c r="I1961" s="8"/>
      <c r="J1961" s="8"/>
      <c r="K1961" s="8"/>
      <c r="L1961" s="8"/>
      <c r="M1961" s="8"/>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4"/>
      <c r="AM1961" s="5" t="str">
        <f t="shared" si="121"/>
        <v/>
      </c>
      <c r="AN1961" s="5" t="str">
        <f t="shared" si="122"/>
        <v/>
      </c>
      <c r="AO1961" s="18" t="str">
        <f t="shared" si="123"/>
        <v/>
      </c>
      <c r="AP1961" s="19"/>
      <c r="AQ1961" s="20" t="str">
        <f t="shared" si="124"/>
        <v/>
      </c>
      <c r="AR1961" s="21"/>
    </row>
    <row r="1962" spans="2:44" ht="31.5" x14ac:dyDescent="0.5">
      <c r="B1962" s="1"/>
      <c r="C1962" s="15"/>
      <c r="D1962" s="16"/>
      <c r="E1962" s="15"/>
      <c r="F1962" s="17"/>
      <c r="G1962" s="8"/>
      <c r="H1962" s="8"/>
      <c r="I1962" s="8"/>
      <c r="J1962" s="8"/>
      <c r="K1962" s="8"/>
      <c r="L1962" s="8"/>
      <c r="M1962" s="8"/>
      <c r="N1962" s="8"/>
      <c r="O1962" s="8"/>
      <c r="P1962" s="8"/>
      <c r="Q1962" s="8"/>
      <c r="R1962" s="8"/>
      <c r="S1962" s="8"/>
      <c r="T1962" s="8"/>
      <c r="U1962" s="8"/>
      <c r="V1962" s="8"/>
      <c r="W1962" s="8"/>
      <c r="X1962" s="8"/>
      <c r="Y1962" s="8"/>
      <c r="Z1962" s="8"/>
      <c r="AA1962" s="8"/>
      <c r="AB1962" s="8"/>
      <c r="AC1962" s="8"/>
      <c r="AD1962" s="8"/>
      <c r="AE1962" s="8"/>
      <c r="AF1962" s="8"/>
      <c r="AG1962" s="8"/>
      <c r="AH1962" s="8"/>
      <c r="AI1962" s="8"/>
      <c r="AJ1962" s="8"/>
      <c r="AK1962" s="8"/>
      <c r="AL1962" s="4"/>
      <c r="AM1962" s="5" t="str">
        <f t="shared" si="121"/>
        <v/>
      </c>
      <c r="AN1962" s="5" t="str">
        <f t="shared" si="122"/>
        <v/>
      </c>
      <c r="AO1962" s="18" t="str">
        <f t="shared" si="123"/>
        <v/>
      </c>
      <c r="AP1962" s="19"/>
      <c r="AQ1962" s="20" t="str">
        <f t="shared" si="124"/>
        <v/>
      </c>
      <c r="AR1962" s="21"/>
    </row>
    <row r="1963" spans="2:44" ht="31.5" x14ac:dyDescent="0.5">
      <c r="B1963" s="1"/>
      <c r="C1963" s="15"/>
      <c r="D1963" s="16"/>
      <c r="E1963" s="15"/>
      <c r="F1963" s="17"/>
      <c r="G1963" s="8"/>
      <c r="H1963" s="8"/>
      <c r="I1963" s="8"/>
      <c r="J1963" s="8"/>
      <c r="K1963" s="8"/>
      <c r="L1963" s="8"/>
      <c r="M1963" s="8"/>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4"/>
      <c r="AM1963" s="5" t="str">
        <f t="shared" si="121"/>
        <v/>
      </c>
      <c r="AN1963" s="5" t="str">
        <f t="shared" si="122"/>
        <v/>
      </c>
      <c r="AO1963" s="18" t="str">
        <f t="shared" si="123"/>
        <v/>
      </c>
      <c r="AP1963" s="19"/>
      <c r="AQ1963" s="20" t="str">
        <f t="shared" si="124"/>
        <v/>
      </c>
      <c r="AR1963" s="21"/>
    </row>
    <row r="1964" spans="2:44" ht="31.5" x14ac:dyDescent="0.5">
      <c r="B1964" s="1"/>
      <c r="C1964" s="15"/>
      <c r="D1964" s="16"/>
      <c r="E1964" s="15"/>
      <c r="F1964" s="17"/>
      <c r="G1964" s="8"/>
      <c r="H1964" s="8"/>
      <c r="I1964" s="8"/>
      <c r="J1964" s="8"/>
      <c r="K1964" s="8"/>
      <c r="L1964" s="8"/>
      <c r="M1964" s="8"/>
      <c r="N1964" s="8"/>
      <c r="O1964" s="8"/>
      <c r="P1964" s="8"/>
      <c r="Q1964" s="8"/>
      <c r="R1964" s="8"/>
      <c r="S1964" s="8"/>
      <c r="T1964" s="8"/>
      <c r="U1964" s="8"/>
      <c r="V1964" s="8"/>
      <c r="W1964" s="8"/>
      <c r="X1964" s="8"/>
      <c r="Y1964" s="8"/>
      <c r="Z1964" s="8"/>
      <c r="AA1964" s="8"/>
      <c r="AB1964" s="8"/>
      <c r="AC1964" s="8"/>
      <c r="AD1964" s="8"/>
      <c r="AE1964" s="8"/>
      <c r="AF1964" s="8"/>
      <c r="AG1964" s="8"/>
      <c r="AH1964" s="8"/>
      <c r="AI1964" s="8"/>
      <c r="AJ1964" s="8"/>
      <c r="AK1964" s="8"/>
      <c r="AL1964" s="4"/>
      <c r="AM1964" s="5" t="str">
        <f t="shared" si="121"/>
        <v/>
      </c>
      <c r="AN1964" s="5" t="str">
        <f t="shared" si="122"/>
        <v/>
      </c>
      <c r="AO1964" s="18" t="str">
        <f t="shared" si="123"/>
        <v/>
      </c>
      <c r="AP1964" s="19"/>
      <c r="AQ1964" s="20" t="str">
        <f t="shared" si="124"/>
        <v/>
      </c>
      <c r="AR1964" s="21"/>
    </row>
    <row r="1965" spans="2:44" ht="31.5" x14ac:dyDescent="0.5">
      <c r="B1965" s="1"/>
      <c r="C1965" s="15"/>
      <c r="D1965" s="16"/>
      <c r="E1965" s="15"/>
      <c r="F1965" s="17"/>
      <c r="G1965" s="8"/>
      <c r="H1965" s="8"/>
      <c r="I1965" s="8"/>
      <c r="J1965" s="8"/>
      <c r="K1965" s="8"/>
      <c r="L1965" s="8"/>
      <c r="M1965" s="8"/>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4"/>
      <c r="AM1965" s="5" t="str">
        <f t="shared" si="121"/>
        <v/>
      </c>
      <c r="AN1965" s="5" t="str">
        <f t="shared" si="122"/>
        <v/>
      </c>
      <c r="AO1965" s="18" t="str">
        <f t="shared" si="123"/>
        <v/>
      </c>
      <c r="AP1965" s="19"/>
      <c r="AQ1965" s="20" t="str">
        <f t="shared" si="124"/>
        <v/>
      </c>
      <c r="AR1965" s="21"/>
    </row>
    <row r="1966" spans="2:44" ht="31.5" x14ac:dyDescent="0.5">
      <c r="B1966" s="1"/>
      <c r="C1966" s="15"/>
      <c r="D1966" s="16"/>
      <c r="E1966" s="15"/>
      <c r="F1966" s="17"/>
      <c r="G1966" s="8"/>
      <c r="H1966" s="8"/>
      <c r="I1966" s="8"/>
      <c r="J1966" s="8"/>
      <c r="K1966" s="8"/>
      <c r="L1966" s="8"/>
      <c r="M1966" s="8"/>
      <c r="N1966" s="8"/>
      <c r="O1966" s="8"/>
      <c r="P1966" s="8"/>
      <c r="Q1966" s="8"/>
      <c r="R1966" s="8"/>
      <c r="S1966" s="8"/>
      <c r="T1966" s="8"/>
      <c r="U1966" s="8"/>
      <c r="V1966" s="8"/>
      <c r="W1966" s="8"/>
      <c r="X1966" s="8"/>
      <c r="Y1966" s="8"/>
      <c r="Z1966" s="8"/>
      <c r="AA1966" s="8"/>
      <c r="AB1966" s="8"/>
      <c r="AC1966" s="8"/>
      <c r="AD1966" s="8"/>
      <c r="AE1966" s="8"/>
      <c r="AF1966" s="8"/>
      <c r="AG1966" s="8"/>
      <c r="AH1966" s="8"/>
      <c r="AI1966" s="8"/>
      <c r="AJ1966" s="8"/>
      <c r="AK1966" s="8"/>
      <c r="AL1966" s="4"/>
      <c r="AM1966" s="5" t="str">
        <f t="shared" si="121"/>
        <v/>
      </c>
      <c r="AN1966" s="5" t="str">
        <f t="shared" si="122"/>
        <v/>
      </c>
      <c r="AO1966" s="18" t="str">
        <f t="shared" si="123"/>
        <v/>
      </c>
      <c r="AP1966" s="19"/>
      <c r="AQ1966" s="20" t="str">
        <f t="shared" si="124"/>
        <v/>
      </c>
      <c r="AR1966" s="21"/>
    </row>
    <row r="1967" spans="2:44" ht="31.5" x14ac:dyDescent="0.5">
      <c r="B1967" s="1"/>
      <c r="C1967" s="15"/>
      <c r="D1967" s="16"/>
      <c r="E1967" s="15"/>
      <c r="F1967" s="17"/>
      <c r="G1967" s="8"/>
      <c r="H1967" s="8"/>
      <c r="I1967" s="8"/>
      <c r="J1967" s="8"/>
      <c r="K1967" s="8"/>
      <c r="L1967" s="8"/>
      <c r="M1967" s="8"/>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4"/>
      <c r="AM1967" s="5" t="str">
        <f t="shared" si="121"/>
        <v/>
      </c>
      <c r="AN1967" s="5" t="str">
        <f t="shared" si="122"/>
        <v/>
      </c>
      <c r="AO1967" s="18" t="str">
        <f t="shared" si="123"/>
        <v/>
      </c>
      <c r="AP1967" s="19"/>
      <c r="AQ1967" s="20" t="str">
        <f t="shared" si="124"/>
        <v/>
      </c>
      <c r="AR1967" s="21"/>
    </row>
    <row r="1968" spans="2:44" ht="31.5" x14ac:dyDescent="0.5">
      <c r="B1968" s="1"/>
      <c r="C1968" s="15"/>
      <c r="D1968" s="16"/>
      <c r="E1968" s="15"/>
      <c r="F1968" s="17"/>
      <c r="G1968" s="8"/>
      <c r="H1968" s="8"/>
      <c r="I1968" s="8"/>
      <c r="J1968" s="8"/>
      <c r="K1968" s="8"/>
      <c r="L1968" s="8"/>
      <c r="M1968" s="8"/>
      <c r="N1968" s="8"/>
      <c r="O1968" s="8"/>
      <c r="P1968" s="8"/>
      <c r="Q1968" s="8"/>
      <c r="R1968" s="8"/>
      <c r="S1968" s="8"/>
      <c r="T1968" s="8"/>
      <c r="U1968" s="8"/>
      <c r="V1968" s="8"/>
      <c r="W1968" s="8"/>
      <c r="X1968" s="8"/>
      <c r="Y1968" s="8"/>
      <c r="Z1968" s="8"/>
      <c r="AA1968" s="8"/>
      <c r="AB1968" s="8"/>
      <c r="AC1968" s="8"/>
      <c r="AD1968" s="8"/>
      <c r="AE1968" s="8"/>
      <c r="AF1968" s="8"/>
      <c r="AG1968" s="8"/>
      <c r="AH1968" s="8"/>
      <c r="AI1968" s="8"/>
      <c r="AJ1968" s="8"/>
      <c r="AK1968" s="8"/>
      <c r="AL1968" s="4"/>
      <c r="AM1968" s="5" t="str">
        <f t="shared" si="121"/>
        <v/>
      </c>
      <c r="AN1968" s="5" t="str">
        <f t="shared" si="122"/>
        <v/>
      </c>
      <c r="AO1968" s="18" t="str">
        <f t="shared" si="123"/>
        <v/>
      </c>
      <c r="AP1968" s="19"/>
      <c r="AQ1968" s="20" t="str">
        <f t="shared" si="124"/>
        <v/>
      </c>
      <c r="AR1968" s="21"/>
    </row>
    <row r="1969" spans="2:44" ht="31.5" x14ac:dyDescent="0.5">
      <c r="B1969" s="1"/>
      <c r="C1969" s="15"/>
      <c r="D1969" s="16"/>
      <c r="E1969" s="15"/>
      <c r="F1969" s="17"/>
      <c r="G1969" s="8"/>
      <c r="H1969" s="8"/>
      <c r="I1969" s="8"/>
      <c r="J1969" s="8"/>
      <c r="K1969" s="8"/>
      <c r="L1969" s="8"/>
      <c r="M1969" s="8"/>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4"/>
      <c r="AM1969" s="5" t="str">
        <f t="shared" si="121"/>
        <v/>
      </c>
      <c r="AN1969" s="5" t="str">
        <f t="shared" si="122"/>
        <v/>
      </c>
      <c r="AO1969" s="18" t="str">
        <f t="shared" si="123"/>
        <v/>
      </c>
      <c r="AP1969" s="19"/>
      <c r="AQ1969" s="20" t="str">
        <f t="shared" si="124"/>
        <v/>
      </c>
      <c r="AR1969" s="21"/>
    </row>
    <row r="1970" spans="2:44" ht="31.5" x14ac:dyDescent="0.5">
      <c r="B1970" s="1"/>
      <c r="C1970" s="15"/>
      <c r="D1970" s="16"/>
      <c r="E1970" s="15"/>
      <c r="F1970" s="17"/>
      <c r="G1970" s="8"/>
      <c r="H1970" s="8"/>
      <c r="I1970" s="8"/>
      <c r="J1970" s="8"/>
      <c r="K1970" s="8"/>
      <c r="L1970" s="8"/>
      <c r="M1970" s="8"/>
      <c r="N1970" s="8"/>
      <c r="O1970" s="8"/>
      <c r="P1970" s="8"/>
      <c r="Q1970" s="8"/>
      <c r="R1970" s="8"/>
      <c r="S1970" s="8"/>
      <c r="T1970" s="8"/>
      <c r="U1970" s="8"/>
      <c r="V1970" s="8"/>
      <c r="W1970" s="8"/>
      <c r="X1970" s="8"/>
      <c r="Y1970" s="8"/>
      <c r="Z1970" s="8"/>
      <c r="AA1970" s="8"/>
      <c r="AB1970" s="8"/>
      <c r="AC1970" s="8"/>
      <c r="AD1970" s="8"/>
      <c r="AE1970" s="8"/>
      <c r="AF1970" s="8"/>
      <c r="AG1970" s="8"/>
      <c r="AH1970" s="8"/>
      <c r="AI1970" s="8"/>
      <c r="AJ1970" s="8"/>
      <c r="AK1970" s="8"/>
      <c r="AL1970" s="4"/>
      <c r="AM1970" s="5" t="str">
        <f t="shared" si="121"/>
        <v/>
      </c>
      <c r="AN1970" s="5" t="str">
        <f t="shared" si="122"/>
        <v/>
      </c>
      <c r="AO1970" s="18" t="str">
        <f t="shared" si="123"/>
        <v/>
      </c>
      <c r="AP1970" s="19"/>
      <c r="AQ1970" s="20" t="str">
        <f t="shared" si="124"/>
        <v/>
      </c>
      <c r="AR1970" s="21"/>
    </row>
    <row r="1971" spans="2:44" ht="31.5" x14ac:dyDescent="0.5">
      <c r="B1971" s="1"/>
      <c r="C1971" s="15"/>
      <c r="D1971" s="16"/>
      <c r="E1971" s="15"/>
      <c r="F1971" s="17"/>
      <c r="G1971" s="8"/>
      <c r="H1971" s="8"/>
      <c r="I1971" s="8"/>
      <c r="J1971" s="8"/>
      <c r="K1971" s="8"/>
      <c r="L1971" s="8"/>
      <c r="M1971" s="8"/>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4"/>
      <c r="AM1971" s="5" t="str">
        <f t="shared" ref="AM1971:AM2012" si="125">IF($B1971="","",COUNTIF($G1971:$AK1971,"P"))</f>
        <v/>
      </c>
      <c r="AN1971" s="5" t="str">
        <f t="shared" ref="AN1971:AN2012" si="126">IF($B1971="","",COUNTIF($G1971:$AK1971,"AB"))</f>
        <v/>
      </c>
      <c r="AO1971" s="18" t="str">
        <f t="shared" ref="AO1971:AO2012" si="127">IF($B1971="","",SUMPRODUCT(--($G$11:$AK$11&lt;&gt;""),--($G$12:$AK$12&lt;&gt;"Sun")))</f>
        <v/>
      </c>
      <c r="AP1971" s="19"/>
      <c r="AQ1971" s="20" t="str">
        <f t="shared" ref="AQ1971:AQ2012" si="128">IF($B1971="","",IF(AO1971=0,"",AM1971/AO1971))</f>
        <v/>
      </c>
      <c r="AR1971" s="21"/>
    </row>
    <row r="1972" spans="2:44" ht="31.5" x14ac:dyDescent="0.5">
      <c r="B1972" s="1"/>
      <c r="C1972" s="15"/>
      <c r="D1972" s="16"/>
      <c r="E1972" s="15"/>
      <c r="F1972" s="17"/>
      <c r="G1972" s="8"/>
      <c r="H1972" s="8"/>
      <c r="I1972" s="8"/>
      <c r="J1972" s="8"/>
      <c r="K1972" s="8"/>
      <c r="L1972" s="8"/>
      <c r="M1972" s="8"/>
      <c r="N1972" s="8"/>
      <c r="O1972" s="8"/>
      <c r="P1972" s="8"/>
      <c r="Q1972" s="8"/>
      <c r="R1972" s="8"/>
      <c r="S1972" s="8"/>
      <c r="T1972" s="8"/>
      <c r="U1972" s="8"/>
      <c r="V1972" s="8"/>
      <c r="W1972" s="8"/>
      <c r="X1972" s="8"/>
      <c r="Y1972" s="8"/>
      <c r="Z1972" s="8"/>
      <c r="AA1972" s="8"/>
      <c r="AB1972" s="8"/>
      <c r="AC1972" s="8"/>
      <c r="AD1972" s="8"/>
      <c r="AE1972" s="8"/>
      <c r="AF1972" s="8"/>
      <c r="AG1972" s="8"/>
      <c r="AH1972" s="8"/>
      <c r="AI1972" s="8"/>
      <c r="AJ1972" s="8"/>
      <c r="AK1972" s="8"/>
      <c r="AL1972" s="4"/>
      <c r="AM1972" s="5" t="str">
        <f t="shared" si="125"/>
        <v/>
      </c>
      <c r="AN1972" s="5" t="str">
        <f t="shared" si="126"/>
        <v/>
      </c>
      <c r="AO1972" s="18" t="str">
        <f t="shared" si="127"/>
        <v/>
      </c>
      <c r="AP1972" s="19"/>
      <c r="AQ1972" s="20" t="str">
        <f t="shared" si="128"/>
        <v/>
      </c>
      <c r="AR1972" s="21"/>
    </row>
    <row r="1973" spans="2:44" ht="31.5" x14ac:dyDescent="0.5">
      <c r="B1973" s="1"/>
      <c r="C1973" s="15"/>
      <c r="D1973" s="16"/>
      <c r="E1973" s="15"/>
      <c r="F1973" s="17"/>
      <c r="G1973" s="8"/>
      <c r="H1973" s="8"/>
      <c r="I1973" s="8"/>
      <c r="J1973" s="8"/>
      <c r="K1973" s="8"/>
      <c r="L1973" s="8"/>
      <c r="M1973" s="8"/>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4"/>
      <c r="AM1973" s="5" t="str">
        <f t="shared" si="125"/>
        <v/>
      </c>
      <c r="AN1973" s="5" t="str">
        <f t="shared" si="126"/>
        <v/>
      </c>
      <c r="AO1973" s="18" t="str">
        <f t="shared" si="127"/>
        <v/>
      </c>
      <c r="AP1973" s="19"/>
      <c r="AQ1973" s="20" t="str">
        <f t="shared" si="128"/>
        <v/>
      </c>
      <c r="AR1973" s="21"/>
    </row>
    <row r="1974" spans="2:44" ht="31.5" x14ac:dyDescent="0.5">
      <c r="B1974" s="1"/>
      <c r="C1974" s="15"/>
      <c r="D1974" s="16"/>
      <c r="E1974" s="15"/>
      <c r="F1974" s="17"/>
      <c r="G1974" s="8"/>
      <c r="H1974" s="8"/>
      <c r="I1974" s="8"/>
      <c r="J1974" s="8"/>
      <c r="K1974" s="8"/>
      <c r="L1974" s="8"/>
      <c r="M1974" s="8"/>
      <c r="N1974" s="8"/>
      <c r="O1974" s="8"/>
      <c r="P1974" s="8"/>
      <c r="Q1974" s="8"/>
      <c r="R1974" s="8"/>
      <c r="S1974" s="8"/>
      <c r="T1974" s="8"/>
      <c r="U1974" s="8"/>
      <c r="V1974" s="8"/>
      <c r="W1974" s="8"/>
      <c r="X1974" s="8"/>
      <c r="Y1974" s="8"/>
      <c r="Z1974" s="8"/>
      <c r="AA1974" s="8"/>
      <c r="AB1974" s="8"/>
      <c r="AC1974" s="8"/>
      <c r="AD1974" s="8"/>
      <c r="AE1974" s="8"/>
      <c r="AF1974" s="8"/>
      <c r="AG1974" s="8"/>
      <c r="AH1974" s="8"/>
      <c r="AI1974" s="8"/>
      <c r="AJ1974" s="8"/>
      <c r="AK1974" s="8"/>
      <c r="AL1974" s="4"/>
      <c r="AM1974" s="5" t="str">
        <f t="shared" si="125"/>
        <v/>
      </c>
      <c r="AN1974" s="5" t="str">
        <f t="shared" si="126"/>
        <v/>
      </c>
      <c r="AO1974" s="18" t="str">
        <f t="shared" si="127"/>
        <v/>
      </c>
      <c r="AP1974" s="19"/>
      <c r="AQ1974" s="20" t="str">
        <f t="shared" si="128"/>
        <v/>
      </c>
      <c r="AR1974" s="21"/>
    </row>
    <row r="1975" spans="2:44" ht="31.5" x14ac:dyDescent="0.5">
      <c r="B1975" s="1"/>
      <c r="C1975" s="15"/>
      <c r="D1975" s="16"/>
      <c r="E1975" s="15"/>
      <c r="F1975" s="17"/>
      <c r="G1975" s="8"/>
      <c r="H1975" s="8"/>
      <c r="I1975" s="8"/>
      <c r="J1975" s="8"/>
      <c r="K1975" s="8"/>
      <c r="L1975" s="8"/>
      <c r="M1975" s="8"/>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4"/>
      <c r="AM1975" s="5" t="str">
        <f t="shared" si="125"/>
        <v/>
      </c>
      <c r="AN1975" s="5" t="str">
        <f t="shared" si="126"/>
        <v/>
      </c>
      <c r="AO1975" s="18" t="str">
        <f t="shared" si="127"/>
        <v/>
      </c>
      <c r="AP1975" s="19"/>
      <c r="AQ1975" s="20" t="str">
        <f t="shared" si="128"/>
        <v/>
      </c>
      <c r="AR1975" s="21"/>
    </row>
    <row r="1976" spans="2:44" ht="31.5" x14ac:dyDescent="0.5">
      <c r="B1976" s="1"/>
      <c r="C1976" s="15"/>
      <c r="D1976" s="16"/>
      <c r="E1976" s="15"/>
      <c r="F1976" s="17"/>
      <c r="G1976" s="8"/>
      <c r="H1976" s="8"/>
      <c r="I1976" s="8"/>
      <c r="J1976" s="8"/>
      <c r="K1976" s="8"/>
      <c r="L1976" s="8"/>
      <c r="M1976" s="8"/>
      <c r="N1976" s="8"/>
      <c r="O1976" s="8"/>
      <c r="P1976" s="8"/>
      <c r="Q1976" s="8"/>
      <c r="R1976" s="8"/>
      <c r="S1976" s="8"/>
      <c r="T1976" s="8"/>
      <c r="U1976" s="8"/>
      <c r="V1976" s="8"/>
      <c r="W1976" s="8"/>
      <c r="X1976" s="8"/>
      <c r="Y1976" s="8"/>
      <c r="Z1976" s="8"/>
      <c r="AA1976" s="8"/>
      <c r="AB1976" s="8"/>
      <c r="AC1976" s="8"/>
      <c r="AD1976" s="8"/>
      <c r="AE1976" s="8"/>
      <c r="AF1976" s="8"/>
      <c r="AG1976" s="8"/>
      <c r="AH1976" s="8"/>
      <c r="AI1976" s="8"/>
      <c r="AJ1976" s="8"/>
      <c r="AK1976" s="8"/>
      <c r="AL1976" s="4"/>
      <c r="AM1976" s="5" t="str">
        <f t="shared" si="125"/>
        <v/>
      </c>
      <c r="AN1976" s="5" t="str">
        <f t="shared" si="126"/>
        <v/>
      </c>
      <c r="AO1976" s="18" t="str">
        <f t="shared" si="127"/>
        <v/>
      </c>
      <c r="AP1976" s="19"/>
      <c r="AQ1976" s="20" t="str">
        <f t="shared" si="128"/>
        <v/>
      </c>
      <c r="AR1976" s="21"/>
    </row>
    <row r="1977" spans="2:44" ht="31.5" x14ac:dyDescent="0.5">
      <c r="B1977" s="1"/>
      <c r="C1977" s="15"/>
      <c r="D1977" s="16"/>
      <c r="E1977" s="15"/>
      <c r="F1977" s="17"/>
      <c r="G1977" s="8"/>
      <c r="H1977" s="8"/>
      <c r="I1977" s="8"/>
      <c r="J1977" s="8"/>
      <c r="K1977" s="8"/>
      <c r="L1977" s="8"/>
      <c r="M1977" s="8"/>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4"/>
      <c r="AM1977" s="5" t="str">
        <f t="shared" si="125"/>
        <v/>
      </c>
      <c r="AN1977" s="5" t="str">
        <f t="shared" si="126"/>
        <v/>
      </c>
      <c r="AO1977" s="18" t="str">
        <f t="shared" si="127"/>
        <v/>
      </c>
      <c r="AP1977" s="19"/>
      <c r="AQ1977" s="20" t="str">
        <f t="shared" si="128"/>
        <v/>
      </c>
      <c r="AR1977" s="21"/>
    </row>
    <row r="1978" spans="2:44" ht="31.5" x14ac:dyDescent="0.5">
      <c r="B1978" s="1"/>
      <c r="C1978" s="15"/>
      <c r="D1978" s="16"/>
      <c r="E1978" s="15"/>
      <c r="F1978" s="17"/>
      <c r="G1978" s="8"/>
      <c r="H1978" s="8"/>
      <c r="I1978" s="8"/>
      <c r="J1978" s="8"/>
      <c r="K1978" s="8"/>
      <c r="L1978" s="8"/>
      <c r="M1978" s="8"/>
      <c r="N1978" s="8"/>
      <c r="O1978" s="8"/>
      <c r="P1978" s="8"/>
      <c r="Q1978" s="8"/>
      <c r="R1978" s="8"/>
      <c r="S1978" s="8"/>
      <c r="T1978" s="8"/>
      <c r="U1978" s="8"/>
      <c r="V1978" s="8"/>
      <c r="W1978" s="8"/>
      <c r="X1978" s="8"/>
      <c r="Y1978" s="8"/>
      <c r="Z1978" s="8"/>
      <c r="AA1978" s="8"/>
      <c r="AB1978" s="8"/>
      <c r="AC1978" s="8"/>
      <c r="AD1978" s="8"/>
      <c r="AE1978" s="8"/>
      <c r="AF1978" s="8"/>
      <c r="AG1978" s="8"/>
      <c r="AH1978" s="8"/>
      <c r="AI1978" s="8"/>
      <c r="AJ1978" s="8"/>
      <c r="AK1978" s="8"/>
      <c r="AL1978" s="4"/>
      <c r="AM1978" s="5" t="str">
        <f t="shared" si="125"/>
        <v/>
      </c>
      <c r="AN1978" s="5" t="str">
        <f t="shared" si="126"/>
        <v/>
      </c>
      <c r="AO1978" s="18" t="str">
        <f t="shared" si="127"/>
        <v/>
      </c>
      <c r="AP1978" s="19"/>
      <c r="AQ1978" s="20" t="str">
        <f t="shared" si="128"/>
        <v/>
      </c>
      <c r="AR1978" s="21"/>
    </row>
    <row r="1979" spans="2:44" ht="31.5" x14ac:dyDescent="0.5">
      <c r="B1979" s="1"/>
      <c r="C1979" s="15"/>
      <c r="D1979" s="16"/>
      <c r="E1979" s="15"/>
      <c r="F1979" s="17"/>
      <c r="G1979" s="8"/>
      <c r="H1979" s="8"/>
      <c r="I1979" s="8"/>
      <c r="J1979" s="8"/>
      <c r="K1979" s="8"/>
      <c r="L1979" s="8"/>
      <c r="M1979" s="8"/>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4"/>
      <c r="AM1979" s="5" t="str">
        <f t="shared" si="125"/>
        <v/>
      </c>
      <c r="AN1979" s="5" t="str">
        <f t="shared" si="126"/>
        <v/>
      </c>
      <c r="AO1979" s="18" t="str">
        <f t="shared" si="127"/>
        <v/>
      </c>
      <c r="AP1979" s="19"/>
      <c r="AQ1979" s="20" t="str">
        <f t="shared" si="128"/>
        <v/>
      </c>
      <c r="AR1979" s="21"/>
    </row>
    <row r="1980" spans="2:44" ht="31.5" x14ac:dyDescent="0.5">
      <c r="B1980" s="1"/>
      <c r="C1980" s="15"/>
      <c r="D1980" s="16"/>
      <c r="E1980" s="15"/>
      <c r="F1980" s="17"/>
      <c r="G1980" s="8"/>
      <c r="H1980" s="8"/>
      <c r="I1980" s="8"/>
      <c r="J1980" s="8"/>
      <c r="K1980" s="8"/>
      <c r="L1980" s="8"/>
      <c r="M1980" s="8"/>
      <c r="N1980" s="8"/>
      <c r="O1980" s="8"/>
      <c r="P1980" s="8"/>
      <c r="Q1980" s="8"/>
      <c r="R1980" s="8"/>
      <c r="S1980" s="8"/>
      <c r="T1980" s="8"/>
      <c r="U1980" s="8"/>
      <c r="V1980" s="8"/>
      <c r="W1980" s="8"/>
      <c r="X1980" s="8"/>
      <c r="Y1980" s="8"/>
      <c r="Z1980" s="8"/>
      <c r="AA1980" s="8"/>
      <c r="AB1980" s="8"/>
      <c r="AC1980" s="8"/>
      <c r="AD1980" s="8"/>
      <c r="AE1980" s="8"/>
      <c r="AF1980" s="8"/>
      <c r="AG1980" s="8"/>
      <c r="AH1980" s="8"/>
      <c r="AI1980" s="8"/>
      <c r="AJ1980" s="8"/>
      <c r="AK1980" s="8"/>
      <c r="AL1980" s="4"/>
      <c r="AM1980" s="5" t="str">
        <f t="shared" si="125"/>
        <v/>
      </c>
      <c r="AN1980" s="5" t="str">
        <f t="shared" si="126"/>
        <v/>
      </c>
      <c r="AO1980" s="18" t="str">
        <f t="shared" si="127"/>
        <v/>
      </c>
      <c r="AP1980" s="19"/>
      <c r="AQ1980" s="20" t="str">
        <f t="shared" si="128"/>
        <v/>
      </c>
      <c r="AR1980" s="21"/>
    </row>
    <row r="1981" spans="2:44" ht="31.5" x14ac:dyDescent="0.5">
      <c r="B1981" s="1"/>
      <c r="C1981" s="15"/>
      <c r="D1981" s="16"/>
      <c r="E1981" s="15"/>
      <c r="F1981" s="17"/>
      <c r="G1981" s="8"/>
      <c r="H1981" s="8"/>
      <c r="I1981" s="8"/>
      <c r="J1981" s="8"/>
      <c r="K1981" s="8"/>
      <c r="L1981" s="8"/>
      <c r="M1981" s="8"/>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4"/>
      <c r="AM1981" s="5" t="str">
        <f t="shared" si="125"/>
        <v/>
      </c>
      <c r="AN1981" s="5" t="str">
        <f t="shared" si="126"/>
        <v/>
      </c>
      <c r="AO1981" s="18" t="str">
        <f t="shared" si="127"/>
        <v/>
      </c>
      <c r="AP1981" s="19"/>
      <c r="AQ1981" s="20" t="str">
        <f t="shared" si="128"/>
        <v/>
      </c>
      <c r="AR1981" s="21"/>
    </row>
    <row r="1982" spans="2:44" ht="31.5" x14ac:dyDescent="0.5">
      <c r="B1982" s="1"/>
      <c r="C1982" s="15"/>
      <c r="D1982" s="16"/>
      <c r="E1982" s="15"/>
      <c r="F1982" s="17"/>
      <c r="G1982" s="8"/>
      <c r="H1982" s="8"/>
      <c r="I1982" s="8"/>
      <c r="J1982" s="8"/>
      <c r="K1982" s="8"/>
      <c r="L1982" s="8"/>
      <c r="M1982" s="8"/>
      <c r="N1982" s="8"/>
      <c r="O1982" s="8"/>
      <c r="P1982" s="8"/>
      <c r="Q1982" s="8"/>
      <c r="R1982" s="8"/>
      <c r="S1982" s="8"/>
      <c r="T1982" s="8"/>
      <c r="U1982" s="8"/>
      <c r="V1982" s="8"/>
      <c r="W1982" s="8"/>
      <c r="X1982" s="8"/>
      <c r="Y1982" s="8"/>
      <c r="Z1982" s="8"/>
      <c r="AA1982" s="8"/>
      <c r="AB1982" s="8"/>
      <c r="AC1982" s="8"/>
      <c r="AD1982" s="8"/>
      <c r="AE1982" s="8"/>
      <c r="AF1982" s="8"/>
      <c r="AG1982" s="8"/>
      <c r="AH1982" s="8"/>
      <c r="AI1982" s="8"/>
      <c r="AJ1982" s="8"/>
      <c r="AK1982" s="8"/>
      <c r="AL1982" s="4"/>
      <c r="AM1982" s="5" t="str">
        <f t="shared" si="125"/>
        <v/>
      </c>
      <c r="AN1982" s="5" t="str">
        <f t="shared" si="126"/>
        <v/>
      </c>
      <c r="AO1982" s="18" t="str">
        <f t="shared" si="127"/>
        <v/>
      </c>
      <c r="AP1982" s="19"/>
      <c r="AQ1982" s="20" t="str">
        <f t="shared" si="128"/>
        <v/>
      </c>
      <c r="AR1982" s="21"/>
    </row>
    <row r="1983" spans="2:44" ht="31.5" x14ac:dyDescent="0.5">
      <c r="B1983" s="1"/>
      <c r="C1983" s="15"/>
      <c r="D1983" s="16"/>
      <c r="E1983" s="15"/>
      <c r="F1983" s="17"/>
      <c r="G1983" s="8"/>
      <c r="H1983" s="8"/>
      <c r="I1983" s="8"/>
      <c r="J1983" s="8"/>
      <c r="K1983" s="8"/>
      <c r="L1983" s="8"/>
      <c r="M1983" s="8"/>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4"/>
      <c r="AM1983" s="5" t="str">
        <f t="shared" si="125"/>
        <v/>
      </c>
      <c r="AN1983" s="5" t="str">
        <f t="shared" si="126"/>
        <v/>
      </c>
      <c r="AO1983" s="18" t="str">
        <f t="shared" si="127"/>
        <v/>
      </c>
      <c r="AP1983" s="19"/>
      <c r="AQ1983" s="20" t="str">
        <f t="shared" si="128"/>
        <v/>
      </c>
      <c r="AR1983" s="21"/>
    </row>
    <row r="1984" spans="2:44" ht="31.5" x14ac:dyDescent="0.5">
      <c r="B1984" s="1"/>
      <c r="C1984" s="15"/>
      <c r="D1984" s="16"/>
      <c r="E1984" s="15"/>
      <c r="F1984" s="17"/>
      <c r="G1984" s="8"/>
      <c r="H1984" s="8"/>
      <c r="I1984" s="8"/>
      <c r="J1984" s="8"/>
      <c r="K1984" s="8"/>
      <c r="L1984" s="8"/>
      <c r="M1984" s="8"/>
      <c r="N1984" s="8"/>
      <c r="O1984" s="8"/>
      <c r="P1984" s="8"/>
      <c r="Q1984" s="8"/>
      <c r="R1984" s="8"/>
      <c r="S1984" s="8"/>
      <c r="T1984" s="8"/>
      <c r="U1984" s="8"/>
      <c r="V1984" s="8"/>
      <c r="W1984" s="8"/>
      <c r="X1984" s="8"/>
      <c r="Y1984" s="8"/>
      <c r="Z1984" s="8"/>
      <c r="AA1984" s="8"/>
      <c r="AB1984" s="8"/>
      <c r="AC1984" s="8"/>
      <c r="AD1984" s="8"/>
      <c r="AE1984" s="8"/>
      <c r="AF1984" s="8"/>
      <c r="AG1984" s="8"/>
      <c r="AH1984" s="8"/>
      <c r="AI1984" s="8"/>
      <c r="AJ1984" s="8"/>
      <c r="AK1984" s="8"/>
      <c r="AL1984" s="4"/>
      <c r="AM1984" s="5" t="str">
        <f t="shared" si="125"/>
        <v/>
      </c>
      <c r="AN1984" s="5" t="str">
        <f t="shared" si="126"/>
        <v/>
      </c>
      <c r="AO1984" s="18" t="str">
        <f t="shared" si="127"/>
        <v/>
      </c>
      <c r="AP1984" s="19"/>
      <c r="AQ1984" s="20" t="str">
        <f t="shared" si="128"/>
        <v/>
      </c>
      <c r="AR1984" s="21"/>
    </row>
    <row r="1985" spans="2:44" ht="31.5" x14ac:dyDescent="0.5">
      <c r="B1985" s="1"/>
      <c r="C1985" s="15"/>
      <c r="D1985" s="16"/>
      <c r="E1985" s="15"/>
      <c r="F1985" s="17"/>
      <c r="G1985" s="8"/>
      <c r="H1985" s="8"/>
      <c r="I1985" s="8"/>
      <c r="J1985" s="8"/>
      <c r="K1985" s="8"/>
      <c r="L1985" s="8"/>
      <c r="M1985" s="8"/>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4"/>
      <c r="AM1985" s="5" t="str">
        <f t="shared" si="125"/>
        <v/>
      </c>
      <c r="AN1985" s="5" t="str">
        <f t="shared" si="126"/>
        <v/>
      </c>
      <c r="AO1985" s="18" t="str">
        <f t="shared" si="127"/>
        <v/>
      </c>
      <c r="AP1985" s="19"/>
      <c r="AQ1985" s="20" t="str">
        <f t="shared" si="128"/>
        <v/>
      </c>
      <c r="AR1985" s="21"/>
    </row>
    <row r="1986" spans="2:44" ht="31.5" x14ac:dyDescent="0.5">
      <c r="B1986" s="1"/>
      <c r="C1986" s="15"/>
      <c r="D1986" s="16"/>
      <c r="E1986" s="15"/>
      <c r="F1986" s="17"/>
      <c r="G1986" s="8"/>
      <c r="H1986" s="8"/>
      <c r="I1986" s="8"/>
      <c r="J1986" s="8"/>
      <c r="K1986" s="8"/>
      <c r="L1986" s="8"/>
      <c r="M1986" s="8"/>
      <c r="N1986" s="8"/>
      <c r="O1986" s="8"/>
      <c r="P1986" s="8"/>
      <c r="Q1986" s="8"/>
      <c r="R1986" s="8"/>
      <c r="S1986" s="8"/>
      <c r="T1986" s="8"/>
      <c r="U1986" s="8"/>
      <c r="V1986" s="8"/>
      <c r="W1986" s="8"/>
      <c r="X1986" s="8"/>
      <c r="Y1986" s="8"/>
      <c r="Z1986" s="8"/>
      <c r="AA1986" s="8"/>
      <c r="AB1986" s="8"/>
      <c r="AC1986" s="8"/>
      <c r="AD1986" s="8"/>
      <c r="AE1986" s="8"/>
      <c r="AF1986" s="8"/>
      <c r="AG1986" s="8"/>
      <c r="AH1986" s="8"/>
      <c r="AI1986" s="8"/>
      <c r="AJ1986" s="8"/>
      <c r="AK1986" s="8"/>
      <c r="AL1986" s="4"/>
      <c r="AM1986" s="5" t="str">
        <f t="shared" si="125"/>
        <v/>
      </c>
      <c r="AN1986" s="5" t="str">
        <f t="shared" si="126"/>
        <v/>
      </c>
      <c r="AO1986" s="18" t="str">
        <f t="shared" si="127"/>
        <v/>
      </c>
      <c r="AP1986" s="19"/>
      <c r="AQ1986" s="20" t="str">
        <f t="shared" si="128"/>
        <v/>
      </c>
      <c r="AR1986" s="21"/>
    </row>
    <row r="1987" spans="2:44" ht="31.5" x14ac:dyDescent="0.5">
      <c r="B1987" s="1"/>
      <c r="C1987" s="15"/>
      <c r="D1987" s="16"/>
      <c r="E1987" s="15"/>
      <c r="F1987" s="17"/>
      <c r="G1987" s="8"/>
      <c r="H1987" s="8"/>
      <c r="I1987" s="8"/>
      <c r="J1987" s="8"/>
      <c r="K1987" s="8"/>
      <c r="L1987" s="8"/>
      <c r="M1987" s="8"/>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4"/>
      <c r="AM1987" s="5" t="str">
        <f t="shared" si="125"/>
        <v/>
      </c>
      <c r="AN1987" s="5" t="str">
        <f t="shared" si="126"/>
        <v/>
      </c>
      <c r="AO1987" s="18" t="str">
        <f t="shared" si="127"/>
        <v/>
      </c>
      <c r="AP1987" s="19"/>
      <c r="AQ1987" s="20" t="str">
        <f t="shared" si="128"/>
        <v/>
      </c>
      <c r="AR1987" s="21"/>
    </row>
    <row r="1988" spans="2:44" ht="31.5" x14ac:dyDescent="0.5">
      <c r="B1988" s="1"/>
      <c r="C1988" s="15"/>
      <c r="D1988" s="16"/>
      <c r="E1988" s="15"/>
      <c r="F1988" s="17"/>
      <c r="G1988" s="8"/>
      <c r="H1988" s="8"/>
      <c r="I1988" s="8"/>
      <c r="J1988" s="8"/>
      <c r="K1988" s="8"/>
      <c r="L1988" s="8"/>
      <c r="M1988" s="8"/>
      <c r="N1988" s="8"/>
      <c r="O1988" s="8"/>
      <c r="P1988" s="8"/>
      <c r="Q1988" s="8"/>
      <c r="R1988" s="8"/>
      <c r="S1988" s="8"/>
      <c r="T1988" s="8"/>
      <c r="U1988" s="8"/>
      <c r="V1988" s="8"/>
      <c r="W1988" s="8"/>
      <c r="X1988" s="8"/>
      <c r="Y1988" s="8"/>
      <c r="Z1988" s="8"/>
      <c r="AA1988" s="8"/>
      <c r="AB1988" s="8"/>
      <c r="AC1988" s="8"/>
      <c r="AD1988" s="8"/>
      <c r="AE1988" s="8"/>
      <c r="AF1988" s="8"/>
      <c r="AG1988" s="8"/>
      <c r="AH1988" s="8"/>
      <c r="AI1988" s="8"/>
      <c r="AJ1988" s="8"/>
      <c r="AK1988" s="8"/>
      <c r="AL1988" s="4"/>
      <c r="AM1988" s="5" t="str">
        <f t="shared" si="125"/>
        <v/>
      </c>
      <c r="AN1988" s="5" t="str">
        <f t="shared" si="126"/>
        <v/>
      </c>
      <c r="AO1988" s="18" t="str">
        <f t="shared" si="127"/>
        <v/>
      </c>
      <c r="AP1988" s="19"/>
      <c r="AQ1988" s="20" t="str">
        <f t="shared" si="128"/>
        <v/>
      </c>
      <c r="AR1988" s="21"/>
    </row>
    <row r="1989" spans="2:44" ht="31.5" x14ac:dyDescent="0.5">
      <c r="B1989" s="1"/>
      <c r="C1989" s="15"/>
      <c r="D1989" s="16"/>
      <c r="E1989" s="15"/>
      <c r="F1989" s="17"/>
      <c r="G1989" s="8"/>
      <c r="H1989" s="8"/>
      <c r="I1989" s="8"/>
      <c r="J1989" s="8"/>
      <c r="K1989" s="8"/>
      <c r="L1989" s="8"/>
      <c r="M1989" s="8"/>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4"/>
      <c r="AM1989" s="5" t="str">
        <f t="shared" si="125"/>
        <v/>
      </c>
      <c r="AN1989" s="5" t="str">
        <f t="shared" si="126"/>
        <v/>
      </c>
      <c r="AO1989" s="18" t="str">
        <f t="shared" si="127"/>
        <v/>
      </c>
      <c r="AP1989" s="19"/>
      <c r="AQ1989" s="20" t="str">
        <f t="shared" si="128"/>
        <v/>
      </c>
      <c r="AR1989" s="21"/>
    </row>
    <row r="1990" spans="2:44" ht="31.5" x14ac:dyDescent="0.5">
      <c r="B1990" s="1"/>
      <c r="C1990" s="15"/>
      <c r="D1990" s="16"/>
      <c r="E1990" s="15"/>
      <c r="F1990" s="17"/>
      <c r="G1990" s="8"/>
      <c r="H1990" s="8"/>
      <c r="I1990" s="8"/>
      <c r="J1990" s="8"/>
      <c r="K1990" s="8"/>
      <c r="L1990" s="8"/>
      <c r="M1990" s="8"/>
      <c r="N1990" s="8"/>
      <c r="O1990" s="8"/>
      <c r="P1990" s="8"/>
      <c r="Q1990" s="8"/>
      <c r="R1990" s="8"/>
      <c r="S1990" s="8"/>
      <c r="T1990" s="8"/>
      <c r="U1990" s="8"/>
      <c r="V1990" s="8"/>
      <c r="W1990" s="8"/>
      <c r="X1990" s="8"/>
      <c r="Y1990" s="8"/>
      <c r="Z1990" s="8"/>
      <c r="AA1990" s="8"/>
      <c r="AB1990" s="8"/>
      <c r="AC1990" s="8"/>
      <c r="AD1990" s="8"/>
      <c r="AE1990" s="8"/>
      <c r="AF1990" s="8"/>
      <c r="AG1990" s="8"/>
      <c r="AH1990" s="8"/>
      <c r="AI1990" s="8"/>
      <c r="AJ1990" s="8"/>
      <c r="AK1990" s="8"/>
      <c r="AL1990" s="4"/>
      <c r="AM1990" s="5" t="str">
        <f t="shared" si="125"/>
        <v/>
      </c>
      <c r="AN1990" s="5" t="str">
        <f t="shared" si="126"/>
        <v/>
      </c>
      <c r="AO1990" s="18" t="str">
        <f t="shared" si="127"/>
        <v/>
      </c>
      <c r="AP1990" s="19"/>
      <c r="AQ1990" s="20" t="str">
        <f t="shared" si="128"/>
        <v/>
      </c>
      <c r="AR1990" s="21"/>
    </row>
    <row r="1991" spans="2:44" ht="31.5" x14ac:dyDescent="0.5">
      <c r="B1991" s="1"/>
      <c r="C1991" s="15"/>
      <c r="D1991" s="16"/>
      <c r="E1991" s="15"/>
      <c r="F1991" s="17"/>
      <c r="G1991" s="8"/>
      <c r="H1991" s="8"/>
      <c r="I1991" s="8"/>
      <c r="J1991" s="8"/>
      <c r="K1991" s="8"/>
      <c r="L1991" s="8"/>
      <c r="M1991" s="8"/>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4"/>
      <c r="AM1991" s="5" t="str">
        <f t="shared" si="125"/>
        <v/>
      </c>
      <c r="AN1991" s="5" t="str">
        <f t="shared" si="126"/>
        <v/>
      </c>
      <c r="AO1991" s="18" t="str">
        <f t="shared" si="127"/>
        <v/>
      </c>
      <c r="AP1991" s="19"/>
      <c r="AQ1991" s="20" t="str">
        <f t="shared" si="128"/>
        <v/>
      </c>
      <c r="AR1991" s="21"/>
    </row>
    <row r="1992" spans="2:44" ht="31.5" x14ac:dyDescent="0.5">
      <c r="B1992" s="1"/>
      <c r="C1992" s="15"/>
      <c r="D1992" s="16"/>
      <c r="E1992" s="15"/>
      <c r="F1992" s="17"/>
      <c r="G1992" s="8"/>
      <c r="H1992" s="8"/>
      <c r="I1992" s="8"/>
      <c r="J1992" s="8"/>
      <c r="K1992" s="8"/>
      <c r="L1992" s="8"/>
      <c r="M1992" s="8"/>
      <c r="N1992" s="8"/>
      <c r="O1992" s="8"/>
      <c r="P1992" s="8"/>
      <c r="Q1992" s="8"/>
      <c r="R1992" s="8"/>
      <c r="S1992" s="8"/>
      <c r="T1992" s="8"/>
      <c r="U1992" s="8"/>
      <c r="V1992" s="8"/>
      <c r="W1992" s="8"/>
      <c r="X1992" s="8"/>
      <c r="Y1992" s="8"/>
      <c r="Z1992" s="8"/>
      <c r="AA1992" s="8"/>
      <c r="AB1992" s="8"/>
      <c r="AC1992" s="8"/>
      <c r="AD1992" s="8"/>
      <c r="AE1992" s="8"/>
      <c r="AF1992" s="8"/>
      <c r="AG1992" s="8"/>
      <c r="AH1992" s="8"/>
      <c r="AI1992" s="8"/>
      <c r="AJ1992" s="8"/>
      <c r="AK1992" s="8"/>
      <c r="AL1992" s="4"/>
      <c r="AM1992" s="5" t="str">
        <f t="shared" si="125"/>
        <v/>
      </c>
      <c r="AN1992" s="5" t="str">
        <f t="shared" si="126"/>
        <v/>
      </c>
      <c r="AO1992" s="18" t="str">
        <f t="shared" si="127"/>
        <v/>
      </c>
      <c r="AP1992" s="19"/>
      <c r="AQ1992" s="20" t="str">
        <f t="shared" si="128"/>
        <v/>
      </c>
      <c r="AR1992" s="21"/>
    </row>
    <row r="1993" spans="2:44" ht="31.5" x14ac:dyDescent="0.5">
      <c r="B1993" s="1"/>
      <c r="C1993" s="15"/>
      <c r="D1993" s="16"/>
      <c r="E1993" s="15"/>
      <c r="F1993" s="17"/>
      <c r="G1993" s="8"/>
      <c r="H1993" s="8"/>
      <c r="I1993" s="8"/>
      <c r="J1993" s="8"/>
      <c r="K1993" s="8"/>
      <c r="L1993" s="8"/>
      <c r="M1993" s="8"/>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4"/>
      <c r="AM1993" s="5" t="str">
        <f t="shared" si="125"/>
        <v/>
      </c>
      <c r="AN1993" s="5" t="str">
        <f t="shared" si="126"/>
        <v/>
      </c>
      <c r="AO1993" s="18" t="str">
        <f t="shared" si="127"/>
        <v/>
      </c>
      <c r="AP1993" s="19"/>
      <c r="AQ1993" s="20" t="str">
        <f t="shared" si="128"/>
        <v/>
      </c>
      <c r="AR1993" s="21"/>
    </row>
    <row r="1994" spans="2:44" ht="31.5" x14ac:dyDescent="0.5">
      <c r="B1994" s="1"/>
      <c r="C1994" s="15"/>
      <c r="D1994" s="16"/>
      <c r="E1994" s="15"/>
      <c r="F1994" s="17"/>
      <c r="G1994" s="8"/>
      <c r="H1994" s="8"/>
      <c r="I1994" s="8"/>
      <c r="J1994" s="8"/>
      <c r="K1994" s="8"/>
      <c r="L1994" s="8"/>
      <c r="M1994" s="8"/>
      <c r="N1994" s="8"/>
      <c r="O1994" s="8"/>
      <c r="P1994" s="8"/>
      <c r="Q1994" s="8"/>
      <c r="R1994" s="8"/>
      <c r="S1994" s="8"/>
      <c r="T1994" s="8"/>
      <c r="U1994" s="8"/>
      <c r="V1994" s="8"/>
      <c r="W1994" s="8"/>
      <c r="X1994" s="8"/>
      <c r="Y1994" s="8"/>
      <c r="Z1994" s="8"/>
      <c r="AA1994" s="8"/>
      <c r="AB1994" s="8"/>
      <c r="AC1994" s="8"/>
      <c r="AD1994" s="8"/>
      <c r="AE1994" s="8"/>
      <c r="AF1994" s="8"/>
      <c r="AG1994" s="8"/>
      <c r="AH1994" s="8"/>
      <c r="AI1994" s="8"/>
      <c r="AJ1994" s="8"/>
      <c r="AK1994" s="8"/>
      <c r="AL1994" s="4"/>
      <c r="AM1994" s="5" t="str">
        <f t="shared" si="125"/>
        <v/>
      </c>
      <c r="AN1994" s="5" t="str">
        <f t="shared" si="126"/>
        <v/>
      </c>
      <c r="AO1994" s="18" t="str">
        <f t="shared" si="127"/>
        <v/>
      </c>
      <c r="AP1994" s="19"/>
      <c r="AQ1994" s="20" t="str">
        <f t="shared" si="128"/>
        <v/>
      </c>
      <c r="AR1994" s="21"/>
    </row>
    <row r="1995" spans="2:44" ht="31.5" x14ac:dyDescent="0.5">
      <c r="B1995" s="1"/>
      <c r="C1995" s="15"/>
      <c r="D1995" s="16"/>
      <c r="E1995" s="15"/>
      <c r="F1995" s="17"/>
      <c r="G1995" s="8"/>
      <c r="H1995" s="8"/>
      <c r="I1995" s="8"/>
      <c r="J1995" s="8"/>
      <c r="K1995" s="8"/>
      <c r="L1995" s="8"/>
      <c r="M1995" s="8"/>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4"/>
      <c r="AM1995" s="5" t="str">
        <f t="shared" si="125"/>
        <v/>
      </c>
      <c r="AN1995" s="5" t="str">
        <f t="shared" si="126"/>
        <v/>
      </c>
      <c r="AO1995" s="18" t="str">
        <f t="shared" si="127"/>
        <v/>
      </c>
      <c r="AP1995" s="19"/>
      <c r="AQ1995" s="20" t="str">
        <f t="shared" si="128"/>
        <v/>
      </c>
      <c r="AR1995" s="21"/>
    </row>
    <row r="1996" spans="2:44" ht="31.5" x14ac:dyDescent="0.5">
      <c r="B1996" s="1"/>
      <c r="C1996" s="15"/>
      <c r="D1996" s="16"/>
      <c r="E1996" s="15"/>
      <c r="F1996" s="17"/>
      <c r="G1996" s="8"/>
      <c r="H1996" s="8"/>
      <c r="I1996" s="8"/>
      <c r="J1996" s="8"/>
      <c r="K1996" s="8"/>
      <c r="L1996" s="8"/>
      <c r="M1996" s="8"/>
      <c r="N1996" s="8"/>
      <c r="O1996" s="8"/>
      <c r="P1996" s="8"/>
      <c r="Q1996" s="8"/>
      <c r="R1996" s="8"/>
      <c r="S1996" s="8"/>
      <c r="T1996" s="8"/>
      <c r="U1996" s="8"/>
      <c r="V1996" s="8"/>
      <c r="W1996" s="8"/>
      <c r="X1996" s="8"/>
      <c r="Y1996" s="8"/>
      <c r="Z1996" s="8"/>
      <c r="AA1996" s="8"/>
      <c r="AB1996" s="8"/>
      <c r="AC1996" s="8"/>
      <c r="AD1996" s="8"/>
      <c r="AE1996" s="8"/>
      <c r="AF1996" s="8"/>
      <c r="AG1996" s="8"/>
      <c r="AH1996" s="8"/>
      <c r="AI1996" s="8"/>
      <c r="AJ1996" s="8"/>
      <c r="AK1996" s="8"/>
      <c r="AL1996" s="4"/>
      <c r="AM1996" s="5" t="str">
        <f t="shared" si="125"/>
        <v/>
      </c>
      <c r="AN1996" s="5" t="str">
        <f t="shared" si="126"/>
        <v/>
      </c>
      <c r="AO1996" s="18" t="str">
        <f t="shared" si="127"/>
        <v/>
      </c>
      <c r="AP1996" s="19"/>
      <c r="AQ1996" s="20" t="str">
        <f t="shared" si="128"/>
        <v/>
      </c>
      <c r="AR1996" s="21"/>
    </row>
    <row r="1997" spans="2:44" ht="31.5" x14ac:dyDescent="0.5">
      <c r="B1997" s="1"/>
      <c r="C1997" s="15"/>
      <c r="D1997" s="16"/>
      <c r="E1997" s="15"/>
      <c r="F1997" s="17"/>
      <c r="G1997" s="8"/>
      <c r="H1997" s="8"/>
      <c r="I1997" s="8"/>
      <c r="J1997" s="8"/>
      <c r="K1997" s="8"/>
      <c r="L1997" s="8"/>
      <c r="M1997" s="8"/>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4"/>
      <c r="AM1997" s="5" t="str">
        <f t="shared" si="125"/>
        <v/>
      </c>
      <c r="AN1997" s="5" t="str">
        <f t="shared" si="126"/>
        <v/>
      </c>
      <c r="AO1997" s="18" t="str">
        <f t="shared" si="127"/>
        <v/>
      </c>
      <c r="AP1997" s="19"/>
      <c r="AQ1997" s="20" t="str">
        <f t="shared" si="128"/>
        <v/>
      </c>
      <c r="AR1997" s="21"/>
    </row>
    <row r="1998" spans="2:44" ht="31.5" x14ac:dyDescent="0.5">
      <c r="B1998" s="1"/>
      <c r="C1998" s="15"/>
      <c r="D1998" s="16"/>
      <c r="E1998" s="15"/>
      <c r="F1998" s="17"/>
      <c r="G1998" s="8"/>
      <c r="H1998" s="8"/>
      <c r="I1998" s="8"/>
      <c r="J1998" s="8"/>
      <c r="K1998" s="8"/>
      <c r="L1998" s="8"/>
      <c r="M1998" s="8"/>
      <c r="N1998" s="8"/>
      <c r="O1998" s="8"/>
      <c r="P1998" s="8"/>
      <c r="Q1998" s="8"/>
      <c r="R1998" s="8"/>
      <c r="S1998" s="8"/>
      <c r="T1998" s="8"/>
      <c r="U1998" s="8"/>
      <c r="V1998" s="8"/>
      <c r="W1998" s="8"/>
      <c r="X1998" s="8"/>
      <c r="Y1998" s="8"/>
      <c r="Z1998" s="8"/>
      <c r="AA1998" s="8"/>
      <c r="AB1998" s="8"/>
      <c r="AC1998" s="8"/>
      <c r="AD1998" s="8"/>
      <c r="AE1998" s="8"/>
      <c r="AF1998" s="8"/>
      <c r="AG1998" s="8"/>
      <c r="AH1998" s="8"/>
      <c r="AI1998" s="8"/>
      <c r="AJ1998" s="8"/>
      <c r="AK1998" s="8"/>
      <c r="AL1998" s="4"/>
      <c r="AM1998" s="5" t="str">
        <f t="shared" si="125"/>
        <v/>
      </c>
      <c r="AN1998" s="5" t="str">
        <f t="shared" si="126"/>
        <v/>
      </c>
      <c r="AO1998" s="18" t="str">
        <f t="shared" si="127"/>
        <v/>
      </c>
      <c r="AP1998" s="19"/>
      <c r="AQ1998" s="20" t="str">
        <f t="shared" si="128"/>
        <v/>
      </c>
      <c r="AR1998" s="21"/>
    </row>
    <row r="1999" spans="2:44" ht="31.5" x14ac:dyDescent="0.5">
      <c r="B1999" s="1"/>
      <c r="C1999" s="15"/>
      <c r="D1999" s="16"/>
      <c r="E1999" s="15"/>
      <c r="F1999" s="17"/>
      <c r="G1999" s="8"/>
      <c r="H1999" s="8"/>
      <c r="I1999" s="8"/>
      <c r="J1999" s="8"/>
      <c r="K1999" s="8"/>
      <c r="L1999" s="8"/>
      <c r="M1999" s="8"/>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4"/>
      <c r="AM1999" s="5" t="str">
        <f t="shared" si="125"/>
        <v/>
      </c>
      <c r="AN1999" s="5" t="str">
        <f t="shared" si="126"/>
        <v/>
      </c>
      <c r="AO1999" s="18" t="str">
        <f t="shared" si="127"/>
        <v/>
      </c>
      <c r="AP1999" s="19"/>
      <c r="AQ1999" s="20" t="str">
        <f t="shared" si="128"/>
        <v/>
      </c>
      <c r="AR1999" s="21"/>
    </row>
    <row r="2000" spans="2:44" ht="31.5" x14ac:dyDescent="0.5">
      <c r="B2000" s="1"/>
      <c r="C2000" s="15"/>
      <c r="D2000" s="16"/>
      <c r="E2000" s="15"/>
      <c r="F2000" s="17"/>
      <c r="G2000" s="8"/>
      <c r="H2000" s="8"/>
      <c r="I2000" s="8"/>
      <c r="J2000" s="8"/>
      <c r="K2000" s="8"/>
      <c r="L2000" s="8"/>
      <c r="M2000" s="8"/>
      <c r="N2000" s="8"/>
      <c r="O2000" s="8"/>
      <c r="P2000" s="8"/>
      <c r="Q2000" s="8"/>
      <c r="R2000" s="8"/>
      <c r="S2000" s="8"/>
      <c r="T2000" s="8"/>
      <c r="U2000" s="8"/>
      <c r="V2000" s="8"/>
      <c r="W2000" s="8"/>
      <c r="X2000" s="8"/>
      <c r="Y2000" s="8"/>
      <c r="Z2000" s="8"/>
      <c r="AA2000" s="8"/>
      <c r="AB2000" s="8"/>
      <c r="AC2000" s="8"/>
      <c r="AD2000" s="8"/>
      <c r="AE2000" s="8"/>
      <c r="AF2000" s="8"/>
      <c r="AG2000" s="8"/>
      <c r="AH2000" s="8"/>
      <c r="AI2000" s="8"/>
      <c r="AJ2000" s="8"/>
      <c r="AK2000" s="8"/>
      <c r="AL2000" s="4"/>
      <c r="AM2000" s="5" t="str">
        <f t="shared" si="125"/>
        <v/>
      </c>
      <c r="AN2000" s="5" t="str">
        <f t="shared" si="126"/>
        <v/>
      </c>
      <c r="AO2000" s="18" t="str">
        <f t="shared" si="127"/>
        <v/>
      </c>
      <c r="AP2000" s="19"/>
      <c r="AQ2000" s="20" t="str">
        <f t="shared" si="128"/>
        <v/>
      </c>
      <c r="AR2000" s="21"/>
    </row>
    <row r="2001" spans="2:44" ht="31.5" x14ac:dyDescent="0.5">
      <c r="B2001" s="1"/>
      <c r="C2001" s="15"/>
      <c r="D2001" s="16"/>
      <c r="E2001" s="15"/>
      <c r="F2001" s="17"/>
      <c r="G2001" s="8"/>
      <c r="H2001" s="8"/>
      <c r="I2001" s="8"/>
      <c r="J2001" s="8"/>
      <c r="K2001" s="8"/>
      <c r="L2001" s="8"/>
      <c r="M2001" s="8"/>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4"/>
      <c r="AM2001" s="5" t="str">
        <f t="shared" si="125"/>
        <v/>
      </c>
      <c r="AN2001" s="5" t="str">
        <f t="shared" si="126"/>
        <v/>
      </c>
      <c r="AO2001" s="18" t="str">
        <f t="shared" si="127"/>
        <v/>
      </c>
      <c r="AP2001" s="19"/>
      <c r="AQ2001" s="20" t="str">
        <f t="shared" si="128"/>
        <v/>
      </c>
      <c r="AR2001" s="21"/>
    </row>
    <row r="2002" spans="2:44" ht="31.5" x14ac:dyDescent="0.5">
      <c r="B2002" s="1"/>
      <c r="C2002" s="15"/>
      <c r="D2002" s="16"/>
      <c r="E2002" s="15"/>
      <c r="F2002" s="17"/>
      <c r="G2002" s="8"/>
      <c r="H2002" s="8"/>
      <c r="I2002" s="8"/>
      <c r="J2002" s="8"/>
      <c r="K2002" s="8"/>
      <c r="L2002" s="8"/>
      <c r="M2002" s="8"/>
      <c r="N2002" s="8"/>
      <c r="O2002" s="8"/>
      <c r="P2002" s="8"/>
      <c r="Q2002" s="8"/>
      <c r="R2002" s="8"/>
      <c r="S2002" s="8"/>
      <c r="T2002" s="8"/>
      <c r="U2002" s="8"/>
      <c r="V2002" s="8"/>
      <c r="W2002" s="8"/>
      <c r="X2002" s="8"/>
      <c r="Y2002" s="8"/>
      <c r="Z2002" s="8"/>
      <c r="AA2002" s="8"/>
      <c r="AB2002" s="8"/>
      <c r="AC2002" s="8"/>
      <c r="AD2002" s="8"/>
      <c r="AE2002" s="8"/>
      <c r="AF2002" s="8"/>
      <c r="AG2002" s="8"/>
      <c r="AH2002" s="8"/>
      <c r="AI2002" s="8"/>
      <c r="AJ2002" s="8"/>
      <c r="AK2002" s="8"/>
      <c r="AL2002" s="4"/>
      <c r="AM2002" s="5" t="str">
        <f t="shared" si="125"/>
        <v/>
      </c>
      <c r="AN2002" s="5" t="str">
        <f t="shared" si="126"/>
        <v/>
      </c>
      <c r="AO2002" s="18" t="str">
        <f t="shared" si="127"/>
        <v/>
      </c>
      <c r="AP2002" s="19"/>
      <c r="AQ2002" s="20" t="str">
        <f t="shared" si="128"/>
        <v/>
      </c>
      <c r="AR2002" s="21"/>
    </row>
    <row r="2003" spans="2:44" ht="31.5" x14ac:dyDescent="0.5">
      <c r="B2003" s="1"/>
      <c r="C2003" s="15"/>
      <c r="D2003" s="16"/>
      <c r="E2003" s="15"/>
      <c r="F2003" s="17"/>
      <c r="G2003" s="8"/>
      <c r="H2003" s="8"/>
      <c r="I2003" s="8"/>
      <c r="J2003" s="8"/>
      <c r="K2003" s="8"/>
      <c r="L2003" s="8"/>
      <c r="M2003" s="8"/>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4"/>
      <c r="AM2003" s="5" t="str">
        <f t="shared" si="125"/>
        <v/>
      </c>
      <c r="AN2003" s="5" t="str">
        <f t="shared" si="126"/>
        <v/>
      </c>
      <c r="AO2003" s="18" t="str">
        <f t="shared" si="127"/>
        <v/>
      </c>
      <c r="AP2003" s="19"/>
      <c r="AQ2003" s="20" t="str">
        <f t="shared" si="128"/>
        <v/>
      </c>
      <c r="AR2003" s="21"/>
    </row>
    <row r="2004" spans="2:44" ht="31.5" x14ac:dyDescent="0.5">
      <c r="B2004" s="1"/>
      <c r="C2004" s="15"/>
      <c r="D2004" s="16"/>
      <c r="E2004" s="15"/>
      <c r="F2004" s="17"/>
      <c r="G2004" s="8"/>
      <c r="H2004" s="8"/>
      <c r="I2004" s="8"/>
      <c r="J2004" s="8"/>
      <c r="K2004" s="8"/>
      <c r="L2004" s="8"/>
      <c r="M2004" s="8"/>
      <c r="N2004" s="8"/>
      <c r="O2004" s="8"/>
      <c r="P2004" s="8"/>
      <c r="Q2004" s="8"/>
      <c r="R2004" s="8"/>
      <c r="S2004" s="8"/>
      <c r="T2004" s="8"/>
      <c r="U2004" s="8"/>
      <c r="V2004" s="8"/>
      <c r="W2004" s="8"/>
      <c r="X2004" s="8"/>
      <c r="Y2004" s="8"/>
      <c r="Z2004" s="8"/>
      <c r="AA2004" s="8"/>
      <c r="AB2004" s="8"/>
      <c r="AC2004" s="8"/>
      <c r="AD2004" s="8"/>
      <c r="AE2004" s="8"/>
      <c r="AF2004" s="8"/>
      <c r="AG2004" s="8"/>
      <c r="AH2004" s="8"/>
      <c r="AI2004" s="8"/>
      <c r="AJ2004" s="8"/>
      <c r="AK2004" s="8"/>
      <c r="AL2004" s="4"/>
      <c r="AM2004" s="5" t="str">
        <f t="shared" si="125"/>
        <v/>
      </c>
      <c r="AN2004" s="5" t="str">
        <f t="shared" si="126"/>
        <v/>
      </c>
      <c r="AO2004" s="18" t="str">
        <f t="shared" si="127"/>
        <v/>
      </c>
      <c r="AP2004" s="19"/>
      <c r="AQ2004" s="20" t="str">
        <f t="shared" si="128"/>
        <v/>
      </c>
      <c r="AR2004" s="21"/>
    </row>
    <row r="2005" spans="2:44" ht="31.5" x14ac:dyDescent="0.5">
      <c r="B2005" s="1"/>
      <c r="C2005" s="15"/>
      <c r="D2005" s="16"/>
      <c r="E2005" s="15"/>
      <c r="F2005" s="17"/>
      <c r="G2005" s="8"/>
      <c r="H2005" s="8"/>
      <c r="I2005" s="8"/>
      <c r="J2005" s="8"/>
      <c r="K2005" s="8"/>
      <c r="L2005" s="8"/>
      <c r="M2005" s="8"/>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4"/>
      <c r="AM2005" s="5" t="str">
        <f t="shared" si="125"/>
        <v/>
      </c>
      <c r="AN2005" s="5" t="str">
        <f t="shared" si="126"/>
        <v/>
      </c>
      <c r="AO2005" s="18" t="str">
        <f t="shared" si="127"/>
        <v/>
      </c>
      <c r="AP2005" s="19"/>
      <c r="AQ2005" s="20" t="str">
        <f t="shared" si="128"/>
        <v/>
      </c>
      <c r="AR2005" s="21"/>
    </row>
    <row r="2006" spans="2:44" ht="31.5" x14ac:dyDescent="0.5">
      <c r="B2006" s="1"/>
      <c r="C2006" s="15"/>
      <c r="D2006" s="16"/>
      <c r="E2006" s="15"/>
      <c r="F2006" s="17"/>
      <c r="G2006" s="8"/>
      <c r="H2006" s="8"/>
      <c r="I2006" s="8"/>
      <c r="J2006" s="8"/>
      <c r="K2006" s="8"/>
      <c r="L2006" s="8"/>
      <c r="M2006" s="8"/>
      <c r="N2006" s="8"/>
      <c r="O2006" s="8"/>
      <c r="P2006" s="8"/>
      <c r="Q2006" s="8"/>
      <c r="R2006" s="8"/>
      <c r="S2006" s="8"/>
      <c r="T2006" s="8"/>
      <c r="U2006" s="8"/>
      <c r="V2006" s="8"/>
      <c r="W2006" s="8"/>
      <c r="X2006" s="8"/>
      <c r="Y2006" s="8"/>
      <c r="Z2006" s="8"/>
      <c r="AA2006" s="8"/>
      <c r="AB2006" s="8"/>
      <c r="AC2006" s="8"/>
      <c r="AD2006" s="8"/>
      <c r="AE2006" s="8"/>
      <c r="AF2006" s="8"/>
      <c r="AG2006" s="8"/>
      <c r="AH2006" s="8"/>
      <c r="AI2006" s="8"/>
      <c r="AJ2006" s="8"/>
      <c r="AK2006" s="8"/>
      <c r="AL2006" s="4"/>
      <c r="AM2006" s="5" t="str">
        <f t="shared" si="125"/>
        <v/>
      </c>
      <c r="AN2006" s="5" t="str">
        <f t="shared" si="126"/>
        <v/>
      </c>
      <c r="AO2006" s="18" t="str">
        <f t="shared" si="127"/>
        <v/>
      </c>
      <c r="AP2006" s="19"/>
      <c r="AQ2006" s="20" t="str">
        <f t="shared" si="128"/>
        <v/>
      </c>
      <c r="AR2006" s="21"/>
    </row>
    <row r="2007" spans="2:44" ht="31.5" x14ac:dyDescent="0.5">
      <c r="B2007" s="1"/>
      <c r="C2007" s="15"/>
      <c r="D2007" s="16"/>
      <c r="E2007" s="15"/>
      <c r="F2007" s="17"/>
      <c r="G2007" s="8"/>
      <c r="H2007" s="8"/>
      <c r="I2007" s="8"/>
      <c r="J2007" s="8"/>
      <c r="K2007" s="8"/>
      <c r="L2007" s="8"/>
      <c r="M2007" s="8"/>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4"/>
      <c r="AM2007" s="5" t="str">
        <f t="shared" si="125"/>
        <v/>
      </c>
      <c r="AN2007" s="5" t="str">
        <f t="shared" si="126"/>
        <v/>
      </c>
      <c r="AO2007" s="18" t="str">
        <f t="shared" si="127"/>
        <v/>
      </c>
      <c r="AP2007" s="19"/>
      <c r="AQ2007" s="20" t="str">
        <f t="shared" si="128"/>
        <v/>
      </c>
      <c r="AR2007" s="21"/>
    </row>
    <row r="2008" spans="2:44" ht="31.5" x14ac:dyDescent="0.5">
      <c r="B2008" s="1"/>
      <c r="C2008" s="15"/>
      <c r="D2008" s="16"/>
      <c r="E2008" s="15"/>
      <c r="F2008" s="17"/>
      <c r="G2008" s="8"/>
      <c r="H2008" s="8"/>
      <c r="I2008" s="8"/>
      <c r="J2008" s="8"/>
      <c r="K2008" s="8"/>
      <c r="L2008" s="8"/>
      <c r="M2008" s="8"/>
      <c r="N2008" s="8"/>
      <c r="O2008" s="8"/>
      <c r="P2008" s="8"/>
      <c r="Q2008" s="8"/>
      <c r="R2008" s="8"/>
      <c r="S2008" s="8"/>
      <c r="T2008" s="8"/>
      <c r="U2008" s="8"/>
      <c r="V2008" s="8"/>
      <c r="W2008" s="8"/>
      <c r="X2008" s="8"/>
      <c r="Y2008" s="8"/>
      <c r="Z2008" s="8"/>
      <c r="AA2008" s="8"/>
      <c r="AB2008" s="8"/>
      <c r="AC2008" s="8"/>
      <c r="AD2008" s="8"/>
      <c r="AE2008" s="8"/>
      <c r="AF2008" s="8"/>
      <c r="AG2008" s="8"/>
      <c r="AH2008" s="8"/>
      <c r="AI2008" s="8"/>
      <c r="AJ2008" s="8"/>
      <c r="AK2008" s="8"/>
      <c r="AL2008" s="4"/>
      <c r="AM2008" s="5" t="str">
        <f t="shared" si="125"/>
        <v/>
      </c>
      <c r="AN2008" s="5" t="str">
        <f t="shared" si="126"/>
        <v/>
      </c>
      <c r="AO2008" s="18" t="str">
        <f t="shared" si="127"/>
        <v/>
      </c>
      <c r="AP2008" s="19"/>
      <c r="AQ2008" s="20" t="str">
        <f t="shared" si="128"/>
        <v/>
      </c>
      <c r="AR2008" s="21"/>
    </row>
    <row r="2009" spans="2:44" ht="31.5" x14ac:dyDescent="0.5">
      <c r="B2009" s="1"/>
      <c r="C2009" s="15"/>
      <c r="D2009" s="16"/>
      <c r="E2009" s="15"/>
      <c r="F2009" s="17"/>
      <c r="G2009" s="8"/>
      <c r="H2009" s="8"/>
      <c r="I2009" s="8"/>
      <c r="J2009" s="8"/>
      <c r="K2009" s="8"/>
      <c r="L2009" s="8"/>
      <c r="M2009" s="8"/>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4"/>
      <c r="AM2009" s="5" t="str">
        <f t="shared" si="125"/>
        <v/>
      </c>
      <c r="AN2009" s="5" t="str">
        <f t="shared" si="126"/>
        <v/>
      </c>
      <c r="AO2009" s="18" t="str">
        <f t="shared" si="127"/>
        <v/>
      </c>
      <c r="AP2009" s="19"/>
      <c r="AQ2009" s="20" t="str">
        <f t="shared" si="128"/>
        <v/>
      </c>
      <c r="AR2009" s="21"/>
    </row>
    <row r="2010" spans="2:44" ht="31.5" x14ac:dyDescent="0.5">
      <c r="B2010" s="1"/>
      <c r="C2010" s="15"/>
      <c r="D2010" s="16"/>
      <c r="E2010" s="15"/>
      <c r="F2010" s="17"/>
      <c r="G2010" s="8"/>
      <c r="H2010" s="8"/>
      <c r="I2010" s="8"/>
      <c r="J2010" s="8"/>
      <c r="K2010" s="8"/>
      <c r="L2010" s="8"/>
      <c r="M2010" s="8"/>
      <c r="N2010" s="8"/>
      <c r="O2010" s="8"/>
      <c r="P2010" s="8"/>
      <c r="Q2010" s="8"/>
      <c r="R2010" s="8"/>
      <c r="S2010" s="8"/>
      <c r="T2010" s="8"/>
      <c r="U2010" s="8"/>
      <c r="V2010" s="8"/>
      <c r="W2010" s="8"/>
      <c r="X2010" s="8"/>
      <c r="Y2010" s="8"/>
      <c r="Z2010" s="8"/>
      <c r="AA2010" s="8"/>
      <c r="AB2010" s="8"/>
      <c r="AC2010" s="8"/>
      <c r="AD2010" s="8"/>
      <c r="AE2010" s="8"/>
      <c r="AF2010" s="8"/>
      <c r="AG2010" s="8"/>
      <c r="AH2010" s="8"/>
      <c r="AI2010" s="8"/>
      <c r="AJ2010" s="8"/>
      <c r="AK2010" s="8"/>
      <c r="AL2010" s="4"/>
      <c r="AM2010" s="5" t="str">
        <f t="shared" si="125"/>
        <v/>
      </c>
      <c r="AN2010" s="5" t="str">
        <f t="shared" si="126"/>
        <v/>
      </c>
      <c r="AO2010" s="18" t="str">
        <f t="shared" si="127"/>
        <v/>
      </c>
      <c r="AP2010" s="19"/>
      <c r="AQ2010" s="20" t="str">
        <f t="shared" si="128"/>
        <v/>
      </c>
      <c r="AR2010" s="21"/>
    </row>
    <row r="2011" spans="2:44" ht="31.5" x14ac:dyDescent="0.5">
      <c r="B2011" s="1"/>
      <c r="C2011" s="15"/>
      <c r="D2011" s="16"/>
      <c r="E2011" s="15"/>
      <c r="F2011" s="17"/>
      <c r="G2011" s="8"/>
      <c r="H2011" s="8"/>
      <c r="I2011" s="8"/>
      <c r="J2011" s="8"/>
      <c r="K2011" s="8"/>
      <c r="L2011" s="8"/>
      <c r="M2011" s="8"/>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4"/>
      <c r="AM2011" s="5" t="str">
        <f t="shared" si="125"/>
        <v/>
      </c>
      <c r="AN2011" s="5" t="str">
        <f t="shared" si="126"/>
        <v/>
      </c>
      <c r="AO2011" s="18" t="str">
        <f t="shared" si="127"/>
        <v/>
      </c>
      <c r="AP2011" s="19"/>
      <c r="AQ2011" s="20" t="str">
        <f t="shared" si="128"/>
        <v/>
      </c>
      <c r="AR2011" s="21"/>
    </row>
    <row r="2012" spans="2:44" ht="31.5" x14ac:dyDescent="0.5">
      <c r="B2012" s="1"/>
      <c r="C2012" s="15"/>
      <c r="D2012" s="16"/>
      <c r="E2012" s="15"/>
      <c r="F2012" s="17"/>
      <c r="G2012" s="8"/>
      <c r="H2012" s="8"/>
      <c r="I2012" s="8"/>
      <c r="J2012" s="8"/>
      <c r="K2012" s="8"/>
      <c r="L2012" s="8"/>
      <c r="M2012" s="8"/>
      <c r="N2012" s="8"/>
      <c r="O2012" s="8"/>
      <c r="P2012" s="8"/>
      <c r="Q2012" s="8"/>
      <c r="R2012" s="8"/>
      <c r="S2012" s="8"/>
      <c r="T2012" s="8"/>
      <c r="U2012" s="8"/>
      <c r="V2012" s="8"/>
      <c r="W2012" s="8"/>
      <c r="X2012" s="8"/>
      <c r="Y2012" s="8"/>
      <c r="Z2012" s="8"/>
      <c r="AA2012" s="8"/>
      <c r="AB2012" s="8"/>
      <c r="AC2012" s="8"/>
      <c r="AD2012" s="8"/>
      <c r="AE2012" s="8"/>
      <c r="AF2012" s="8"/>
      <c r="AG2012" s="8"/>
      <c r="AH2012" s="8"/>
      <c r="AI2012" s="8"/>
      <c r="AJ2012" s="8"/>
      <c r="AK2012" s="8"/>
      <c r="AL2012" s="4"/>
      <c r="AM2012" s="5" t="str">
        <f t="shared" si="125"/>
        <v/>
      </c>
      <c r="AN2012" s="5" t="str">
        <f t="shared" si="126"/>
        <v/>
      </c>
      <c r="AO2012" s="18" t="str">
        <f t="shared" si="127"/>
        <v/>
      </c>
      <c r="AP2012" s="19"/>
      <c r="AQ2012" s="20" t="str">
        <f t="shared" si="128"/>
        <v/>
      </c>
      <c r="AR2012" s="21"/>
    </row>
  </sheetData>
  <sheetProtection algorithmName="SHA-512" hashValue="+/xuWqgN15xqYbkbw5scYrPWWJwb6NUq9aBOM1DnkDW22xgmXq6SJA3HhK/EQIzYNXKEORowRkoCdWQq9OIB6Q==" saltValue="k+0kky9aoM6w4EDn1pJw0Q==" spinCount="100000" sheet="1" objects="1" formatCells="0" formatColumns="0" selectLockedCells="1"/>
  <mergeCells count="8001">
    <mergeCell ref="C47:D47"/>
    <mergeCell ref="C48:D48"/>
    <mergeCell ref="E40:F40"/>
    <mergeCell ref="E41:F41"/>
    <mergeCell ref="E42:F42"/>
    <mergeCell ref="E48:F48"/>
    <mergeCell ref="E46:F46"/>
    <mergeCell ref="E47:F47"/>
    <mergeCell ref="E14:F14"/>
    <mergeCell ref="E15:F15"/>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C27:D27"/>
    <mergeCell ref="C28:D28"/>
    <mergeCell ref="C29:D29"/>
    <mergeCell ref="C30:D30"/>
    <mergeCell ref="C31:D31"/>
    <mergeCell ref="C32:D32"/>
    <mergeCell ref="C33:D33"/>
    <mergeCell ref="C34:D34"/>
    <mergeCell ref="C35:D35"/>
    <mergeCell ref="C36:D36"/>
    <mergeCell ref="C37:D37"/>
    <mergeCell ref="C38:D38"/>
    <mergeCell ref="C39:D39"/>
    <mergeCell ref="C23:D23"/>
    <mergeCell ref="C24:D24"/>
    <mergeCell ref="C25:D25"/>
    <mergeCell ref="C26:D26"/>
    <mergeCell ref="AM9:AO12"/>
    <mergeCell ref="C18:D18"/>
    <mergeCell ref="C19:D19"/>
    <mergeCell ref="C20:D20"/>
    <mergeCell ref="C21:D21"/>
    <mergeCell ref="C22:D22"/>
    <mergeCell ref="C13:D13"/>
    <mergeCell ref="C14:D14"/>
    <mergeCell ref="C15:D15"/>
    <mergeCell ref="C16:D16"/>
    <mergeCell ref="C17:D17"/>
    <mergeCell ref="AO13:AP13"/>
    <mergeCell ref="AO14:AP14"/>
    <mergeCell ref="AO15:AP15"/>
    <mergeCell ref="AO16:AP16"/>
    <mergeCell ref="AO17:AP17"/>
    <mergeCell ref="AO18:AP18"/>
    <mergeCell ref="AO19:AP19"/>
    <mergeCell ref="E13:F13"/>
    <mergeCell ref="AO20:AP20"/>
    <mergeCell ref="AO21:AP21"/>
    <mergeCell ref="AQ22:AR22"/>
    <mergeCell ref="AQ23:AR23"/>
    <mergeCell ref="AQ24:AR24"/>
    <mergeCell ref="AO42:AP42"/>
    <mergeCell ref="AO43:AP43"/>
    <mergeCell ref="AO27:AP27"/>
    <mergeCell ref="AO28:AP28"/>
    <mergeCell ref="AO29:AP29"/>
    <mergeCell ref="AO30:AP30"/>
    <mergeCell ref="AO31:AP31"/>
    <mergeCell ref="AO22:AP22"/>
    <mergeCell ref="AQ25:AR25"/>
    <mergeCell ref="AQ26:AR26"/>
    <mergeCell ref="AQ27:AR27"/>
    <mergeCell ref="AQ28:AR28"/>
    <mergeCell ref="AQ29:AR29"/>
    <mergeCell ref="AQ30:AR30"/>
    <mergeCell ref="AQ31:AR31"/>
    <mergeCell ref="AQ32:AR32"/>
    <mergeCell ref="AQ33:AR33"/>
    <mergeCell ref="AO23:AP23"/>
    <mergeCell ref="AO24:AP24"/>
    <mergeCell ref="AO25:AP25"/>
    <mergeCell ref="AO26:AP26"/>
    <mergeCell ref="AO32:AP32"/>
    <mergeCell ref="AO33:AP33"/>
    <mergeCell ref="AO34:AP34"/>
    <mergeCell ref="AO35:AP35"/>
    <mergeCell ref="AO36:AP36"/>
    <mergeCell ref="AQ13:AR13"/>
    <mergeCell ref="AQ14:AR14"/>
    <mergeCell ref="AQ15:AR15"/>
    <mergeCell ref="AQ16:AR16"/>
    <mergeCell ref="AQ17:AR17"/>
    <mergeCell ref="AQ18:AR18"/>
    <mergeCell ref="AQ19:AR19"/>
    <mergeCell ref="AQ20:AR20"/>
    <mergeCell ref="AQ21:AR21"/>
    <mergeCell ref="AO47:AP47"/>
    <mergeCell ref="AO48:AP48"/>
    <mergeCell ref="AO49:AP49"/>
    <mergeCell ref="AO50:AP50"/>
    <mergeCell ref="AQ35:AR35"/>
    <mergeCell ref="AQ36:AR36"/>
    <mergeCell ref="AQ37:AR37"/>
    <mergeCell ref="AQ38:AR38"/>
    <mergeCell ref="AQ39:AR39"/>
    <mergeCell ref="AO44:AP44"/>
    <mergeCell ref="AO45:AP45"/>
    <mergeCell ref="AO46:AP46"/>
    <mergeCell ref="AO37:AP37"/>
    <mergeCell ref="AO38:AP38"/>
    <mergeCell ref="AO39:AP39"/>
    <mergeCell ref="AO40:AP40"/>
    <mergeCell ref="AO41:AP41"/>
    <mergeCell ref="AQ34:AR34"/>
    <mergeCell ref="AQ50:AR50"/>
    <mergeCell ref="AQ45:AR45"/>
    <mergeCell ref="AQ46:AR46"/>
    <mergeCell ref="AQ47:AR47"/>
    <mergeCell ref="AQ48:AR48"/>
    <mergeCell ref="AQ49:AR49"/>
    <mergeCell ref="AQ40:AR40"/>
    <mergeCell ref="AQ41:AR41"/>
    <mergeCell ref="AQ42:AR42"/>
    <mergeCell ref="AQ43:AR43"/>
    <mergeCell ref="AQ44:AR44"/>
    <mergeCell ref="C51:D51"/>
    <mergeCell ref="E51:F51"/>
    <mergeCell ref="AO51:AP51"/>
    <mergeCell ref="AQ51:AR51"/>
    <mergeCell ref="C52:D52"/>
    <mergeCell ref="E52:F52"/>
    <mergeCell ref="AO52:AP52"/>
    <mergeCell ref="AQ52:AR52"/>
    <mergeCell ref="C53:D53"/>
    <mergeCell ref="E53:F53"/>
    <mergeCell ref="AO53:AP53"/>
    <mergeCell ref="AQ53:AR53"/>
    <mergeCell ref="C49:D49"/>
    <mergeCell ref="C50:D50"/>
    <mergeCell ref="C42:D42"/>
    <mergeCell ref="C43:D43"/>
    <mergeCell ref="C44:D44"/>
    <mergeCell ref="C45:D45"/>
    <mergeCell ref="C46:D46"/>
    <mergeCell ref="E49:F49"/>
    <mergeCell ref="E50:F50"/>
    <mergeCell ref="E43:F43"/>
    <mergeCell ref="E44:F44"/>
    <mergeCell ref="E45:F45"/>
    <mergeCell ref="C40:D40"/>
    <mergeCell ref="C41:D41"/>
    <mergeCell ref="C54:D54"/>
    <mergeCell ref="E54:F54"/>
    <mergeCell ref="AO54:AP54"/>
    <mergeCell ref="AQ54:AR54"/>
    <mergeCell ref="C55:D55"/>
    <mergeCell ref="E55:F55"/>
    <mergeCell ref="AO55:AP55"/>
    <mergeCell ref="AQ55:AR55"/>
    <mergeCell ref="C56:D56"/>
    <mergeCell ref="E56:F56"/>
    <mergeCell ref="AO56:AP56"/>
    <mergeCell ref="AQ56:AR56"/>
    <mergeCell ref="C57:D57"/>
    <mergeCell ref="E57:F57"/>
    <mergeCell ref="AO57:AP57"/>
    <mergeCell ref="AQ57:AR57"/>
    <mergeCell ref="C58:D58"/>
    <mergeCell ref="E58:F58"/>
    <mergeCell ref="AO58:AP58"/>
    <mergeCell ref="AQ58:AR58"/>
    <mergeCell ref="C59:D59"/>
    <mergeCell ref="E59:F59"/>
    <mergeCell ref="AO59:AP59"/>
    <mergeCell ref="AQ59:AR59"/>
    <mergeCell ref="C60:D60"/>
    <mergeCell ref="E60:F60"/>
    <mergeCell ref="AO60:AP60"/>
    <mergeCell ref="AQ60:AR60"/>
    <mergeCell ref="C61:D61"/>
    <mergeCell ref="E61:F61"/>
    <mergeCell ref="AO61:AP61"/>
    <mergeCell ref="AQ61:AR61"/>
    <mergeCell ref="C62:D62"/>
    <mergeCell ref="E62:F62"/>
    <mergeCell ref="AO62:AP62"/>
    <mergeCell ref="AQ62:AR62"/>
    <mergeCell ref="C63:D63"/>
    <mergeCell ref="E63:F63"/>
    <mergeCell ref="AO63:AP63"/>
    <mergeCell ref="AQ63:AR63"/>
    <mergeCell ref="C64:D64"/>
    <mergeCell ref="E64:F64"/>
    <mergeCell ref="AO64:AP64"/>
    <mergeCell ref="AQ64:AR64"/>
    <mergeCell ref="C65:D65"/>
    <mergeCell ref="E65:F65"/>
    <mergeCell ref="AO65:AP65"/>
    <mergeCell ref="AQ65:AR65"/>
    <mergeCell ref="C66:D66"/>
    <mergeCell ref="E66:F66"/>
    <mergeCell ref="AO66:AP66"/>
    <mergeCell ref="AQ66:AR66"/>
    <mergeCell ref="C67:D67"/>
    <mergeCell ref="E67:F67"/>
    <mergeCell ref="AO67:AP67"/>
    <mergeCell ref="AQ67:AR67"/>
    <mergeCell ref="C68:D68"/>
    <mergeCell ref="E68:F68"/>
    <mergeCell ref="AO68:AP68"/>
    <mergeCell ref="AQ68:AR68"/>
    <mergeCell ref="C69:D69"/>
    <mergeCell ref="E69:F69"/>
    <mergeCell ref="AO69:AP69"/>
    <mergeCell ref="AQ69:AR69"/>
    <mergeCell ref="C70:D70"/>
    <mergeCell ref="E70:F70"/>
    <mergeCell ref="AO70:AP70"/>
    <mergeCell ref="AQ70:AR70"/>
    <mergeCell ref="C71:D71"/>
    <mergeCell ref="E71:F71"/>
    <mergeCell ref="AO71:AP71"/>
    <mergeCell ref="AQ71:AR71"/>
    <mergeCell ref="C72:D72"/>
    <mergeCell ref="E72:F72"/>
    <mergeCell ref="AO72:AP72"/>
    <mergeCell ref="AQ72:AR72"/>
    <mergeCell ref="C73:D73"/>
    <mergeCell ref="E73:F73"/>
    <mergeCell ref="AO73:AP73"/>
    <mergeCell ref="AQ73:AR73"/>
    <mergeCell ref="C74:D74"/>
    <mergeCell ref="E74:F74"/>
    <mergeCell ref="AO74:AP74"/>
    <mergeCell ref="AQ74:AR74"/>
    <mergeCell ref="C75:D75"/>
    <mergeCell ref="E75:F75"/>
    <mergeCell ref="AO75:AP75"/>
    <mergeCell ref="AQ75:AR75"/>
    <mergeCell ref="C76:D76"/>
    <mergeCell ref="E76:F76"/>
    <mergeCell ref="AO76:AP76"/>
    <mergeCell ref="AQ76:AR76"/>
    <mergeCell ref="C77:D77"/>
    <mergeCell ref="E77:F77"/>
    <mergeCell ref="AO77:AP77"/>
    <mergeCell ref="AQ77:AR77"/>
    <mergeCell ref="C78:D78"/>
    <mergeCell ref="E78:F78"/>
    <mergeCell ref="AO78:AP78"/>
    <mergeCell ref="AQ78:AR78"/>
    <mergeCell ref="C79:D79"/>
    <mergeCell ref="E79:F79"/>
    <mergeCell ref="AO79:AP79"/>
    <mergeCell ref="AQ79:AR79"/>
    <mergeCell ref="C80:D80"/>
    <mergeCell ref="E80:F80"/>
    <mergeCell ref="AO80:AP80"/>
    <mergeCell ref="AQ80:AR80"/>
    <mergeCell ref="C81:D81"/>
    <mergeCell ref="E81:F81"/>
    <mergeCell ref="AO81:AP81"/>
    <mergeCell ref="AQ81:AR81"/>
    <mergeCell ref="C82:D82"/>
    <mergeCell ref="E82:F82"/>
    <mergeCell ref="AO82:AP82"/>
    <mergeCell ref="AQ82:AR82"/>
    <mergeCell ref="C83:D83"/>
    <mergeCell ref="E83:F83"/>
    <mergeCell ref="AO83:AP83"/>
    <mergeCell ref="AQ83:AR83"/>
    <mergeCell ref="C84:D84"/>
    <mergeCell ref="E84:F84"/>
    <mergeCell ref="AO84:AP84"/>
    <mergeCell ref="AQ84:AR84"/>
    <mergeCell ref="C85:D85"/>
    <mergeCell ref="E85:F85"/>
    <mergeCell ref="AO85:AP85"/>
    <mergeCell ref="AQ85:AR85"/>
    <mergeCell ref="C86:D86"/>
    <mergeCell ref="E86:F86"/>
    <mergeCell ref="AO86:AP86"/>
    <mergeCell ref="AQ86:AR86"/>
    <mergeCell ref="C87:D87"/>
    <mergeCell ref="E87:F87"/>
    <mergeCell ref="AO87:AP87"/>
    <mergeCell ref="AQ87:AR87"/>
    <mergeCell ref="C88:D88"/>
    <mergeCell ref="E88:F88"/>
    <mergeCell ref="AO88:AP88"/>
    <mergeCell ref="AQ88:AR88"/>
    <mergeCell ref="C89:D89"/>
    <mergeCell ref="E89:F89"/>
    <mergeCell ref="AO89:AP89"/>
    <mergeCell ref="AQ89:AR89"/>
    <mergeCell ref="C90:D90"/>
    <mergeCell ref="E90:F90"/>
    <mergeCell ref="AO90:AP90"/>
    <mergeCell ref="AQ90:AR90"/>
    <mergeCell ref="C91:D91"/>
    <mergeCell ref="E91:F91"/>
    <mergeCell ref="AO91:AP91"/>
    <mergeCell ref="AQ91:AR91"/>
    <mergeCell ref="C92:D92"/>
    <mergeCell ref="E92:F92"/>
    <mergeCell ref="AO92:AP92"/>
    <mergeCell ref="AQ92:AR92"/>
    <mergeCell ref="C93:D93"/>
    <mergeCell ref="E93:F93"/>
    <mergeCell ref="AO93:AP93"/>
    <mergeCell ref="AQ93:AR93"/>
    <mergeCell ref="C94:D94"/>
    <mergeCell ref="E94:F94"/>
    <mergeCell ref="AO94:AP94"/>
    <mergeCell ref="AQ94:AR94"/>
    <mergeCell ref="C95:D95"/>
    <mergeCell ref="E95:F95"/>
    <mergeCell ref="AO95:AP95"/>
    <mergeCell ref="AQ95:AR95"/>
    <mergeCell ref="C96:D96"/>
    <mergeCell ref="E96:F96"/>
    <mergeCell ref="AO96:AP96"/>
    <mergeCell ref="AQ96:AR96"/>
    <mergeCell ref="C97:D97"/>
    <mergeCell ref="E97:F97"/>
    <mergeCell ref="AO97:AP97"/>
    <mergeCell ref="AQ97:AR97"/>
    <mergeCell ref="C98:D98"/>
    <mergeCell ref="E98:F98"/>
    <mergeCell ref="AO98:AP98"/>
    <mergeCell ref="AQ98:AR98"/>
    <mergeCell ref="C99:D99"/>
    <mergeCell ref="E99:F99"/>
    <mergeCell ref="AO99:AP99"/>
    <mergeCell ref="AQ99:AR99"/>
    <mergeCell ref="C100:D100"/>
    <mergeCell ref="E100:F100"/>
    <mergeCell ref="AO100:AP100"/>
    <mergeCell ref="AQ100:AR100"/>
    <mergeCell ref="C101:D101"/>
    <mergeCell ref="E101:F101"/>
    <mergeCell ref="AO101:AP101"/>
    <mergeCell ref="AQ101:AR101"/>
    <mergeCell ref="C102:D102"/>
    <mergeCell ref="E102:F102"/>
    <mergeCell ref="AO102:AP102"/>
    <mergeCell ref="AQ102:AR102"/>
    <mergeCell ref="C103:D103"/>
    <mergeCell ref="E103:F103"/>
    <mergeCell ref="AO103:AP103"/>
    <mergeCell ref="AQ103:AR103"/>
    <mergeCell ref="C104:D104"/>
    <mergeCell ref="E104:F104"/>
    <mergeCell ref="AO104:AP104"/>
    <mergeCell ref="AQ104:AR104"/>
    <mergeCell ref="C105:D105"/>
    <mergeCell ref="E105:F105"/>
    <mergeCell ref="AO105:AP105"/>
    <mergeCell ref="AQ105:AR105"/>
    <mergeCell ref="C106:D106"/>
    <mergeCell ref="E106:F106"/>
    <mergeCell ref="AO106:AP106"/>
    <mergeCell ref="AQ106:AR106"/>
    <mergeCell ref="C107:D107"/>
    <mergeCell ref="E107:F107"/>
    <mergeCell ref="AO107:AP107"/>
    <mergeCell ref="AQ107:AR107"/>
    <mergeCell ref="C108:D108"/>
    <mergeCell ref="E108:F108"/>
    <mergeCell ref="AO108:AP108"/>
    <mergeCell ref="AQ108:AR108"/>
    <mergeCell ref="C109:D109"/>
    <mergeCell ref="E109:F109"/>
    <mergeCell ref="AO109:AP109"/>
    <mergeCell ref="AQ109:AR109"/>
    <mergeCell ref="C110:D110"/>
    <mergeCell ref="E110:F110"/>
    <mergeCell ref="AO110:AP110"/>
    <mergeCell ref="AQ110:AR110"/>
    <mergeCell ref="C111:D111"/>
    <mergeCell ref="E111:F111"/>
    <mergeCell ref="AO111:AP111"/>
    <mergeCell ref="AQ111:AR111"/>
    <mergeCell ref="C112:D112"/>
    <mergeCell ref="E112:F112"/>
    <mergeCell ref="AO112:AP112"/>
    <mergeCell ref="AQ112:AR112"/>
    <mergeCell ref="C113:D113"/>
    <mergeCell ref="E113:F113"/>
    <mergeCell ref="AO113:AP113"/>
    <mergeCell ref="AQ113:AR113"/>
    <mergeCell ref="C114:D114"/>
    <mergeCell ref="E114:F114"/>
    <mergeCell ref="AO114:AP114"/>
    <mergeCell ref="AQ114:AR114"/>
    <mergeCell ref="C115:D115"/>
    <mergeCell ref="E115:F115"/>
    <mergeCell ref="AO115:AP115"/>
    <mergeCell ref="AQ115:AR115"/>
    <mergeCell ref="C116:D116"/>
    <mergeCell ref="E116:F116"/>
    <mergeCell ref="AO116:AP116"/>
    <mergeCell ref="AQ116:AR116"/>
    <mergeCell ref="C117:D117"/>
    <mergeCell ref="E117:F117"/>
    <mergeCell ref="AO117:AP117"/>
    <mergeCell ref="AQ117:AR117"/>
    <mergeCell ref="C118:D118"/>
    <mergeCell ref="E118:F118"/>
    <mergeCell ref="AO118:AP118"/>
    <mergeCell ref="AQ118:AR118"/>
    <mergeCell ref="C119:D119"/>
    <mergeCell ref="E119:F119"/>
    <mergeCell ref="AO119:AP119"/>
    <mergeCell ref="AQ119:AR119"/>
    <mergeCell ref="C120:D120"/>
    <mergeCell ref="E120:F120"/>
    <mergeCell ref="AO120:AP120"/>
    <mergeCell ref="AQ120:AR120"/>
    <mergeCell ref="C121:D121"/>
    <mergeCell ref="E121:F121"/>
    <mergeCell ref="AO121:AP121"/>
    <mergeCell ref="AQ121:AR121"/>
    <mergeCell ref="C122:D122"/>
    <mergeCell ref="E122:F122"/>
    <mergeCell ref="AO122:AP122"/>
    <mergeCell ref="AQ122:AR122"/>
    <mergeCell ref="C123:D123"/>
    <mergeCell ref="E123:F123"/>
    <mergeCell ref="AO123:AP123"/>
    <mergeCell ref="AQ123:AR123"/>
    <mergeCell ref="C124:D124"/>
    <mergeCell ref="E124:F124"/>
    <mergeCell ref="AO124:AP124"/>
    <mergeCell ref="AQ124:AR124"/>
    <mergeCell ref="C125:D125"/>
    <mergeCell ref="E125:F125"/>
    <mergeCell ref="AO125:AP125"/>
    <mergeCell ref="AQ125:AR125"/>
    <mergeCell ref="C126:D126"/>
    <mergeCell ref="E126:F126"/>
    <mergeCell ref="AO126:AP126"/>
    <mergeCell ref="AQ126:AR126"/>
    <mergeCell ref="C127:D127"/>
    <mergeCell ref="E127:F127"/>
    <mergeCell ref="AO127:AP127"/>
    <mergeCell ref="AQ127:AR127"/>
    <mergeCell ref="C128:D128"/>
    <mergeCell ref="E128:F128"/>
    <mergeCell ref="AO128:AP128"/>
    <mergeCell ref="AQ128:AR128"/>
    <mergeCell ref="C129:D129"/>
    <mergeCell ref="E129:F129"/>
    <mergeCell ref="AO129:AP129"/>
    <mergeCell ref="AQ129:AR129"/>
    <mergeCell ref="C130:D130"/>
    <mergeCell ref="E130:F130"/>
    <mergeCell ref="AO130:AP130"/>
    <mergeCell ref="AQ130:AR130"/>
    <mergeCell ref="C131:D131"/>
    <mergeCell ref="E131:F131"/>
    <mergeCell ref="AO131:AP131"/>
    <mergeCell ref="AQ131:AR131"/>
    <mergeCell ref="C132:D132"/>
    <mergeCell ref="E132:F132"/>
    <mergeCell ref="AO132:AP132"/>
    <mergeCell ref="AQ132:AR132"/>
    <mergeCell ref="C133:D133"/>
    <mergeCell ref="E133:F133"/>
    <mergeCell ref="AO133:AP133"/>
    <mergeCell ref="AQ133:AR133"/>
    <mergeCell ref="C134:D134"/>
    <mergeCell ref="E134:F134"/>
    <mergeCell ref="AO134:AP134"/>
    <mergeCell ref="AQ134:AR134"/>
    <mergeCell ref="C135:D135"/>
    <mergeCell ref="E135:F135"/>
    <mergeCell ref="AO135:AP135"/>
    <mergeCell ref="AQ135:AR135"/>
    <mergeCell ref="C136:D136"/>
    <mergeCell ref="E136:F136"/>
    <mergeCell ref="AO136:AP136"/>
    <mergeCell ref="AQ136:AR136"/>
    <mergeCell ref="C137:D137"/>
    <mergeCell ref="E137:F137"/>
    <mergeCell ref="AO137:AP137"/>
    <mergeCell ref="AQ137:AR137"/>
    <mergeCell ref="C138:D138"/>
    <mergeCell ref="E138:F138"/>
    <mergeCell ref="AO138:AP138"/>
    <mergeCell ref="AQ138:AR138"/>
    <mergeCell ref="C139:D139"/>
    <mergeCell ref="E139:F139"/>
    <mergeCell ref="AO139:AP139"/>
    <mergeCell ref="AQ139:AR139"/>
    <mergeCell ref="C140:D140"/>
    <mergeCell ref="E140:F140"/>
    <mergeCell ref="AO140:AP140"/>
    <mergeCell ref="AQ140:AR140"/>
    <mergeCell ref="C141:D141"/>
    <mergeCell ref="E141:F141"/>
    <mergeCell ref="AO141:AP141"/>
    <mergeCell ref="AQ141:AR141"/>
    <mergeCell ref="C142:D142"/>
    <mergeCell ref="E142:F142"/>
    <mergeCell ref="AO142:AP142"/>
    <mergeCell ref="AQ142:AR142"/>
    <mergeCell ref="C143:D143"/>
    <mergeCell ref="E143:F143"/>
    <mergeCell ref="AO143:AP143"/>
    <mergeCell ref="AQ143:AR143"/>
    <mergeCell ref="C144:D144"/>
    <mergeCell ref="E144:F144"/>
    <mergeCell ref="AO144:AP144"/>
    <mergeCell ref="AQ144:AR144"/>
    <mergeCell ref="C145:D145"/>
    <mergeCell ref="E145:F145"/>
    <mergeCell ref="AO145:AP145"/>
    <mergeCell ref="AQ145:AR145"/>
    <mergeCell ref="C146:D146"/>
    <mergeCell ref="E146:F146"/>
    <mergeCell ref="AO146:AP146"/>
    <mergeCell ref="AQ146:AR146"/>
    <mergeCell ref="C147:D147"/>
    <mergeCell ref="E147:F147"/>
    <mergeCell ref="AO147:AP147"/>
    <mergeCell ref="AQ147:AR147"/>
    <mergeCell ref="C148:D148"/>
    <mergeCell ref="E148:F148"/>
    <mergeCell ref="AO148:AP148"/>
    <mergeCell ref="AQ148:AR148"/>
    <mergeCell ref="C149:D149"/>
    <mergeCell ref="E149:F149"/>
    <mergeCell ref="AO149:AP149"/>
    <mergeCell ref="AQ149:AR149"/>
    <mergeCell ref="C150:D150"/>
    <mergeCell ref="E150:F150"/>
    <mergeCell ref="AO150:AP150"/>
    <mergeCell ref="AQ150:AR150"/>
    <mergeCell ref="C151:D151"/>
    <mergeCell ref="E151:F151"/>
    <mergeCell ref="AO151:AP151"/>
    <mergeCell ref="AQ151:AR151"/>
    <mergeCell ref="C152:D152"/>
    <mergeCell ref="E152:F152"/>
    <mergeCell ref="AO152:AP152"/>
    <mergeCell ref="AQ152:AR152"/>
    <mergeCell ref="C153:D153"/>
    <mergeCell ref="E153:F153"/>
    <mergeCell ref="AO153:AP153"/>
    <mergeCell ref="AQ153:AR153"/>
    <mergeCell ref="C154:D154"/>
    <mergeCell ref="E154:F154"/>
    <mergeCell ref="AO154:AP154"/>
    <mergeCell ref="AQ154:AR154"/>
    <mergeCell ref="C155:D155"/>
    <mergeCell ref="E155:F155"/>
    <mergeCell ref="AO155:AP155"/>
    <mergeCell ref="AQ155:AR155"/>
    <mergeCell ref="C156:D156"/>
    <mergeCell ref="E156:F156"/>
    <mergeCell ref="AO156:AP156"/>
    <mergeCell ref="AQ156:AR156"/>
    <mergeCell ref="C157:D157"/>
    <mergeCell ref="E157:F157"/>
    <mergeCell ref="AO157:AP157"/>
    <mergeCell ref="AQ157:AR157"/>
    <mergeCell ref="C158:D158"/>
    <mergeCell ref="E158:F158"/>
    <mergeCell ref="AO158:AP158"/>
    <mergeCell ref="AQ158:AR158"/>
    <mergeCell ref="C159:D159"/>
    <mergeCell ref="E159:F159"/>
    <mergeCell ref="AO159:AP159"/>
    <mergeCell ref="AQ159:AR159"/>
    <mergeCell ref="C160:D160"/>
    <mergeCell ref="E160:F160"/>
    <mergeCell ref="AO160:AP160"/>
    <mergeCell ref="AQ160:AR160"/>
    <mergeCell ref="C161:D161"/>
    <mergeCell ref="E161:F161"/>
    <mergeCell ref="AO161:AP161"/>
    <mergeCell ref="AQ161:AR161"/>
    <mergeCell ref="C162:D162"/>
    <mergeCell ref="E162:F162"/>
    <mergeCell ref="AO162:AP162"/>
    <mergeCell ref="AQ162:AR162"/>
    <mergeCell ref="C163:D163"/>
    <mergeCell ref="E163:F163"/>
    <mergeCell ref="AO163:AP163"/>
    <mergeCell ref="AQ163:AR163"/>
    <mergeCell ref="C164:D164"/>
    <mergeCell ref="E164:F164"/>
    <mergeCell ref="AO164:AP164"/>
    <mergeCell ref="AQ164:AR164"/>
    <mergeCell ref="C165:D165"/>
    <mergeCell ref="E165:F165"/>
    <mergeCell ref="AO165:AP165"/>
    <mergeCell ref="AQ165:AR165"/>
    <mergeCell ref="C166:D166"/>
    <mergeCell ref="E166:F166"/>
    <mergeCell ref="AO166:AP166"/>
    <mergeCell ref="AQ166:AR166"/>
    <mergeCell ref="C167:D167"/>
    <mergeCell ref="E167:F167"/>
    <mergeCell ref="AO167:AP167"/>
    <mergeCell ref="AQ167:AR167"/>
    <mergeCell ref="C168:D168"/>
    <mergeCell ref="E168:F168"/>
    <mergeCell ref="AO168:AP168"/>
    <mergeCell ref="AQ168:AR168"/>
    <mergeCell ref="C169:D169"/>
    <mergeCell ref="E169:F169"/>
    <mergeCell ref="AO169:AP169"/>
    <mergeCell ref="AQ169:AR169"/>
    <mergeCell ref="C170:D170"/>
    <mergeCell ref="E170:F170"/>
    <mergeCell ref="AO170:AP170"/>
    <mergeCell ref="AQ170:AR170"/>
    <mergeCell ref="C171:D171"/>
    <mergeCell ref="E171:F171"/>
    <mergeCell ref="AO171:AP171"/>
    <mergeCell ref="AQ171:AR171"/>
    <mergeCell ref="C172:D172"/>
    <mergeCell ref="E172:F172"/>
    <mergeCell ref="AO172:AP172"/>
    <mergeCell ref="AQ172:AR172"/>
    <mergeCell ref="C173:D173"/>
    <mergeCell ref="E173:F173"/>
    <mergeCell ref="AO173:AP173"/>
    <mergeCell ref="AQ173:AR173"/>
    <mergeCell ref="C174:D174"/>
    <mergeCell ref="E174:F174"/>
    <mergeCell ref="AO174:AP174"/>
    <mergeCell ref="AQ174:AR174"/>
    <mergeCell ref="C175:D175"/>
    <mergeCell ref="E175:F175"/>
    <mergeCell ref="AO175:AP175"/>
    <mergeCell ref="AQ175:AR175"/>
    <mergeCell ref="C176:D176"/>
    <mergeCell ref="E176:F176"/>
    <mergeCell ref="AO176:AP176"/>
    <mergeCell ref="AQ176:AR176"/>
    <mergeCell ref="C177:D177"/>
    <mergeCell ref="E177:F177"/>
    <mergeCell ref="AO177:AP177"/>
    <mergeCell ref="AQ177:AR177"/>
    <mergeCell ref="C178:D178"/>
    <mergeCell ref="E178:F178"/>
    <mergeCell ref="AO178:AP178"/>
    <mergeCell ref="AQ178:AR178"/>
    <mergeCell ref="C179:D179"/>
    <mergeCell ref="E179:F179"/>
    <mergeCell ref="AO179:AP179"/>
    <mergeCell ref="AQ179:AR179"/>
    <mergeCell ref="C180:D180"/>
    <mergeCell ref="E180:F180"/>
    <mergeCell ref="AO180:AP180"/>
    <mergeCell ref="AQ180:AR180"/>
    <mergeCell ref="C181:D181"/>
    <mergeCell ref="E181:F181"/>
    <mergeCell ref="AO181:AP181"/>
    <mergeCell ref="AQ181:AR181"/>
    <mergeCell ref="C182:D182"/>
    <mergeCell ref="E182:F182"/>
    <mergeCell ref="AO182:AP182"/>
    <mergeCell ref="AQ182:AR182"/>
    <mergeCell ref="C183:D183"/>
    <mergeCell ref="E183:F183"/>
    <mergeCell ref="AO183:AP183"/>
    <mergeCell ref="AQ183:AR183"/>
    <mergeCell ref="C184:D184"/>
    <mergeCell ref="E184:F184"/>
    <mergeCell ref="AO184:AP184"/>
    <mergeCell ref="AQ184:AR184"/>
    <mergeCell ref="C185:D185"/>
    <mergeCell ref="E185:F185"/>
    <mergeCell ref="AO185:AP185"/>
    <mergeCell ref="AQ185:AR185"/>
    <mergeCell ref="C186:D186"/>
    <mergeCell ref="E186:F186"/>
    <mergeCell ref="AO186:AP186"/>
    <mergeCell ref="AQ186:AR186"/>
    <mergeCell ref="C187:D187"/>
    <mergeCell ref="E187:F187"/>
    <mergeCell ref="AO187:AP187"/>
    <mergeCell ref="AQ187:AR187"/>
    <mergeCell ref="C188:D188"/>
    <mergeCell ref="E188:F188"/>
    <mergeCell ref="AO188:AP188"/>
    <mergeCell ref="AQ188:AR188"/>
    <mergeCell ref="C189:D189"/>
    <mergeCell ref="E189:F189"/>
    <mergeCell ref="AO189:AP189"/>
    <mergeCell ref="AQ189:AR189"/>
    <mergeCell ref="C190:D190"/>
    <mergeCell ref="E190:F190"/>
    <mergeCell ref="AO190:AP190"/>
    <mergeCell ref="AQ190:AR190"/>
    <mergeCell ref="C191:D191"/>
    <mergeCell ref="E191:F191"/>
    <mergeCell ref="AO191:AP191"/>
    <mergeCell ref="AQ191:AR191"/>
    <mergeCell ref="C192:D192"/>
    <mergeCell ref="E192:F192"/>
    <mergeCell ref="AO192:AP192"/>
    <mergeCell ref="AQ192:AR192"/>
    <mergeCell ref="C193:D193"/>
    <mergeCell ref="E193:F193"/>
    <mergeCell ref="AO193:AP193"/>
    <mergeCell ref="AQ193:AR193"/>
    <mergeCell ref="C194:D194"/>
    <mergeCell ref="E194:F194"/>
    <mergeCell ref="AO194:AP194"/>
    <mergeCell ref="AQ194:AR194"/>
    <mergeCell ref="C195:D195"/>
    <mergeCell ref="E195:F195"/>
    <mergeCell ref="AO195:AP195"/>
    <mergeCell ref="AQ195:AR195"/>
    <mergeCell ref="C196:D196"/>
    <mergeCell ref="E196:F196"/>
    <mergeCell ref="AO196:AP196"/>
    <mergeCell ref="AQ196:AR196"/>
    <mergeCell ref="C197:D197"/>
    <mergeCell ref="E197:F197"/>
    <mergeCell ref="AO197:AP197"/>
    <mergeCell ref="AQ197:AR197"/>
    <mergeCell ref="C198:D198"/>
    <mergeCell ref="E198:F198"/>
    <mergeCell ref="AO198:AP198"/>
    <mergeCell ref="AQ198:AR198"/>
    <mergeCell ref="C199:D199"/>
    <mergeCell ref="E199:F199"/>
    <mergeCell ref="AO199:AP199"/>
    <mergeCell ref="AQ199:AR199"/>
    <mergeCell ref="C200:D200"/>
    <mergeCell ref="E200:F200"/>
    <mergeCell ref="AO200:AP200"/>
    <mergeCell ref="AQ200:AR200"/>
    <mergeCell ref="C201:D201"/>
    <mergeCell ref="E201:F201"/>
    <mergeCell ref="AO201:AP201"/>
    <mergeCell ref="AQ201:AR201"/>
    <mergeCell ref="C202:D202"/>
    <mergeCell ref="E202:F202"/>
    <mergeCell ref="AO202:AP202"/>
    <mergeCell ref="AQ202:AR202"/>
    <mergeCell ref="C203:D203"/>
    <mergeCell ref="E203:F203"/>
    <mergeCell ref="AO203:AP203"/>
    <mergeCell ref="AQ203:AR203"/>
    <mergeCell ref="C204:D204"/>
    <mergeCell ref="E204:F204"/>
    <mergeCell ref="AO204:AP204"/>
    <mergeCell ref="AQ204:AR204"/>
    <mergeCell ref="C205:D205"/>
    <mergeCell ref="E205:F205"/>
    <mergeCell ref="AO205:AP205"/>
    <mergeCell ref="AQ205:AR205"/>
    <mergeCell ref="C206:D206"/>
    <mergeCell ref="E206:F206"/>
    <mergeCell ref="AO206:AP206"/>
    <mergeCell ref="AQ206:AR206"/>
    <mergeCell ref="C207:D207"/>
    <mergeCell ref="E207:F207"/>
    <mergeCell ref="AO207:AP207"/>
    <mergeCell ref="AQ207:AR207"/>
    <mergeCell ref="C208:D208"/>
    <mergeCell ref="E208:F208"/>
    <mergeCell ref="AO208:AP208"/>
    <mergeCell ref="AQ208:AR208"/>
    <mergeCell ref="C209:D209"/>
    <mergeCell ref="E209:F209"/>
    <mergeCell ref="AO209:AP209"/>
    <mergeCell ref="AQ209:AR209"/>
    <mergeCell ref="C210:D210"/>
    <mergeCell ref="E210:F210"/>
    <mergeCell ref="AO210:AP210"/>
    <mergeCell ref="AQ210:AR210"/>
    <mergeCell ref="C211:D211"/>
    <mergeCell ref="E211:F211"/>
    <mergeCell ref="AO211:AP211"/>
    <mergeCell ref="AQ211:AR211"/>
    <mergeCell ref="C212:D212"/>
    <mergeCell ref="E212:F212"/>
    <mergeCell ref="AO212:AP212"/>
    <mergeCell ref="AQ212:AR212"/>
    <mergeCell ref="C213:D213"/>
    <mergeCell ref="E213:F213"/>
    <mergeCell ref="AO213:AP213"/>
    <mergeCell ref="AQ213:AR213"/>
    <mergeCell ref="C214:D214"/>
    <mergeCell ref="E214:F214"/>
    <mergeCell ref="AO214:AP214"/>
    <mergeCell ref="AQ214:AR214"/>
    <mergeCell ref="C215:D215"/>
    <mergeCell ref="E215:F215"/>
    <mergeCell ref="AO215:AP215"/>
    <mergeCell ref="AQ215:AR215"/>
    <mergeCell ref="C216:D216"/>
    <mergeCell ref="E216:F216"/>
    <mergeCell ref="AO216:AP216"/>
    <mergeCell ref="AQ216:AR216"/>
    <mergeCell ref="C217:D217"/>
    <mergeCell ref="E217:F217"/>
    <mergeCell ref="AO217:AP217"/>
    <mergeCell ref="AQ217:AR217"/>
    <mergeCell ref="C218:D218"/>
    <mergeCell ref="E218:F218"/>
    <mergeCell ref="AO218:AP218"/>
    <mergeCell ref="AQ218:AR218"/>
    <mergeCell ref="C219:D219"/>
    <mergeCell ref="E219:F219"/>
    <mergeCell ref="AO219:AP219"/>
    <mergeCell ref="AQ219:AR219"/>
    <mergeCell ref="C220:D220"/>
    <mergeCell ref="E220:F220"/>
    <mergeCell ref="AO220:AP220"/>
    <mergeCell ref="AQ220:AR220"/>
    <mergeCell ref="C221:D221"/>
    <mergeCell ref="E221:F221"/>
    <mergeCell ref="AO221:AP221"/>
    <mergeCell ref="AQ221:AR221"/>
    <mergeCell ref="C222:D222"/>
    <mergeCell ref="E222:F222"/>
    <mergeCell ref="AO222:AP222"/>
    <mergeCell ref="AQ222:AR222"/>
    <mergeCell ref="C223:D223"/>
    <mergeCell ref="E223:F223"/>
    <mergeCell ref="AO223:AP223"/>
    <mergeCell ref="AQ223:AR223"/>
    <mergeCell ref="C224:D224"/>
    <mergeCell ref="E224:F224"/>
    <mergeCell ref="AO224:AP224"/>
    <mergeCell ref="AQ224:AR224"/>
    <mergeCell ref="C225:D225"/>
    <mergeCell ref="E225:F225"/>
    <mergeCell ref="AO225:AP225"/>
    <mergeCell ref="AQ225:AR225"/>
    <mergeCell ref="C226:D226"/>
    <mergeCell ref="E226:F226"/>
    <mergeCell ref="AO226:AP226"/>
    <mergeCell ref="AQ226:AR226"/>
    <mergeCell ref="C227:D227"/>
    <mergeCell ref="E227:F227"/>
    <mergeCell ref="AO227:AP227"/>
    <mergeCell ref="AQ227:AR227"/>
    <mergeCell ref="C228:D228"/>
    <mergeCell ref="E228:F228"/>
    <mergeCell ref="AO228:AP228"/>
    <mergeCell ref="AQ228:AR228"/>
    <mergeCell ref="C229:D229"/>
    <mergeCell ref="E229:F229"/>
    <mergeCell ref="AO229:AP229"/>
    <mergeCell ref="AQ229:AR229"/>
    <mergeCell ref="C230:D230"/>
    <mergeCell ref="E230:F230"/>
    <mergeCell ref="AO230:AP230"/>
    <mergeCell ref="AQ230:AR230"/>
    <mergeCell ref="C231:D231"/>
    <mergeCell ref="E231:F231"/>
    <mergeCell ref="AO231:AP231"/>
    <mergeCell ref="AQ231:AR231"/>
    <mergeCell ref="C232:D232"/>
    <mergeCell ref="E232:F232"/>
    <mergeCell ref="AO232:AP232"/>
    <mergeCell ref="AQ232:AR232"/>
    <mergeCell ref="C233:D233"/>
    <mergeCell ref="E233:F233"/>
    <mergeCell ref="AO233:AP233"/>
    <mergeCell ref="AQ233:AR233"/>
    <mergeCell ref="C234:D234"/>
    <mergeCell ref="E234:F234"/>
    <mergeCell ref="AO234:AP234"/>
    <mergeCell ref="AQ234:AR234"/>
    <mergeCell ref="C235:D235"/>
    <mergeCell ref="E235:F235"/>
    <mergeCell ref="AO235:AP235"/>
    <mergeCell ref="AQ235:AR235"/>
    <mergeCell ref="C236:D236"/>
    <mergeCell ref="E236:F236"/>
    <mergeCell ref="AO236:AP236"/>
    <mergeCell ref="AQ236:AR236"/>
    <mergeCell ref="C237:D237"/>
    <mergeCell ref="E237:F237"/>
    <mergeCell ref="AO237:AP237"/>
    <mergeCell ref="AQ237:AR237"/>
    <mergeCell ref="C238:D238"/>
    <mergeCell ref="E238:F238"/>
    <mergeCell ref="AO238:AP238"/>
    <mergeCell ref="AQ238:AR238"/>
    <mergeCell ref="C239:D239"/>
    <mergeCell ref="E239:F239"/>
    <mergeCell ref="AO239:AP239"/>
    <mergeCell ref="AQ239:AR239"/>
    <mergeCell ref="C240:D240"/>
    <mergeCell ref="E240:F240"/>
    <mergeCell ref="AO240:AP240"/>
    <mergeCell ref="AQ240:AR240"/>
    <mergeCell ref="C241:D241"/>
    <mergeCell ref="E241:F241"/>
    <mergeCell ref="AO241:AP241"/>
    <mergeCell ref="AQ241:AR241"/>
    <mergeCell ref="C242:D242"/>
    <mergeCell ref="E242:F242"/>
    <mergeCell ref="AO242:AP242"/>
    <mergeCell ref="AQ242:AR242"/>
    <mergeCell ref="C243:D243"/>
    <mergeCell ref="E243:F243"/>
    <mergeCell ref="AO243:AP243"/>
    <mergeCell ref="AQ243:AR243"/>
    <mergeCell ref="C244:D244"/>
    <mergeCell ref="E244:F244"/>
    <mergeCell ref="AO244:AP244"/>
    <mergeCell ref="AQ244:AR244"/>
    <mergeCell ref="C245:D245"/>
    <mergeCell ref="E245:F245"/>
    <mergeCell ref="AO245:AP245"/>
    <mergeCell ref="AQ245:AR245"/>
    <mergeCell ref="C246:D246"/>
    <mergeCell ref="E246:F246"/>
    <mergeCell ref="AO246:AP246"/>
    <mergeCell ref="AQ246:AR246"/>
    <mergeCell ref="C247:D247"/>
    <mergeCell ref="E247:F247"/>
    <mergeCell ref="AO247:AP247"/>
    <mergeCell ref="AQ247:AR247"/>
    <mergeCell ref="C248:D248"/>
    <mergeCell ref="E248:F248"/>
    <mergeCell ref="AO248:AP248"/>
    <mergeCell ref="AQ248:AR248"/>
    <mergeCell ref="C249:D249"/>
    <mergeCell ref="E249:F249"/>
    <mergeCell ref="AO249:AP249"/>
    <mergeCell ref="AQ249:AR249"/>
    <mergeCell ref="C250:D250"/>
    <mergeCell ref="E250:F250"/>
    <mergeCell ref="AO250:AP250"/>
    <mergeCell ref="AQ250:AR250"/>
    <mergeCell ref="C251:D251"/>
    <mergeCell ref="E251:F251"/>
    <mergeCell ref="AO251:AP251"/>
    <mergeCell ref="AQ251:AR251"/>
    <mergeCell ref="C252:D252"/>
    <mergeCell ref="E252:F252"/>
    <mergeCell ref="AO252:AP252"/>
    <mergeCell ref="AQ252:AR252"/>
    <mergeCell ref="C253:D253"/>
    <mergeCell ref="E253:F253"/>
    <mergeCell ref="AO253:AP253"/>
    <mergeCell ref="AQ253:AR253"/>
    <mergeCell ref="C254:D254"/>
    <mergeCell ref="E254:F254"/>
    <mergeCell ref="AO254:AP254"/>
    <mergeCell ref="AQ254:AR254"/>
    <mergeCell ref="C255:D255"/>
    <mergeCell ref="E255:F255"/>
    <mergeCell ref="AO255:AP255"/>
    <mergeCell ref="AQ255:AR255"/>
    <mergeCell ref="C256:D256"/>
    <mergeCell ref="E256:F256"/>
    <mergeCell ref="AO256:AP256"/>
    <mergeCell ref="AQ256:AR256"/>
    <mergeCell ref="C257:D257"/>
    <mergeCell ref="E257:F257"/>
    <mergeCell ref="AO257:AP257"/>
    <mergeCell ref="AQ257:AR257"/>
    <mergeCell ref="C258:D258"/>
    <mergeCell ref="E258:F258"/>
    <mergeCell ref="AO258:AP258"/>
    <mergeCell ref="AQ258:AR258"/>
    <mergeCell ref="C259:D259"/>
    <mergeCell ref="E259:F259"/>
    <mergeCell ref="AO259:AP259"/>
    <mergeCell ref="AQ259:AR259"/>
    <mergeCell ref="C260:D260"/>
    <mergeCell ref="E260:F260"/>
    <mergeCell ref="AO260:AP260"/>
    <mergeCell ref="AQ260:AR260"/>
    <mergeCell ref="C261:D261"/>
    <mergeCell ref="E261:F261"/>
    <mergeCell ref="AO261:AP261"/>
    <mergeCell ref="AQ261:AR261"/>
    <mergeCell ref="C262:D262"/>
    <mergeCell ref="E262:F262"/>
    <mergeCell ref="AO262:AP262"/>
    <mergeCell ref="AQ262:AR262"/>
    <mergeCell ref="C263:D263"/>
    <mergeCell ref="E263:F263"/>
    <mergeCell ref="AO263:AP263"/>
    <mergeCell ref="AQ263:AR263"/>
    <mergeCell ref="C264:D264"/>
    <mergeCell ref="E264:F264"/>
    <mergeCell ref="AO264:AP264"/>
    <mergeCell ref="AQ264:AR264"/>
    <mergeCell ref="C265:D265"/>
    <mergeCell ref="E265:F265"/>
    <mergeCell ref="AO265:AP265"/>
    <mergeCell ref="AQ265:AR265"/>
    <mergeCell ref="C266:D266"/>
    <mergeCell ref="E266:F266"/>
    <mergeCell ref="AO266:AP266"/>
    <mergeCell ref="AQ266:AR266"/>
    <mergeCell ref="C267:D267"/>
    <mergeCell ref="E267:F267"/>
    <mergeCell ref="AO267:AP267"/>
    <mergeCell ref="AQ267:AR267"/>
    <mergeCell ref="C268:D268"/>
    <mergeCell ref="E268:F268"/>
    <mergeCell ref="AO268:AP268"/>
    <mergeCell ref="AQ268:AR268"/>
    <mergeCell ref="C269:D269"/>
    <mergeCell ref="E269:F269"/>
    <mergeCell ref="AO269:AP269"/>
    <mergeCell ref="AQ269:AR269"/>
    <mergeCell ref="C270:D270"/>
    <mergeCell ref="E270:F270"/>
    <mergeCell ref="AO270:AP270"/>
    <mergeCell ref="AQ270:AR270"/>
    <mergeCell ref="C271:D271"/>
    <mergeCell ref="E271:F271"/>
    <mergeCell ref="AO271:AP271"/>
    <mergeCell ref="AQ271:AR271"/>
    <mergeCell ref="C272:D272"/>
    <mergeCell ref="E272:F272"/>
    <mergeCell ref="AO272:AP272"/>
    <mergeCell ref="AQ272:AR272"/>
    <mergeCell ref="C273:D273"/>
    <mergeCell ref="E273:F273"/>
    <mergeCell ref="AO273:AP273"/>
    <mergeCell ref="AQ273:AR273"/>
    <mergeCell ref="C274:D274"/>
    <mergeCell ref="E274:F274"/>
    <mergeCell ref="AO274:AP274"/>
    <mergeCell ref="AQ274:AR274"/>
    <mergeCell ref="C275:D275"/>
    <mergeCell ref="E275:F275"/>
    <mergeCell ref="AO275:AP275"/>
    <mergeCell ref="AQ275:AR275"/>
    <mergeCell ref="C276:D276"/>
    <mergeCell ref="E276:F276"/>
    <mergeCell ref="AO276:AP276"/>
    <mergeCell ref="AQ276:AR276"/>
    <mergeCell ref="C277:D277"/>
    <mergeCell ref="E277:F277"/>
    <mergeCell ref="AO277:AP277"/>
    <mergeCell ref="AQ277:AR277"/>
    <mergeCell ref="C278:D278"/>
    <mergeCell ref="E278:F278"/>
    <mergeCell ref="AO278:AP278"/>
    <mergeCell ref="AQ278:AR278"/>
    <mergeCell ref="C279:D279"/>
    <mergeCell ref="E279:F279"/>
    <mergeCell ref="AO279:AP279"/>
    <mergeCell ref="AQ279:AR279"/>
    <mergeCell ref="C280:D280"/>
    <mergeCell ref="E280:F280"/>
    <mergeCell ref="AO280:AP280"/>
    <mergeCell ref="AQ280:AR280"/>
    <mergeCell ref="C281:D281"/>
    <mergeCell ref="E281:F281"/>
    <mergeCell ref="AO281:AP281"/>
    <mergeCell ref="AQ281:AR281"/>
    <mergeCell ref="C282:D282"/>
    <mergeCell ref="E282:F282"/>
    <mergeCell ref="AO282:AP282"/>
    <mergeCell ref="AQ282:AR282"/>
    <mergeCell ref="C283:D283"/>
    <mergeCell ref="E283:F283"/>
    <mergeCell ref="AO283:AP283"/>
    <mergeCell ref="AQ283:AR283"/>
    <mergeCell ref="C284:D284"/>
    <mergeCell ref="E284:F284"/>
    <mergeCell ref="AO284:AP284"/>
    <mergeCell ref="AQ284:AR284"/>
    <mergeCell ref="C285:D285"/>
    <mergeCell ref="E285:F285"/>
    <mergeCell ref="AO285:AP285"/>
    <mergeCell ref="AQ285:AR285"/>
    <mergeCell ref="C286:D286"/>
    <mergeCell ref="E286:F286"/>
    <mergeCell ref="AO286:AP286"/>
    <mergeCell ref="AQ286:AR286"/>
    <mergeCell ref="C287:D287"/>
    <mergeCell ref="E287:F287"/>
    <mergeCell ref="AO287:AP287"/>
    <mergeCell ref="AQ287:AR287"/>
    <mergeCell ref="C288:D288"/>
    <mergeCell ref="E288:F288"/>
    <mergeCell ref="AO288:AP288"/>
    <mergeCell ref="AQ288:AR288"/>
    <mergeCell ref="C289:D289"/>
    <mergeCell ref="E289:F289"/>
    <mergeCell ref="AO289:AP289"/>
    <mergeCell ref="AQ289:AR289"/>
    <mergeCell ref="C290:D290"/>
    <mergeCell ref="E290:F290"/>
    <mergeCell ref="AO290:AP290"/>
    <mergeCell ref="AQ290:AR290"/>
    <mergeCell ref="C291:D291"/>
    <mergeCell ref="E291:F291"/>
    <mergeCell ref="AO291:AP291"/>
    <mergeCell ref="AQ291:AR291"/>
    <mergeCell ref="C292:D292"/>
    <mergeCell ref="E292:F292"/>
    <mergeCell ref="AO292:AP292"/>
    <mergeCell ref="AQ292:AR292"/>
    <mergeCell ref="C293:D293"/>
    <mergeCell ref="E293:F293"/>
    <mergeCell ref="AO293:AP293"/>
    <mergeCell ref="AQ293:AR293"/>
    <mergeCell ref="C294:D294"/>
    <mergeCell ref="E294:F294"/>
    <mergeCell ref="AO294:AP294"/>
    <mergeCell ref="AQ294:AR294"/>
    <mergeCell ref="C295:D295"/>
    <mergeCell ref="E295:F295"/>
    <mergeCell ref="AO295:AP295"/>
    <mergeCell ref="AQ295:AR295"/>
    <mergeCell ref="C296:D296"/>
    <mergeCell ref="E296:F296"/>
    <mergeCell ref="AO296:AP296"/>
    <mergeCell ref="AQ296:AR296"/>
    <mergeCell ref="C297:D297"/>
    <mergeCell ref="E297:F297"/>
    <mergeCell ref="AO297:AP297"/>
    <mergeCell ref="AQ297:AR297"/>
    <mergeCell ref="C298:D298"/>
    <mergeCell ref="E298:F298"/>
    <mergeCell ref="AO298:AP298"/>
    <mergeCell ref="AQ298:AR298"/>
    <mergeCell ref="C299:D299"/>
    <mergeCell ref="E299:F299"/>
    <mergeCell ref="AO299:AP299"/>
    <mergeCell ref="AQ299:AR299"/>
    <mergeCell ref="C300:D300"/>
    <mergeCell ref="E300:F300"/>
    <mergeCell ref="AO300:AP300"/>
    <mergeCell ref="AQ300:AR300"/>
    <mergeCell ref="C301:D301"/>
    <mergeCell ref="E301:F301"/>
    <mergeCell ref="AO301:AP301"/>
    <mergeCell ref="AQ301:AR301"/>
    <mergeCell ref="C302:D302"/>
    <mergeCell ref="E302:F302"/>
    <mergeCell ref="AO302:AP302"/>
    <mergeCell ref="AQ302:AR302"/>
    <mergeCell ref="C303:D303"/>
    <mergeCell ref="E303:F303"/>
    <mergeCell ref="AO303:AP303"/>
    <mergeCell ref="AQ303:AR303"/>
    <mergeCell ref="C304:D304"/>
    <mergeCell ref="E304:F304"/>
    <mergeCell ref="AO304:AP304"/>
    <mergeCell ref="AQ304:AR304"/>
    <mergeCell ref="C305:D305"/>
    <mergeCell ref="E305:F305"/>
    <mergeCell ref="AO305:AP305"/>
    <mergeCell ref="AQ305:AR305"/>
    <mergeCell ref="C306:D306"/>
    <mergeCell ref="E306:F306"/>
    <mergeCell ref="AO306:AP306"/>
    <mergeCell ref="AQ306:AR306"/>
    <mergeCell ref="C307:D307"/>
    <mergeCell ref="E307:F307"/>
    <mergeCell ref="AO307:AP307"/>
    <mergeCell ref="AQ307:AR307"/>
    <mergeCell ref="C308:D308"/>
    <mergeCell ref="E308:F308"/>
    <mergeCell ref="AO308:AP308"/>
    <mergeCell ref="AQ308:AR308"/>
    <mergeCell ref="C309:D309"/>
    <mergeCell ref="E309:F309"/>
    <mergeCell ref="AO309:AP309"/>
    <mergeCell ref="AQ309:AR309"/>
    <mergeCell ref="C310:D310"/>
    <mergeCell ref="E310:F310"/>
    <mergeCell ref="AO310:AP310"/>
    <mergeCell ref="AQ310:AR310"/>
    <mergeCell ref="C311:D311"/>
    <mergeCell ref="E311:F311"/>
    <mergeCell ref="AO311:AP311"/>
    <mergeCell ref="AQ311:AR311"/>
    <mergeCell ref="C312:D312"/>
    <mergeCell ref="E312:F312"/>
    <mergeCell ref="AO312:AP312"/>
    <mergeCell ref="AQ312:AR312"/>
    <mergeCell ref="C313:D313"/>
    <mergeCell ref="E313:F313"/>
    <mergeCell ref="AO313:AP313"/>
    <mergeCell ref="AQ313:AR313"/>
    <mergeCell ref="C314:D314"/>
    <mergeCell ref="E314:F314"/>
    <mergeCell ref="AO314:AP314"/>
    <mergeCell ref="AQ314:AR314"/>
    <mergeCell ref="C315:D315"/>
    <mergeCell ref="E315:F315"/>
    <mergeCell ref="AO315:AP315"/>
    <mergeCell ref="AQ315:AR315"/>
    <mergeCell ref="C316:D316"/>
    <mergeCell ref="E316:F316"/>
    <mergeCell ref="AO316:AP316"/>
    <mergeCell ref="AQ316:AR316"/>
    <mergeCell ref="C317:D317"/>
    <mergeCell ref="E317:F317"/>
    <mergeCell ref="AO317:AP317"/>
    <mergeCell ref="AQ317:AR317"/>
    <mergeCell ref="C318:D318"/>
    <mergeCell ref="E318:F318"/>
    <mergeCell ref="AO318:AP318"/>
    <mergeCell ref="AQ318:AR318"/>
    <mergeCell ref="C319:D319"/>
    <mergeCell ref="E319:F319"/>
    <mergeCell ref="AO319:AP319"/>
    <mergeCell ref="AQ319:AR319"/>
    <mergeCell ref="C320:D320"/>
    <mergeCell ref="E320:F320"/>
    <mergeCell ref="AO320:AP320"/>
    <mergeCell ref="AQ320:AR320"/>
    <mergeCell ref="C321:D321"/>
    <mergeCell ref="E321:F321"/>
    <mergeCell ref="AO321:AP321"/>
    <mergeCell ref="AQ321:AR321"/>
    <mergeCell ref="C322:D322"/>
    <mergeCell ref="E322:F322"/>
    <mergeCell ref="AO322:AP322"/>
    <mergeCell ref="AQ322:AR322"/>
    <mergeCell ref="C323:D323"/>
    <mergeCell ref="E323:F323"/>
    <mergeCell ref="AO323:AP323"/>
    <mergeCell ref="AQ323:AR323"/>
    <mergeCell ref="C324:D324"/>
    <mergeCell ref="E324:F324"/>
    <mergeCell ref="AO324:AP324"/>
    <mergeCell ref="AQ324:AR324"/>
    <mergeCell ref="C325:D325"/>
    <mergeCell ref="E325:F325"/>
    <mergeCell ref="AO325:AP325"/>
    <mergeCell ref="AQ325:AR325"/>
    <mergeCell ref="C326:D326"/>
    <mergeCell ref="E326:F326"/>
    <mergeCell ref="AO326:AP326"/>
    <mergeCell ref="AQ326:AR326"/>
    <mergeCell ref="C327:D327"/>
    <mergeCell ref="E327:F327"/>
    <mergeCell ref="AO327:AP327"/>
    <mergeCell ref="AQ327:AR327"/>
    <mergeCell ref="C328:D328"/>
    <mergeCell ref="E328:F328"/>
    <mergeCell ref="AO328:AP328"/>
    <mergeCell ref="AQ328:AR328"/>
    <mergeCell ref="C329:D329"/>
    <mergeCell ref="E329:F329"/>
    <mergeCell ref="AO329:AP329"/>
    <mergeCell ref="AQ329:AR329"/>
    <mergeCell ref="C330:D330"/>
    <mergeCell ref="E330:F330"/>
    <mergeCell ref="AO330:AP330"/>
    <mergeCell ref="AQ330:AR330"/>
    <mergeCell ref="C331:D331"/>
    <mergeCell ref="E331:F331"/>
    <mergeCell ref="AO331:AP331"/>
    <mergeCell ref="AQ331:AR331"/>
    <mergeCell ref="C332:D332"/>
    <mergeCell ref="E332:F332"/>
    <mergeCell ref="AO332:AP332"/>
    <mergeCell ref="AQ332:AR332"/>
    <mergeCell ref="C333:D333"/>
    <mergeCell ref="E333:F333"/>
    <mergeCell ref="AO333:AP333"/>
    <mergeCell ref="AQ333:AR333"/>
    <mergeCell ref="C334:D334"/>
    <mergeCell ref="E334:F334"/>
    <mergeCell ref="AO334:AP334"/>
    <mergeCell ref="AQ334:AR334"/>
    <mergeCell ref="C335:D335"/>
    <mergeCell ref="E335:F335"/>
    <mergeCell ref="AO335:AP335"/>
    <mergeCell ref="AQ335:AR335"/>
    <mergeCell ref="C336:D336"/>
    <mergeCell ref="E336:F336"/>
    <mergeCell ref="AO336:AP336"/>
    <mergeCell ref="AQ336:AR336"/>
    <mergeCell ref="C337:D337"/>
    <mergeCell ref="E337:F337"/>
    <mergeCell ref="AO337:AP337"/>
    <mergeCell ref="AQ337:AR337"/>
    <mergeCell ref="C338:D338"/>
    <mergeCell ref="E338:F338"/>
    <mergeCell ref="AO338:AP338"/>
    <mergeCell ref="AQ338:AR338"/>
    <mergeCell ref="C339:D339"/>
    <mergeCell ref="E339:F339"/>
    <mergeCell ref="AO339:AP339"/>
    <mergeCell ref="AQ339:AR339"/>
    <mergeCell ref="C340:D340"/>
    <mergeCell ref="E340:F340"/>
    <mergeCell ref="AO340:AP340"/>
    <mergeCell ref="AQ340:AR340"/>
    <mergeCell ref="C341:D341"/>
    <mergeCell ref="E341:F341"/>
    <mergeCell ref="AO341:AP341"/>
    <mergeCell ref="AQ341:AR341"/>
    <mergeCell ref="C342:D342"/>
    <mergeCell ref="E342:F342"/>
    <mergeCell ref="AO342:AP342"/>
    <mergeCell ref="AQ342:AR342"/>
    <mergeCell ref="C343:D343"/>
    <mergeCell ref="E343:F343"/>
    <mergeCell ref="AO343:AP343"/>
    <mergeCell ref="AQ343:AR343"/>
    <mergeCell ref="C344:D344"/>
    <mergeCell ref="E344:F344"/>
    <mergeCell ref="AO344:AP344"/>
    <mergeCell ref="AQ344:AR344"/>
    <mergeCell ref="C345:D345"/>
    <mergeCell ref="E345:F345"/>
    <mergeCell ref="AO345:AP345"/>
    <mergeCell ref="AQ345:AR345"/>
    <mergeCell ref="C346:D346"/>
    <mergeCell ref="E346:F346"/>
    <mergeCell ref="AO346:AP346"/>
    <mergeCell ref="AQ346:AR346"/>
    <mergeCell ref="C347:D347"/>
    <mergeCell ref="E347:F347"/>
    <mergeCell ref="AO347:AP347"/>
    <mergeCell ref="AQ347:AR347"/>
    <mergeCell ref="C348:D348"/>
    <mergeCell ref="E348:F348"/>
    <mergeCell ref="AO348:AP348"/>
    <mergeCell ref="AQ348:AR348"/>
    <mergeCell ref="C349:D349"/>
    <mergeCell ref="E349:F349"/>
    <mergeCell ref="AO349:AP349"/>
    <mergeCell ref="AQ349:AR349"/>
    <mergeCell ref="C350:D350"/>
    <mergeCell ref="E350:F350"/>
    <mergeCell ref="AO350:AP350"/>
    <mergeCell ref="AQ350:AR350"/>
    <mergeCell ref="C351:D351"/>
    <mergeCell ref="E351:F351"/>
    <mergeCell ref="AO351:AP351"/>
    <mergeCell ref="AQ351:AR351"/>
    <mergeCell ref="C352:D352"/>
    <mergeCell ref="E352:F352"/>
    <mergeCell ref="AO352:AP352"/>
    <mergeCell ref="AQ352:AR352"/>
    <mergeCell ref="C353:D353"/>
    <mergeCell ref="E353:F353"/>
    <mergeCell ref="AO353:AP353"/>
    <mergeCell ref="AQ353:AR353"/>
    <mergeCell ref="C354:D354"/>
    <mergeCell ref="E354:F354"/>
    <mergeCell ref="AO354:AP354"/>
    <mergeCell ref="AQ354:AR354"/>
    <mergeCell ref="C355:D355"/>
    <mergeCell ref="E355:F355"/>
    <mergeCell ref="AO355:AP355"/>
    <mergeCell ref="AQ355:AR355"/>
    <mergeCell ref="C356:D356"/>
    <mergeCell ref="E356:F356"/>
    <mergeCell ref="AO356:AP356"/>
    <mergeCell ref="AQ356:AR356"/>
    <mergeCell ref="C357:D357"/>
    <mergeCell ref="E357:F357"/>
    <mergeCell ref="AO357:AP357"/>
    <mergeCell ref="AQ357:AR357"/>
    <mergeCell ref="C358:D358"/>
    <mergeCell ref="E358:F358"/>
    <mergeCell ref="AO358:AP358"/>
    <mergeCell ref="AQ358:AR358"/>
    <mergeCell ref="C359:D359"/>
    <mergeCell ref="E359:F359"/>
    <mergeCell ref="AO359:AP359"/>
    <mergeCell ref="AQ359:AR359"/>
    <mergeCell ref="C360:D360"/>
    <mergeCell ref="E360:F360"/>
    <mergeCell ref="AO360:AP360"/>
    <mergeCell ref="AQ360:AR360"/>
    <mergeCell ref="C361:D361"/>
    <mergeCell ref="E361:F361"/>
    <mergeCell ref="AO361:AP361"/>
    <mergeCell ref="AQ361:AR361"/>
    <mergeCell ref="C362:D362"/>
    <mergeCell ref="E362:F362"/>
    <mergeCell ref="AO362:AP362"/>
    <mergeCell ref="AQ362:AR362"/>
    <mergeCell ref="C363:D363"/>
    <mergeCell ref="E363:F363"/>
    <mergeCell ref="AO363:AP363"/>
    <mergeCell ref="AQ363:AR363"/>
    <mergeCell ref="C364:D364"/>
    <mergeCell ref="E364:F364"/>
    <mergeCell ref="AO364:AP364"/>
    <mergeCell ref="AQ364:AR364"/>
    <mergeCell ref="C365:D365"/>
    <mergeCell ref="E365:F365"/>
    <mergeCell ref="AO365:AP365"/>
    <mergeCell ref="AQ365:AR365"/>
    <mergeCell ref="C366:D366"/>
    <mergeCell ref="E366:F366"/>
    <mergeCell ref="AO366:AP366"/>
    <mergeCell ref="AQ366:AR366"/>
    <mergeCell ref="C367:D367"/>
    <mergeCell ref="E367:F367"/>
    <mergeCell ref="AO367:AP367"/>
    <mergeCell ref="AQ367:AR367"/>
    <mergeCell ref="C368:D368"/>
    <mergeCell ref="E368:F368"/>
    <mergeCell ref="AO368:AP368"/>
    <mergeCell ref="AQ368:AR368"/>
    <mergeCell ref="C369:D369"/>
    <mergeCell ref="E369:F369"/>
    <mergeCell ref="AO369:AP369"/>
    <mergeCell ref="AQ369:AR369"/>
    <mergeCell ref="C370:D370"/>
    <mergeCell ref="E370:F370"/>
    <mergeCell ref="AO370:AP370"/>
    <mergeCell ref="AQ370:AR370"/>
    <mergeCell ref="C371:D371"/>
    <mergeCell ref="E371:F371"/>
    <mergeCell ref="AO371:AP371"/>
    <mergeCell ref="AQ371:AR371"/>
    <mergeCell ref="C372:D372"/>
    <mergeCell ref="E372:F372"/>
    <mergeCell ref="AO372:AP372"/>
    <mergeCell ref="AQ372:AR372"/>
    <mergeCell ref="C373:D373"/>
    <mergeCell ref="E373:F373"/>
    <mergeCell ref="AO373:AP373"/>
    <mergeCell ref="AQ373:AR373"/>
    <mergeCell ref="C374:D374"/>
    <mergeCell ref="E374:F374"/>
    <mergeCell ref="AO374:AP374"/>
    <mergeCell ref="AQ374:AR374"/>
    <mergeCell ref="C375:D375"/>
    <mergeCell ref="E375:F375"/>
    <mergeCell ref="AO375:AP375"/>
    <mergeCell ref="AQ375:AR375"/>
    <mergeCell ref="C376:D376"/>
    <mergeCell ref="E376:F376"/>
    <mergeCell ref="AO376:AP376"/>
    <mergeCell ref="AQ376:AR376"/>
    <mergeCell ref="C377:D377"/>
    <mergeCell ref="E377:F377"/>
    <mergeCell ref="AO377:AP377"/>
    <mergeCell ref="AQ377:AR377"/>
    <mergeCell ref="C378:D378"/>
    <mergeCell ref="E378:F378"/>
    <mergeCell ref="AO378:AP378"/>
    <mergeCell ref="AQ378:AR378"/>
    <mergeCell ref="C379:D379"/>
    <mergeCell ref="E379:F379"/>
    <mergeCell ref="AO379:AP379"/>
    <mergeCell ref="AQ379:AR379"/>
    <mergeCell ref="C380:D380"/>
    <mergeCell ref="E380:F380"/>
    <mergeCell ref="AO380:AP380"/>
    <mergeCell ref="AQ380:AR380"/>
    <mergeCell ref="C381:D381"/>
    <mergeCell ref="E381:F381"/>
    <mergeCell ref="AO381:AP381"/>
    <mergeCell ref="AQ381:AR381"/>
    <mergeCell ref="C382:D382"/>
    <mergeCell ref="E382:F382"/>
    <mergeCell ref="AO382:AP382"/>
    <mergeCell ref="AQ382:AR382"/>
    <mergeCell ref="C383:D383"/>
    <mergeCell ref="E383:F383"/>
    <mergeCell ref="AO383:AP383"/>
    <mergeCell ref="AQ383:AR383"/>
    <mergeCell ref="C384:D384"/>
    <mergeCell ref="E384:F384"/>
    <mergeCell ref="AO384:AP384"/>
    <mergeCell ref="AQ384:AR384"/>
    <mergeCell ref="C385:D385"/>
    <mergeCell ref="E385:F385"/>
    <mergeCell ref="AO385:AP385"/>
    <mergeCell ref="AQ385:AR385"/>
    <mergeCell ref="C386:D386"/>
    <mergeCell ref="E386:F386"/>
    <mergeCell ref="AO386:AP386"/>
    <mergeCell ref="AQ386:AR386"/>
    <mergeCell ref="C387:D387"/>
    <mergeCell ref="E387:F387"/>
    <mergeCell ref="AO387:AP387"/>
    <mergeCell ref="AQ387:AR387"/>
    <mergeCell ref="C388:D388"/>
    <mergeCell ref="E388:F388"/>
    <mergeCell ref="AO388:AP388"/>
    <mergeCell ref="AQ388:AR388"/>
    <mergeCell ref="C389:D389"/>
    <mergeCell ref="E389:F389"/>
    <mergeCell ref="AO389:AP389"/>
    <mergeCell ref="AQ389:AR389"/>
    <mergeCell ref="C390:D390"/>
    <mergeCell ref="E390:F390"/>
    <mergeCell ref="AO390:AP390"/>
    <mergeCell ref="AQ390:AR390"/>
    <mergeCell ref="C391:D391"/>
    <mergeCell ref="E391:F391"/>
    <mergeCell ref="AO391:AP391"/>
    <mergeCell ref="AQ391:AR391"/>
    <mergeCell ref="C392:D392"/>
    <mergeCell ref="E392:F392"/>
    <mergeCell ref="AO392:AP392"/>
    <mergeCell ref="AQ392:AR392"/>
    <mergeCell ref="C393:D393"/>
    <mergeCell ref="E393:F393"/>
    <mergeCell ref="AO393:AP393"/>
    <mergeCell ref="AQ393:AR393"/>
    <mergeCell ref="C394:D394"/>
    <mergeCell ref="E394:F394"/>
    <mergeCell ref="AO394:AP394"/>
    <mergeCell ref="AQ394:AR394"/>
    <mergeCell ref="C395:D395"/>
    <mergeCell ref="E395:F395"/>
    <mergeCell ref="AO395:AP395"/>
    <mergeCell ref="AQ395:AR395"/>
    <mergeCell ref="C396:D396"/>
    <mergeCell ref="E396:F396"/>
    <mergeCell ref="AO396:AP396"/>
    <mergeCell ref="AQ396:AR396"/>
    <mergeCell ref="C397:D397"/>
    <mergeCell ref="E397:F397"/>
    <mergeCell ref="AO397:AP397"/>
    <mergeCell ref="AQ397:AR397"/>
    <mergeCell ref="C398:D398"/>
    <mergeCell ref="E398:F398"/>
    <mergeCell ref="AO398:AP398"/>
    <mergeCell ref="AQ398:AR398"/>
    <mergeCell ref="C399:D399"/>
    <mergeCell ref="E399:F399"/>
    <mergeCell ref="AO399:AP399"/>
    <mergeCell ref="AQ399:AR399"/>
    <mergeCell ref="C400:D400"/>
    <mergeCell ref="E400:F400"/>
    <mergeCell ref="AO400:AP400"/>
    <mergeCell ref="AQ400:AR400"/>
    <mergeCell ref="C401:D401"/>
    <mergeCell ref="E401:F401"/>
    <mergeCell ref="AO401:AP401"/>
    <mergeCell ref="AQ401:AR401"/>
    <mergeCell ref="C402:D402"/>
    <mergeCell ref="E402:F402"/>
    <mergeCell ref="AO402:AP402"/>
    <mergeCell ref="AQ402:AR402"/>
    <mergeCell ref="C403:D403"/>
    <mergeCell ref="E403:F403"/>
    <mergeCell ref="AO403:AP403"/>
    <mergeCell ref="AQ403:AR403"/>
    <mergeCell ref="C404:D404"/>
    <mergeCell ref="E404:F404"/>
    <mergeCell ref="AO404:AP404"/>
    <mergeCell ref="AQ404:AR404"/>
    <mergeCell ref="C405:D405"/>
    <mergeCell ref="E405:F405"/>
    <mergeCell ref="AO405:AP405"/>
    <mergeCell ref="AQ405:AR405"/>
    <mergeCell ref="C406:D406"/>
    <mergeCell ref="E406:F406"/>
    <mergeCell ref="AO406:AP406"/>
    <mergeCell ref="AQ406:AR406"/>
    <mergeCell ref="C407:D407"/>
    <mergeCell ref="E407:F407"/>
    <mergeCell ref="AO407:AP407"/>
    <mergeCell ref="AQ407:AR407"/>
    <mergeCell ref="C408:D408"/>
    <mergeCell ref="E408:F408"/>
    <mergeCell ref="AO408:AP408"/>
    <mergeCell ref="AQ408:AR408"/>
    <mergeCell ref="C409:D409"/>
    <mergeCell ref="E409:F409"/>
    <mergeCell ref="AO409:AP409"/>
    <mergeCell ref="AQ409:AR409"/>
    <mergeCell ref="C410:D410"/>
    <mergeCell ref="E410:F410"/>
    <mergeCell ref="AO410:AP410"/>
    <mergeCell ref="AQ410:AR410"/>
    <mergeCell ref="C411:D411"/>
    <mergeCell ref="E411:F411"/>
    <mergeCell ref="AO411:AP411"/>
    <mergeCell ref="AQ411:AR411"/>
    <mergeCell ref="C412:D412"/>
    <mergeCell ref="E412:F412"/>
    <mergeCell ref="AO412:AP412"/>
    <mergeCell ref="AQ412:AR412"/>
    <mergeCell ref="C413:D413"/>
    <mergeCell ref="E413:F413"/>
    <mergeCell ref="AO413:AP413"/>
    <mergeCell ref="AQ413:AR413"/>
    <mergeCell ref="C414:D414"/>
    <mergeCell ref="E414:F414"/>
    <mergeCell ref="AO414:AP414"/>
    <mergeCell ref="AQ414:AR414"/>
    <mergeCell ref="C415:D415"/>
    <mergeCell ref="E415:F415"/>
    <mergeCell ref="AO415:AP415"/>
    <mergeCell ref="AQ415:AR415"/>
    <mergeCell ref="C416:D416"/>
    <mergeCell ref="E416:F416"/>
    <mergeCell ref="AO416:AP416"/>
    <mergeCell ref="AQ416:AR416"/>
    <mergeCell ref="C417:D417"/>
    <mergeCell ref="E417:F417"/>
    <mergeCell ref="AO417:AP417"/>
    <mergeCell ref="AQ417:AR417"/>
    <mergeCell ref="C418:D418"/>
    <mergeCell ref="E418:F418"/>
    <mergeCell ref="AO418:AP418"/>
    <mergeCell ref="AQ418:AR418"/>
    <mergeCell ref="C419:D419"/>
    <mergeCell ref="E419:F419"/>
    <mergeCell ref="AO419:AP419"/>
    <mergeCell ref="AQ419:AR419"/>
    <mergeCell ref="C420:D420"/>
    <mergeCell ref="E420:F420"/>
    <mergeCell ref="AO420:AP420"/>
    <mergeCell ref="AQ420:AR420"/>
    <mergeCell ref="C421:D421"/>
    <mergeCell ref="E421:F421"/>
    <mergeCell ref="AO421:AP421"/>
    <mergeCell ref="AQ421:AR421"/>
    <mergeCell ref="C422:D422"/>
    <mergeCell ref="E422:F422"/>
    <mergeCell ref="AO422:AP422"/>
    <mergeCell ref="AQ422:AR422"/>
    <mergeCell ref="C423:D423"/>
    <mergeCell ref="E423:F423"/>
    <mergeCell ref="AO423:AP423"/>
    <mergeCell ref="AQ423:AR423"/>
    <mergeCell ref="C424:D424"/>
    <mergeCell ref="E424:F424"/>
    <mergeCell ref="AO424:AP424"/>
    <mergeCell ref="AQ424:AR424"/>
    <mergeCell ref="C425:D425"/>
    <mergeCell ref="E425:F425"/>
    <mergeCell ref="AO425:AP425"/>
    <mergeCell ref="AQ425:AR425"/>
    <mergeCell ref="C426:D426"/>
    <mergeCell ref="E426:F426"/>
    <mergeCell ref="AO426:AP426"/>
    <mergeCell ref="AQ426:AR426"/>
    <mergeCell ref="C427:D427"/>
    <mergeCell ref="E427:F427"/>
    <mergeCell ref="AO427:AP427"/>
    <mergeCell ref="AQ427:AR427"/>
    <mergeCell ref="C428:D428"/>
    <mergeCell ref="E428:F428"/>
    <mergeCell ref="AO428:AP428"/>
    <mergeCell ref="AQ428:AR428"/>
    <mergeCell ref="C429:D429"/>
    <mergeCell ref="E429:F429"/>
    <mergeCell ref="AO429:AP429"/>
    <mergeCell ref="AQ429:AR429"/>
    <mergeCell ref="C430:D430"/>
    <mergeCell ref="E430:F430"/>
    <mergeCell ref="AO430:AP430"/>
    <mergeCell ref="AQ430:AR430"/>
    <mergeCell ref="C431:D431"/>
    <mergeCell ref="E431:F431"/>
    <mergeCell ref="AO431:AP431"/>
    <mergeCell ref="AQ431:AR431"/>
    <mergeCell ref="C432:D432"/>
    <mergeCell ref="E432:F432"/>
    <mergeCell ref="AO432:AP432"/>
    <mergeCell ref="AQ432:AR432"/>
    <mergeCell ref="C433:D433"/>
    <mergeCell ref="E433:F433"/>
    <mergeCell ref="AO433:AP433"/>
    <mergeCell ref="AQ433:AR433"/>
    <mergeCell ref="C434:D434"/>
    <mergeCell ref="E434:F434"/>
    <mergeCell ref="AO434:AP434"/>
    <mergeCell ref="AQ434:AR434"/>
    <mergeCell ref="C435:D435"/>
    <mergeCell ref="E435:F435"/>
    <mergeCell ref="AO435:AP435"/>
    <mergeCell ref="AQ435:AR435"/>
    <mergeCell ref="C436:D436"/>
    <mergeCell ref="E436:F436"/>
    <mergeCell ref="AO436:AP436"/>
    <mergeCell ref="AQ436:AR436"/>
    <mergeCell ref="C437:D437"/>
    <mergeCell ref="E437:F437"/>
    <mergeCell ref="AO437:AP437"/>
    <mergeCell ref="AQ437:AR437"/>
    <mergeCell ref="C438:D438"/>
    <mergeCell ref="E438:F438"/>
    <mergeCell ref="AO438:AP438"/>
    <mergeCell ref="AQ438:AR438"/>
    <mergeCell ref="C439:D439"/>
    <mergeCell ref="E439:F439"/>
    <mergeCell ref="AO439:AP439"/>
    <mergeCell ref="AQ439:AR439"/>
    <mergeCell ref="C440:D440"/>
    <mergeCell ref="E440:F440"/>
    <mergeCell ref="AO440:AP440"/>
    <mergeCell ref="AQ440:AR440"/>
    <mergeCell ref="C441:D441"/>
    <mergeCell ref="E441:F441"/>
    <mergeCell ref="AO441:AP441"/>
    <mergeCell ref="AQ441:AR441"/>
    <mergeCell ref="C442:D442"/>
    <mergeCell ref="E442:F442"/>
    <mergeCell ref="AO442:AP442"/>
    <mergeCell ref="AQ442:AR442"/>
    <mergeCell ref="C443:D443"/>
    <mergeCell ref="E443:F443"/>
    <mergeCell ref="AO443:AP443"/>
    <mergeCell ref="AQ443:AR443"/>
    <mergeCell ref="C444:D444"/>
    <mergeCell ref="E444:F444"/>
    <mergeCell ref="AO444:AP444"/>
    <mergeCell ref="AQ444:AR444"/>
    <mergeCell ref="C445:D445"/>
    <mergeCell ref="E445:F445"/>
    <mergeCell ref="AO445:AP445"/>
    <mergeCell ref="AQ445:AR445"/>
    <mergeCell ref="C446:D446"/>
    <mergeCell ref="E446:F446"/>
    <mergeCell ref="AO446:AP446"/>
    <mergeCell ref="AQ446:AR446"/>
    <mergeCell ref="C447:D447"/>
    <mergeCell ref="E447:F447"/>
    <mergeCell ref="AO447:AP447"/>
    <mergeCell ref="AQ447:AR447"/>
    <mergeCell ref="C448:D448"/>
    <mergeCell ref="E448:F448"/>
    <mergeCell ref="AO448:AP448"/>
    <mergeCell ref="AQ448:AR448"/>
    <mergeCell ref="C449:D449"/>
    <mergeCell ref="E449:F449"/>
    <mergeCell ref="AO449:AP449"/>
    <mergeCell ref="AQ449:AR449"/>
    <mergeCell ref="C450:D450"/>
    <mergeCell ref="E450:F450"/>
    <mergeCell ref="AO450:AP450"/>
    <mergeCell ref="AQ450:AR450"/>
    <mergeCell ref="C451:D451"/>
    <mergeCell ref="E451:F451"/>
    <mergeCell ref="AO451:AP451"/>
    <mergeCell ref="AQ451:AR451"/>
    <mergeCell ref="C452:D452"/>
    <mergeCell ref="E452:F452"/>
    <mergeCell ref="AO452:AP452"/>
    <mergeCell ref="AQ452:AR452"/>
    <mergeCell ref="C453:D453"/>
    <mergeCell ref="E453:F453"/>
    <mergeCell ref="AO453:AP453"/>
    <mergeCell ref="AQ453:AR453"/>
    <mergeCell ref="C454:D454"/>
    <mergeCell ref="E454:F454"/>
    <mergeCell ref="AO454:AP454"/>
    <mergeCell ref="AQ454:AR454"/>
    <mergeCell ref="C455:D455"/>
    <mergeCell ref="E455:F455"/>
    <mergeCell ref="AO455:AP455"/>
    <mergeCell ref="AQ455:AR455"/>
    <mergeCell ref="C456:D456"/>
    <mergeCell ref="E456:F456"/>
    <mergeCell ref="AO456:AP456"/>
    <mergeCell ref="AQ456:AR456"/>
    <mergeCell ref="C457:D457"/>
    <mergeCell ref="E457:F457"/>
    <mergeCell ref="AO457:AP457"/>
    <mergeCell ref="AQ457:AR457"/>
    <mergeCell ref="C458:D458"/>
    <mergeCell ref="E458:F458"/>
    <mergeCell ref="AO458:AP458"/>
    <mergeCell ref="AQ458:AR458"/>
    <mergeCell ref="C459:D459"/>
    <mergeCell ref="E459:F459"/>
    <mergeCell ref="AO459:AP459"/>
    <mergeCell ref="AQ459:AR459"/>
    <mergeCell ref="C460:D460"/>
    <mergeCell ref="E460:F460"/>
    <mergeCell ref="AO460:AP460"/>
    <mergeCell ref="AQ460:AR460"/>
    <mergeCell ref="C461:D461"/>
    <mergeCell ref="E461:F461"/>
    <mergeCell ref="AO461:AP461"/>
    <mergeCell ref="AQ461:AR461"/>
    <mergeCell ref="C462:D462"/>
    <mergeCell ref="E462:F462"/>
    <mergeCell ref="AO462:AP462"/>
    <mergeCell ref="AQ462:AR462"/>
    <mergeCell ref="C463:D463"/>
    <mergeCell ref="E463:F463"/>
    <mergeCell ref="AO463:AP463"/>
    <mergeCell ref="AQ463:AR463"/>
    <mergeCell ref="C464:D464"/>
    <mergeCell ref="E464:F464"/>
    <mergeCell ref="AO464:AP464"/>
    <mergeCell ref="AQ464:AR464"/>
    <mergeCell ref="C465:D465"/>
    <mergeCell ref="E465:F465"/>
    <mergeCell ref="AO465:AP465"/>
    <mergeCell ref="AQ465:AR465"/>
    <mergeCell ref="C466:D466"/>
    <mergeCell ref="E466:F466"/>
    <mergeCell ref="AO466:AP466"/>
    <mergeCell ref="AQ466:AR466"/>
    <mergeCell ref="C467:D467"/>
    <mergeCell ref="E467:F467"/>
    <mergeCell ref="AO467:AP467"/>
    <mergeCell ref="AQ467:AR467"/>
    <mergeCell ref="C468:D468"/>
    <mergeCell ref="E468:F468"/>
    <mergeCell ref="AO468:AP468"/>
    <mergeCell ref="AQ468:AR468"/>
    <mergeCell ref="C469:D469"/>
    <mergeCell ref="E469:F469"/>
    <mergeCell ref="AO469:AP469"/>
    <mergeCell ref="AQ469:AR469"/>
    <mergeCell ref="C470:D470"/>
    <mergeCell ref="E470:F470"/>
    <mergeCell ref="AO470:AP470"/>
    <mergeCell ref="AQ470:AR470"/>
    <mergeCell ref="C471:D471"/>
    <mergeCell ref="E471:F471"/>
    <mergeCell ref="AO471:AP471"/>
    <mergeCell ref="AQ471:AR471"/>
    <mergeCell ref="C472:D472"/>
    <mergeCell ref="E472:F472"/>
    <mergeCell ref="AO472:AP472"/>
    <mergeCell ref="AQ472:AR472"/>
    <mergeCell ref="C473:D473"/>
    <mergeCell ref="E473:F473"/>
    <mergeCell ref="AO473:AP473"/>
    <mergeCell ref="AQ473:AR473"/>
    <mergeCell ref="C474:D474"/>
    <mergeCell ref="E474:F474"/>
    <mergeCell ref="AO474:AP474"/>
    <mergeCell ref="AQ474:AR474"/>
    <mergeCell ref="C475:D475"/>
    <mergeCell ref="E475:F475"/>
    <mergeCell ref="AO475:AP475"/>
    <mergeCell ref="AQ475:AR475"/>
    <mergeCell ref="C476:D476"/>
    <mergeCell ref="E476:F476"/>
    <mergeCell ref="AO476:AP476"/>
    <mergeCell ref="AQ476:AR476"/>
    <mergeCell ref="C477:D477"/>
    <mergeCell ref="E477:F477"/>
    <mergeCell ref="AO477:AP477"/>
    <mergeCell ref="AQ477:AR477"/>
    <mergeCell ref="C478:D478"/>
    <mergeCell ref="E478:F478"/>
    <mergeCell ref="AO478:AP478"/>
    <mergeCell ref="AQ478:AR478"/>
    <mergeCell ref="C479:D479"/>
    <mergeCell ref="E479:F479"/>
    <mergeCell ref="AO479:AP479"/>
    <mergeCell ref="AQ479:AR479"/>
    <mergeCell ref="C480:D480"/>
    <mergeCell ref="E480:F480"/>
    <mergeCell ref="AO480:AP480"/>
    <mergeCell ref="AQ480:AR480"/>
    <mergeCell ref="C481:D481"/>
    <mergeCell ref="E481:F481"/>
    <mergeCell ref="AO481:AP481"/>
    <mergeCell ref="AQ481:AR481"/>
    <mergeCell ref="C482:D482"/>
    <mergeCell ref="E482:F482"/>
    <mergeCell ref="AO482:AP482"/>
    <mergeCell ref="AQ482:AR482"/>
    <mergeCell ref="C483:D483"/>
    <mergeCell ref="E483:F483"/>
    <mergeCell ref="AO483:AP483"/>
    <mergeCell ref="AQ483:AR483"/>
    <mergeCell ref="C484:D484"/>
    <mergeCell ref="E484:F484"/>
    <mergeCell ref="AO484:AP484"/>
    <mergeCell ref="AQ484:AR484"/>
    <mergeCell ref="C485:D485"/>
    <mergeCell ref="E485:F485"/>
    <mergeCell ref="AO485:AP485"/>
    <mergeCell ref="AQ485:AR485"/>
    <mergeCell ref="C486:D486"/>
    <mergeCell ref="E486:F486"/>
    <mergeCell ref="AO486:AP486"/>
    <mergeCell ref="AQ486:AR486"/>
    <mergeCell ref="C487:D487"/>
    <mergeCell ref="E487:F487"/>
    <mergeCell ref="AO487:AP487"/>
    <mergeCell ref="AQ487:AR487"/>
    <mergeCell ref="C488:D488"/>
    <mergeCell ref="E488:F488"/>
    <mergeCell ref="AO488:AP488"/>
    <mergeCell ref="AQ488:AR488"/>
    <mergeCell ref="C489:D489"/>
    <mergeCell ref="E489:F489"/>
    <mergeCell ref="AO489:AP489"/>
    <mergeCell ref="AQ489:AR489"/>
    <mergeCell ref="C490:D490"/>
    <mergeCell ref="E490:F490"/>
    <mergeCell ref="AO490:AP490"/>
    <mergeCell ref="AQ490:AR490"/>
    <mergeCell ref="C491:D491"/>
    <mergeCell ref="E491:F491"/>
    <mergeCell ref="AO491:AP491"/>
    <mergeCell ref="AQ491:AR491"/>
    <mergeCell ref="C492:D492"/>
    <mergeCell ref="E492:F492"/>
    <mergeCell ref="AO492:AP492"/>
    <mergeCell ref="AQ492:AR492"/>
    <mergeCell ref="C493:D493"/>
    <mergeCell ref="E493:F493"/>
    <mergeCell ref="AO493:AP493"/>
    <mergeCell ref="AQ493:AR493"/>
    <mergeCell ref="C494:D494"/>
    <mergeCell ref="E494:F494"/>
    <mergeCell ref="AO494:AP494"/>
    <mergeCell ref="AQ494:AR494"/>
    <mergeCell ref="C495:D495"/>
    <mergeCell ref="E495:F495"/>
    <mergeCell ref="AO495:AP495"/>
    <mergeCell ref="AQ495:AR495"/>
    <mergeCell ref="C496:D496"/>
    <mergeCell ref="E496:F496"/>
    <mergeCell ref="AO496:AP496"/>
    <mergeCell ref="AQ496:AR496"/>
    <mergeCell ref="C497:D497"/>
    <mergeCell ref="E497:F497"/>
    <mergeCell ref="AO497:AP497"/>
    <mergeCell ref="AQ497:AR497"/>
    <mergeCell ref="C498:D498"/>
    <mergeCell ref="E498:F498"/>
    <mergeCell ref="AO498:AP498"/>
    <mergeCell ref="AQ498:AR498"/>
    <mergeCell ref="C499:D499"/>
    <mergeCell ref="E499:F499"/>
    <mergeCell ref="AO499:AP499"/>
    <mergeCell ref="AQ499:AR499"/>
    <mergeCell ref="C500:D500"/>
    <mergeCell ref="E500:F500"/>
    <mergeCell ref="AO500:AP500"/>
    <mergeCell ref="AQ500:AR500"/>
    <mergeCell ref="C501:D501"/>
    <mergeCell ref="E501:F501"/>
    <mergeCell ref="AO501:AP501"/>
    <mergeCell ref="AQ501:AR501"/>
    <mergeCell ref="C502:D502"/>
    <mergeCell ref="E502:F502"/>
    <mergeCell ref="AO502:AP502"/>
    <mergeCell ref="AQ502:AR502"/>
    <mergeCell ref="C503:D503"/>
    <mergeCell ref="E503:F503"/>
    <mergeCell ref="AO503:AP503"/>
    <mergeCell ref="AQ503:AR503"/>
    <mergeCell ref="C504:D504"/>
    <mergeCell ref="E504:F504"/>
    <mergeCell ref="AO504:AP504"/>
    <mergeCell ref="AQ504:AR504"/>
    <mergeCell ref="C505:D505"/>
    <mergeCell ref="E505:F505"/>
    <mergeCell ref="AO505:AP505"/>
    <mergeCell ref="AQ505:AR505"/>
    <mergeCell ref="C506:D506"/>
    <mergeCell ref="E506:F506"/>
    <mergeCell ref="AO506:AP506"/>
    <mergeCell ref="AQ506:AR506"/>
    <mergeCell ref="C507:D507"/>
    <mergeCell ref="E507:F507"/>
    <mergeCell ref="AO507:AP507"/>
    <mergeCell ref="AQ507:AR507"/>
    <mergeCell ref="C508:D508"/>
    <mergeCell ref="E508:F508"/>
    <mergeCell ref="AO508:AP508"/>
    <mergeCell ref="AQ508:AR508"/>
    <mergeCell ref="C509:D509"/>
    <mergeCell ref="E509:F509"/>
    <mergeCell ref="AO509:AP509"/>
    <mergeCell ref="AQ509:AR509"/>
    <mergeCell ref="C510:D510"/>
    <mergeCell ref="E510:F510"/>
    <mergeCell ref="AO510:AP510"/>
    <mergeCell ref="AQ510:AR510"/>
    <mergeCell ref="C511:D511"/>
    <mergeCell ref="E511:F511"/>
    <mergeCell ref="AO511:AP511"/>
    <mergeCell ref="AQ511:AR511"/>
    <mergeCell ref="C512:D512"/>
    <mergeCell ref="E512:F512"/>
    <mergeCell ref="AO512:AP512"/>
    <mergeCell ref="AQ512:AR512"/>
    <mergeCell ref="C513:D513"/>
    <mergeCell ref="E513:F513"/>
    <mergeCell ref="AO513:AP513"/>
    <mergeCell ref="AQ513:AR513"/>
    <mergeCell ref="C514:D514"/>
    <mergeCell ref="E514:F514"/>
    <mergeCell ref="AO514:AP514"/>
    <mergeCell ref="AQ514:AR514"/>
    <mergeCell ref="C515:D515"/>
    <mergeCell ref="E515:F515"/>
    <mergeCell ref="AO515:AP515"/>
    <mergeCell ref="AQ515:AR515"/>
    <mergeCell ref="C516:D516"/>
    <mergeCell ref="E516:F516"/>
    <mergeCell ref="AO516:AP516"/>
    <mergeCell ref="AQ516:AR516"/>
    <mergeCell ref="C517:D517"/>
    <mergeCell ref="E517:F517"/>
    <mergeCell ref="AO517:AP517"/>
    <mergeCell ref="AQ517:AR517"/>
    <mergeCell ref="C518:D518"/>
    <mergeCell ref="E518:F518"/>
    <mergeCell ref="AO518:AP518"/>
    <mergeCell ref="AQ518:AR518"/>
    <mergeCell ref="C519:D519"/>
    <mergeCell ref="E519:F519"/>
    <mergeCell ref="AO519:AP519"/>
    <mergeCell ref="AQ519:AR519"/>
    <mergeCell ref="C520:D520"/>
    <mergeCell ref="E520:F520"/>
    <mergeCell ref="AO520:AP520"/>
    <mergeCell ref="AQ520:AR520"/>
    <mergeCell ref="C521:D521"/>
    <mergeCell ref="E521:F521"/>
    <mergeCell ref="AO521:AP521"/>
    <mergeCell ref="AQ521:AR521"/>
    <mergeCell ref="C522:D522"/>
    <mergeCell ref="E522:F522"/>
    <mergeCell ref="AO522:AP522"/>
    <mergeCell ref="AQ522:AR522"/>
    <mergeCell ref="C523:D523"/>
    <mergeCell ref="E523:F523"/>
    <mergeCell ref="AO523:AP523"/>
    <mergeCell ref="AQ523:AR523"/>
    <mergeCell ref="C524:D524"/>
    <mergeCell ref="E524:F524"/>
    <mergeCell ref="AO524:AP524"/>
    <mergeCell ref="AQ524:AR524"/>
    <mergeCell ref="C525:D525"/>
    <mergeCell ref="E525:F525"/>
    <mergeCell ref="AO525:AP525"/>
    <mergeCell ref="AQ525:AR525"/>
    <mergeCell ref="C526:D526"/>
    <mergeCell ref="E526:F526"/>
    <mergeCell ref="AO526:AP526"/>
    <mergeCell ref="AQ526:AR526"/>
    <mergeCell ref="C527:D527"/>
    <mergeCell ref="E527:F527"/>
    <mergeCell ref="AO527:AP527"/>
    <mergeCell ref="AQ527:AR527"/>
    <mergeCell ref="C528:D528"/>
    <mergeCell ref="E528:F528"/>
    <mergeCell ref="AO528:AP528"/>
    <mergeCell ref="AQ528:AR528"/>
    <mergeCell ref="C529:D529"/>
    <mergeCell ref="E529:F529"/>
    <mergeCell ref="AO529:AP529"/>
    <mergeCell ref="AQ529:AR529"/>
    <mergeCell ref="C530:D530"/>
    <mergeCell ref="E530:F530"/>
    <mergeCell ref="AO530:AP530"/>
    <mergeCell ref="AQ530:AR530"/>
    <mergeCell ref="C531:D531"/>
    <mergeCell ref="E531:F531"/>
    <mergeCell ref="AO531:AP531"/>
    <mergeCell ref="AQ531:AR531"/>
    <mergeCell ref="C532:D532"/>
    <mergeCell ref="E532:F532"/>
    <mergeCell ref="AO532:AP532"/>
    <mergeCell ref="AQ532:AR532"/>
    <mergeCell ref="C533:D533"/>
    <mergeCell ref="E533:F533"/>
    <mergeCell ref="AO533:AP533"/>
    <mergeCell ref="AQ533:AR533"/>
    <mergeCell ref="C534:D534"/>
    <mergeCell ref="E534:F534"/>
    <mergeCell ref="AO534:AP534"/>
    <mergeCell ref="AQ534:AR534"/>
    <mergeCell ref="C535:D535"/>
    <mergeCell ref="E535:F535"/>
    <mergeCell ref="AO535:AP535"/>
    <mergeCell ref="AQ535:AR535"/>
    <mergeCell ref="C536:D536"/>
    <mergeCell ref="E536:F536"/>
    <mergeCell ref="AO536:AP536"/>
    <mergeCell ref="AQ536:AR536"/>
    <mergeCell ref="C537:D537"/>
    <mergeCell ref="E537:F537"/>
    <mergeCell ref="AO537:AP537"/>
    <mergeCell ref="AQ537:AR537"/>
    <mergeCell ref="C538:D538"/>
    <mergeCell ref="E538:F538"/>
    <mergeCell ref="AO538:AP538"/>
    <mergeCell ref="AQ538:AR538"/>
    <mergeCell ref="C539:D539"/>
    <mergeCell ref="E539:F539"/>
    <mergeCell ref="AO539:AP539"/>
    <mergeCell ref="AQ539:AR539"/>
    <mergeCell ref="C540:D540"/>
    <mergeCell ref="E540:F540"/>
    <mergeCell ref="AO540:AP540"/>
    <mergeCell ref="AQ540:AR540"/>
    <mergeCell ref="C541:D541"/>
    <mergeCell ref="E541:F541"/>
    <mergeCell ref="AO541:AP541"/>
    <mergeCell ref="AQ541:AR541"/>
    <mergeCell ref="C542:D542"/>
    <mergeCell ref="E542:F542"/>
    <mergeCell ref="AO542:AP542"/>
    <mergeCell ref="AQ542:AR542"/>
    <mergeCell ref="C543:D543"/>
    <mergeCell ref="E543:F543"/>
    <mergeCell ref="AO543:AP543"/>
    <mergeCell ref="AQ543:AR543"/>
    <mergeCell ref="C544:D544"/>
    <mergeCell ref="E544:F544"/>
    <mergeCell ref="AO544:AP544"/>
    <mergeCell ref="AQ544:AR544"/>
    <mergeCell ref="C545:D545"/>
    <mergeCell ref="E545:F545"/>
    <mergeCell ref="AO545:AP545"/>
    <mergeCell ref="AQ545:AR545"/>
    <mergeCell ref="C546:D546"/>
    <mergeCell ref="E546:F546"/>
    <mergeCell ref="AO546:AP546"/>
    <mergeCell ref="AQ546:AR546"/>
    <mergeCell ref="C547:D547"/>
    <mergeCell ref="E547:F547"/>
    <mergeCell ref="AO547:AP547"/>
    <mergeCell ref="AQ547:AR547"/>
    <mergeCell ref="C548:D548"/>
    <mergeCell ref="E548:F548"/>
    <mergeCell ref="AO548:AP548"/>
    <mergeCell ref="AQ548:AR548"/>
    <mergeCell ref="C549:D549"/>
    <mergeCell ref="E549:F549"/>
    <mergeCell ref="AO549:AP549"/>
    <mergeCell ref="AQ549:AR549"/>
    <mergeCell ref="C550:D550"/>
    <mergeCell ref="E550:F550"/>
    <mergeCell ref="AO550:AP550"/>
    <mergeCell ref="AQ550:AR550"/>
    <mergeCell ref="C551:D551"/>
    <mergeCell ref="E551:F551"/>
    <mergeCell ref="AO551:AP551"/>
    <mergeCell ref="AQ551:AR551"/>
    <mergeCell ref="C552:D552"/>
    <mergeCell ref="E552:F552"/>
    <mergeCell ref="AO552:AP552"/>
    <mergeCell ref="AQ552:AR552"/>
    <mergeCell ref="C553:D553"/>
    <mergeCell ref="E553:F553"/>
    <mergeCell ref="AO553:AP553"/>
    <mergeCell ref="AQ553:AR553"/>
    <mergeCell ref="C554:D554"/>
    <mergeCell ref="E554:F554"/>
    <mergeCell ref="AO554:AP554"/>
    <mergeCell ref="AQ554:AR554"/>
    <mergeCell ref="C555:D555"/>
    <mergeCell ref="E555:F555"/>
    <mergeCell ref="AO555:AP555"/>
    <mergeCell ref="AQ555:AR555"/>
    <mergeCell ref="C556:D556"/>
    <mergeCell ref="E556:F556"/>
    <mergeCell ref="AO556:AP556"/>
    <mergeCell ref="AQ556:AR556"/>
    <mergeCell ref="C557:D557"/>
    <mergeCell ref="E557:F557"/>
    <mergeCell ref="AO557:AP557"/>
    <mergeCell ref="AQ557:AR557"/>
    <mergeCell ref="C558:D558"/>
    <mergeCell ref="E558:F558"/>
    <mergeCell ref="AO558:AP558"/>
    <mergeCell ref="AQ558:AR558"/>
    <mergeCell ref="C559:D559"/>
    <mergeCell ref="E559:F559"/>
    <mergeCell ref="AO559:AP559"/>
    <mergeCell ref="AQ559:AR559"/>
    <mergeCell ref="C560:D560"/>
    <mergeCell ref="E560:F560"/>
    <mergeCell ref="AO560:AP560"/>
    <mergeCell ref="AQ560:AR560"/>
    <mergeCell ref="C561:D561"/>
    <mergeCell ref="E561:F561"/>
    <mergeCell ref="AO561:AP561"/>
    <mergeCell ref="AQ561:AR561"/>
    <mergeCell ref="C562:D562"/>
    <mergeCell ref="E562:F562"/>
    <mergeCell ref="AO562:AP562"/>
    <mergeCell ref="AQ562:AR562"/>
    <mergeCell ref="C563:D563"/>
    <mergeCell ref="E563:F563"/>
    <mergeCell ref="AO563:AP563"/>
    <mergeCell ref="AQ563:AR563"/>
    <mergeCell ref="C564:D564"/>
    <mergeCell ref="E564:F564"/>
    <mergeCell ref="AO564:AP564"/>
    <mergeCell ref="AQ564:AR564"/>
    <mergeCell ref="C565:D565"/>
    <mergeCell ref="E565:F565"/>
    <mergeCell ref="AO565:AP565"/>
    <mergeCell ref="AQ565:AR565"/>
    <mergeCell ref="C566:D566"/>
    <mergeCell ref="E566:F566"/>
    <mergeCell ref="AO566:AP566"/>
    <mergeCell ref="AQ566:AR566"/>
    <mergeCell ref="C567:D567"/>
    <mergeCell ref="E567:F567"/>
    <mergeCell ref="AO567:AP567"/>
    <mergeCell ref="AQ567:AR567"/>
    <mergeCell ref="C568:D568"/>
    <mergeCell ref="E568:F568"/>
    <mergeCell ref="AO568:AP568"/>
    <mergeCell ref="AQ568:AR568"/>
    <mergeCell ref="C569:D569"/>
    <mergeCell ref="E569:F569"/>
    <mergeCell ref="AO569:AP569"/>
    <mergeCell ref="AQ569:AR569"/>
    <mergeCell ref="C570:D570"/>
    <mergeCell ref="E570:F570"/>
    <mergeCell ref="AO570:AP570"/>
    <mergeCell ref="AQ570:AR570"/>
    <mergeCell ref="C571:D571"/>
    <mergeCell ref="E571:F571"/>
    <mergeCell ref="AO571:AP571"/>
    <mergeCell ref="AQ571:AR571"/>
    <mergeCell ref="C572:D572"/>
    <mergeCell ref="E572:F572"/>
    <mergeCell ref="AO572:AP572"/>
    <mergeCell ref="AQ572:AR572"/>
    <mergeCell ref="C573:D573"/>
    <mergeCell ref="E573:F573"/>
    <mergeCell ref="AO573:AP573"/>
    <mergeCell ref="AQ573:AR573"/>
    <mergeCell ref="C574:D574"/>
    <mergeCell ref="E574:F574"/>
    <mergeCell ref="AO574:AP574"/>
    <mergeCell ref="AQ574:AR574"/>
    <mergeCell ref="C575:D575"/>
    <mergeCell ref="E575:F575"/>
    <mergeCell ref="AO575:AP575"/>
    <mergeCell ref="AQ575:AR575"/>
    <mergeCell ref="C576:D576"/>
    <mergeCell ref="E576:F576"/>
    <mergeCell ref="AO576:AP576"/>
    <mergeCell ref="AQ576:AR576"/>
    <mergeCell ref="C577:D577"/>
    <mergeCell ref="E577:F577"/>
    <mergeCell ref="AO577:AP577"/>
    <mergeCell ref="AQ577:AR577"/>
    <mergeCell ref="C578:D578"/>
    <mergeCell ref="E578:F578"/>
    <mergeCell ref="AO578:AP578"/>
    <mergeCell ref="AQ578:AR578"/>
    <mergeCell ref="C579:D579"/>
    <mergeCell ref="E579:F579"/>
    <mergeCell ref="AO579:AP579"/>
    <mergeCell ref="AQ579:AR579"/>
    <mergeCell ref="C580:D580"/>
    <mergeCell ref="E580:F580"/>
    <mergeCell ref="AO580:AP580"/>
    <mergeCell ref="AQ580:AR580"/>
    <mergeCell ref="C581:D581"/>
    <mergeCell ref="E581:F581"/>
    <mergeCell ref="AO581:AP581"/>
    <mergeCell ref="AQ581:AR581"/>
    <mergeCell ref="C582:D582"/>
    <mergeCell ref="E582:F582"/>
    <mergeCell ref="AO582:AP582"/>
    <mergeCell ref="AQ582:AR582"/>
    <mergeCell ref="C583:D583"/>
    <mergeCell ref="E583:F583"/>
    <mergeCell ref="AO583:AP583"/>
    <mergeCell ref="AQ583:AR583"/>
    <mergeCell ref="C584:D584"/>
    <mergeCell ref="E584:F584"/>
    <mergeCell ref="AO584:AP584"/>
    <mergeCell ref="AQ584:AR584"/>
    <mergeCell ref="C585:D585"/>
    <mergeCell ref="E585:F585"/>
    <mergeCell ref="AO585:AP585"/>
    <mergeCell ref="AQ585:AR585"/>
    <mergeCell ref="C586:D586"/>
    <mergeCell ref="E586:F586"/>
    <mergeCell ref="AO586:AP586"/>
    <mergeCell ref="AQ586:AR586"/>
    <mergeCell ref="C587:D587"/>
    <mergeCell ref="E587:F587"/>
    <mergeCell ref="AO587:AP587"/>
    <mergeCell ref="AQ587:AR587"/>
    <mergeCell ref="C588:D588"/>
    <mergeCell ref="E588:F588"/>
    <mergeCell ref="AO588:AP588"/>
    <mergeCell ref="AQ588:AR588"/>
    <mergeCell ref="C589:D589"/>
    <mergeCell ref="E589:F589"/>
    <mergeCell ref="AO589:AP589"/>
    <mergeCell ref="AQ589:AR589"/>
    <mergeCell ref="C590:D590"/>
    <mergeCell ref="E590:F590"/>
    <mergeCell ref="AO590:AP590"/>
    <mergeCell ref="AQ590:AR590"/>
    <mergeCell ref="C591:D591"/>
    <mergeCell ref="E591:F591"/>
    <mergeCell ref="AO591:AP591"/>
    <mergeCell ref="AQ591:AR591"/>
    <mergeCell ref="C592:D592"/>
    <mergeCell ref="E592:F592"/>
    <mergeCell ref="AO592:AP592"/>
    <mergeCell ref="AQ592:AR592"/>
    <mergeCell ref="C593:D593"/>
    <mergeCell ref="E593:F593"/>
    <mergeCell ref="AO593:AP593"/>
    <mergeCell ref="AQ593:AR593"/>
    <mergeCell ref="C594:D594"/>
    <mergeCell ref="E594:F594"/>
    <mergeCell ref="AO594:AP594"/>
    <mergeCell ref="AQ594:AR594"/>
    <mergeCell ref="C595:D595"/>
    <mergeCell ref="E595:F595"/>
    <mergeCell ref="AO595:AP595"/>
    <mergeCell ref="AQ595:AR595"/>
    <mergeCell ref="C596:D596"/>
    <mergeCell ref="E596:F596"/>
    <mergeCell ref="AO596:AP596"/>
    <mergeCell ref="AQ596:AR596"/>
    <mergeCell ref="C597:D597"/>
    <mergeCell ref="E597:F597"/>
    <mergeCell ref="AO597:AP597"/>
    <mergeCell ref="AQ597:AR597"/>
    <mergeCell ref="C598:D598"/>
    <mergeCell ref="E598:F598"/>
    <mergeCell ref="AO598:AP598"/>
    <mergeCell ref="AQ598:AR598"/>
    <mergeCell ref="C599:D599"/>
    <mergeCell ref="E599:F599"/>
    <mergeCell ref="AO599:AP599"/>
    <mergeCell ref="AQ599:AR599"/>
    <mergeCell ref="C600:D600"/>
    <mergeCell ref="E600:F600"/>
    <mergeCell ref="AO600:AP600"/>
    <mergeCell ref="AQ600:AR600"/>
    <mergeCell ref="C601:D601"/>
    <mergeCell ref="E601:F601"/>
    <mergeCell ref="AO601:AP601"/>
    <mergeCell ref="AQ601:AR601"/>
    <mergeCell ref="C602:D602"/>
    <mergeCell ref="E602:F602"/>
    <mergeCell ref="AO602:AP602"/>
    <mergeCell ref="AQ602:AR602"/>
    <mergeCell ref="C603:D603"/>
    <mergeCell ref="E603:F603"/>
    <mergeCell ref="AO603:AP603"/>
    <mergeCell ref="AQ603:AR603"/>
    <mergeCell ref="C604:D604"/>
    <mergeCell ref="E604:F604"/>
    <mergeCell ref="AO604:AP604"/>
    <mergeCell ref="AQ604:AR604"/>
    <mergeCell ref="C605:D605"/>
    <mergeCell ref="E605:F605"/>
    <mergeCell ref="AO605:AP605"/>
    <mergeCell ref="AQ605:AR605"/>
    <mergeCell ref="C606:D606"/>
    <mergeCell ref="E606:F606"/>
    <mergeCell ref="AO606:AP606"/>
    <mergeCell ref="AQ606:AR606"/>
    <mergeCell ref="C607:D607"/>
    <mergeCell ref="E607:F607"/>
    <mergeCell ref="AO607:AP607"/>
    <mergeCell ref="AQ607:AR607"/>
    <mergeCell ref="C608:D608"/>
    <mergeCell ref="E608:F608"/>
    <mergeCell ref="AO608:AP608"/>
    <mergeCell ref="AQ608:AR608"/>
    <mergeCell ref="C609:D609"/>
    <mergeCell ref="E609:F609"/>
    <mergeCell ref="AO609:AP609"/>
    <mergeCell ref="AQ609:AR609"/>
    <mergeCell ref="C610:D610"/>
    <mergeCell ref="E610:F610"/>
    <mergeCell ref="AO610:AP610"/>
    <mergeCell ref="AQ610:AR610"/>
    <mergeCell ref="C611:D611"/>
    <mergeCell ref="E611:F611"/>
    <mergeCell ref="AO611:AP611"/>
    <mergeCell ref="AQ611:AR611"/>
    <mergeCell ref="C612:D612"/>
    <mergeCell ref="E612:F612"/>
    <mergeCell ref="AO612:AP612"/>
    <mergeCell ref="AQ612:AR612"/>
    <mergeCell ref="C613:D613"/>
    <mergeCell ref="E613:F613"/>
    <mergeCell ref="AO613:AP613"/>
    <mergeCell ref="AQ613:AR613"/>
    <mergeCell ref="C614:D614"/>
    <mergeCell ref="E614:F614"/>
    <mergeCell ref="AO614:AP614"/>
    <mergeCell ref="AQ614:AR614"/>
    <mergeCell ref="C615:D615"/>
    <mergeCell ref="E615:F615"/>
    <mergeCell ref="AO615:AP615"/>
    <mergeCell ref="AQ615:AR615"/>
    <mergeCell ref="C616:D616"/>
    <mergeCell ref="E616:F616"/>
    <mergeCell ref="AO616:AP616"/>
    <mergeCell ref="AQ616:AR616"/>
    <mergeCell ref="C617:D617"/>
    <mergeCell ref="E617:F617"/>
    <mergeCell ref="AO617:AP617"/>
    <mergeCell ref="AQ617:AR617"/>
    <mergeCell ref="C618:D618"/>
    <mergeCell ref="E618:F618"/>
    <mergeCell ref="AO618:AP618"/>
    <mergeCell ref="AQ618:AR618"/>
    <mergeCell ref="C619:D619"/>
    <mergeCell ref="E619:F619"/>
    <mergeCell ref="AO619:AP619"/>
    <mergeCell ref="AQ619:AR619"/>
    <mergeCell ref="C620:D620"/>
    <mergeCell ref="E620:F620"/>
    <mergeCell ref="AO620:AP620"/>
    <mergeCell ref="AQ620:AR620"/>
    <mergeCell ref="C621:D621"/>
    <mergeCell ref="E621:F621"/>
    <mergeCell ref="AO621:AP621"/>
    <mergeCell ref="AQ621:AR621"/>
    <mergeCell ref="C622:D622"/>
    <mergeCell ref="E622:F622"/>
    <mergeCell ref="AO622:AP622"/>
    <mergeCell ref="AQ622:AR622"/>
    <mergeCell ref="C623:D623"/>
    <mergeCell ref="E623:F623"/>
    <mergeCell ref="AO623:AP623"/>
    <mergeCell ref="AQ623:AR623"/>
    <mergeCell ref="C624:D624"/>
    <mergeCell ref="E624:F624"/>
    <mergeCell ref="AO624:AP624"/>
    <mergeCell ref="AQ624:AR624"/>
    <mergeCell ref="C625:D625"/>
    <mergeCell ref="E625:F625"/>
    <mergeCell ref="AO625:AP625"/>
    <mergeCell ref="AQ625:AR625"/>
    <mergeCell ref="C626:D626"/>
    <mergeCell ref="E626:F626"/>
    <mergeCell ref="AO626:AP626"/>
    <mergeCell ref="AQ626:AR626"/>
    <mergeCell ref="C627:D627"/>
    <mergeCell ref="E627:F627"/>
    <mergeCell ref="AO627:AP627"/>
    <mergeCell ref="AQ627:AR627"/>
    <mergeCell ref="C628:D628"/>
    <mergeCell ref="E628:F628"/>
    <mergeCell ref="AO628:AP628"/>
    <mergeCell ref="AQ628:AR628"/>
    <mergeCell ref="C629:D629"/>
    <mergeCell ref="E629:F629"/>
    <mergeCell ref="AO629:AP629"/>
    <mergeCell ref="AQ629:AR629"/>
    <mergeCell ref="C630:D630"/>
    <mergeCell ref="E630:F630"/>
    <mergeCell ref="AO630:AP630"/>
    <mergeCell ref="AQ630:AR630"/>
    <mergeCell ref="C631:D631"/>
    <mergeCell ref="E631:F631"/>
    <mergeCell ref="AO631:AP631"/>
    <mergeCell ref="AQ631:AR631"/>
    <mergeCell ref="C632:D632"/>
    <mergeCell ref="E632:F632"/>
    <mergeCell ref="AO632:AP632"/>
    <mergeCell ref="AQ632:AR632"/>
    <mergeCell ref="C633:D633"/>
    <mergeCell ref="E633:F633"/>
    <mergeCell ref="AO633:AP633"/>
    <mergeCell ref="AQ633:AR633"/>
    <mergeCell ref="C634:D634"/>
    <mergeCell ref="E634:F634"/>
    <mergeCell ref="AO634:AP634"/>
    <mergeCell ref="AQ634:AR634"/>
    <mergeCell ref="C635:D635"/>
    <mergeCell ref="E635:F635"/>
    <mergeCell ref="AO635:AP635"/>
    <mergeCell ref="AQ635:AR635"/>
    <mergeCell ref="C636:D636"/>
    <mergeCell ref="E636:F636"/>
    <mergeCell ref="AO636:AP636"/>
    <mergeCell ref="AQ636:AR636"/>
    <mergeCell ref="C637:D637"/>
    <mergeCell ref="E637:F637"/>
    <mergeCell ref="AO637:AP637"/>
    <mergeCell ref="AQ637:AR637"/>
    <mergeCell ref="C638:D638"/>
    <mergeCell ref="E638:F638"/>
    <mergeCell ref="AO638:AP638"/>
    <mergeCell ref="AQ638:AR638"/>
    <mergeCell ref="C639:D639"/>
    <mergeCell ref="E639:F639"/>
    <mergeCell ref="AO639:AP639"/>
    <mergeCell ref="AQ639:AR639"/>
    <mergeCell ref="C640:D640"/>
    <mergeCell ref="E640:F640"/>
    <mergeCell ref="AO640:AP640"/>
    <mergeCell ref="AQ640:AR640"/>
    <mergeCell ref="C641:D641"/>
    <mergeCell ref="E641:F641"/>
    <mergeCell ref="AO641:AP641"/>
    <mergeCell ref="AQ641:AR641"/>
    <mergeCell ref="C642:D642"/>
    <mergeCell ref="E642:F642"/>
    <mergeCell ref="AO642:AP642"/>
    <mergeCell ref="AQ642:AR642"/>
    <mergeCell ref="C643:D643"/>
    <mergeCell ref="E643:F643"/>
    <mergeCell ref="AO643:AP643"/>
    <mergeCell ref="AQ643:AR643"/>
    <mergeCell ref="C644:D644"/>
    <mergeCell ref="E644:F644"/>
    <mergeCell ref="AO644:AP644"/>
    <mergeCell ref="AQ644:AR644"/>
    <mergeCell ref="C645:D645"/>
    <mergeCell ref="E645:F645"/>
    <mergeCell ref="AO645:AP645"/>
    <mergeCell ref="AQ645:AR645"/>
    <mergeCell ref="C646:D646"/>
    <mergeCell ref="E646:F646"/>
    <mergeCell ref="AO646:AP646"/>
    <mergeCell ref="AQ646:AR646"/>
    <mergeCell ref="C647:D647"/>
    <mergeCell ref="E647:F647"/>
    <mergeCell ref="AO647:AP647"/>
    <mergeCell ref="AQ647:AR647"/>
    <mergeCell ref="C648:D648"/>
    <mergeCell ref="E648:F648"/>
    <mergeCell ref="AO648:AP648"/>
    <mergeCell ref="AQ648:AR648"/>
    <mergeCell ref="C649:D649"/>
    <mergeCell ref="E649:F649"/>
    <mergeCell ref="AO649:AP649"/>
    <mergeCell ref="AQ649:AR649"/>
    <mergeCell ref="C650:D650"/>
    <mergeCell ref="E650:F650"/>
    <mergeCell ref="AO650:AP650"/>
    <mergeCell ref="AQ650:AR650"/>
    <mergeCell ref="C651:D651"/>
    <mergeCell ref="E651:F651"/>
    <mergeCell ref="AO651:AP651"/>
    <mergeCell ref="AQ651:AR651"/>
    <mergeCell ref="C652:D652"/>
    <mergeCell ref="E652:F652"/>
    <mergeCell ref="AO652:AP652"/>
    <mergeCell ref="AQ652:AR652"/>
    <mergeCell ref="C653:D653"/>
    <mergeCell ref="E653:F653"/>
    <mergeCell ref="AO653:AP653"/>
    <mergeCell ref="AQ653:AR653"/>
    <mergeCell ref="C654:D654"/>
    <mergeCell ref="E654:F654"/>
    <mergeCell ref="AO654:AP654"/>
    <mergeCell ref="AQ654:AR654"/>
    <mergeCell ref="C655:D655"/>
    <mergeCell ref="E655:F655"/>
    <mergeCell ref="AO655:AP655"/>
    <mergeCell ref="AQ655:AR655"/>
    <mergeCell ref="C656:D656"/>
    <mergeCell ref="E656:F656"/>
    <mergeCell ref="AO656:AP656"/>
    <mergeCell ref="AQ656:AR656"/>
    <mergeCell ref="C657:D657"/>
    <mergeCell ref="E657:F657"/>
    <mergeCell ref="AO657:AP657"/>
    <mergeCell ref="AQ657:AR657"/>
    <mergeCell ref="C658:D658"/>
    <mergeCell ref="E658:F658"/>
    <mergeCell ref="AO658:AP658"/>
    <mergeCell ref="AQ658:AR658"/>
    <mergeCell ref="C659:D659"/>
    <mergeCell ref="E659:F659"/>
    <mergeCell ref="AO659:AP659"/>
    <mergeCell ref="AQ659:AR659"/>
    <mergeCell ref="C660:D660"/>
    <mergeCell ref="E660:F660"/>
    <mergeCell ref="AO660:AP660"/>
    <mergeCell ref="AQ660:AR660"/>
    <mergeCell ref="C661:D661"/>
    <mergeCell ref="E661:F661"/>
    <mergeCell ref="AO661:AP661"/>
    <mergeCell ref="AQ661:AR661"/>
    <mergeCell ref="C662:D662"/>
    <mergeCell ref="E662:F662"/>
    <mergeCell ref="AO662:AP662"/>
    <mergeCell ref="AQ662:AR662"/>
    <mergeCell ref="C663:D663"/>
    <mergeCell ref="E663:F663"/>
    <mergeCell ref="AO663:AP663"/>
    <mergeCell ref="AQ663:AR663"/>
    <mergeCell ref="C664:D664"/>
    <mergeCell ref="E664:F664"/>
    <mergeCell ref="AO664:AP664"/>
    <mergeCell ref="AQ664:AR664"/>
    <mergeCell ref="C665:D665"/>
    <mergeCell ref="E665:F665"/>
    <mergeCell ref="AO665:AP665"/>
    <mergeCell ref="AQ665:AR665"/>
    <mergeCell ref="C666:D666"/>
    <mergeCell ref="E666:F666"/>
    <mergeCell ref="AO666:AP666"/>
    <mergeCell ref="AQ666:AR666"/>
    <mergeCell ref="C667:D667"/>
    <mergeCell ref="E667:F667"/>
    <mergeCell ref="AO667:AP667"/>
    <mergeCell ref="AQ667:AR667"/>
    <mergeCell ref="C668:D668"/>
    <mergeCell ref="E668:F668"/>
    <mergeCell ref="AO668:AP668"/>
    <mergeCell ref="AQ668:AR668"/>
    <mergeCell ref="C669:D669"/>
    <mergeCell ref="E669:F669"/>
    <mergeCell ref="AO669:AP669"/>
    <mergeCell ref="AQ669:AR669"/>
    <mergeCell ref="C670:D670"/>
    <mergeCell ref="E670:F670"/>
    <mergeCell ref="AO670:AP670"/>
    <mergeCell ref="AQ670:AR670"/>
    <mergeCell ref="C671:D671"/>
    <mergeCell ref="E671:F671"/>
    <mergeCell ref="AO671:AP671"/>
    <mergeCell ref="AQ671:AR671"/>
    <mergeCell ref="C672:D672"/>
    <mergeCell ref="E672:F672"/>
    <mergeCell ref="AO672:AP672"/>
    <mergeCell ref="AQ672:AR672"/>
    <mergeCell ref="C673:D673"/>
    <mergeCell ref="E673:F673"/>
    <mergeCell ref="AO673:AP673"/>
    <mergeCell ref="AQ673:AR673"/>
    <mergeCell ref="C674:D674"/>
    <mergeCell ref="E674:F674"/>
    <mergeCell ref="AO674:AP674"/>
    <mergeCell ref="AQ674:AR674"/>
    <mergeCell ref="C675:D675"/>
    <mergeCell ref="E675:F675"/>
    <mergeCell ref="AO675:AP675"/>
    <mergeCell ref="AQ675:AR675"/>
    <mergeCell ref="C676:D676"/>
    <mergeCell ref="E676:F676"/>
    <mergeCell ref="AO676:AP676"/>
    <mergeCell ref="AQ676:AR676"/>
    <mergeCell ref="C677:D677"/>
    <mergeCell ref="E677:F677"/>
    <mergeCell ref="AO677:AP677"/>
    <mergeCell ref="AQ677:AR677"/>
    <mergeCell ref="C678:D678"/>
    <mergeCell ref="E678:F678"/>
    <mergeCell ref="AO678:AP678"/>
    <mergeCell ref="AQ678:AR678"/>
    <mergeCell ref="C679:D679"/>
    <mergeCell ref="E679:F679"/>
    <mergeCell ref="AO679:AP679"/>
    <mergeCell ref="AQ679:AR679"/>
    <mergeCell ref="C680:D680"/>
    <mergeCell ref="E680:F680"/>
    <mergeCell ref="AO680:AP680"/>
    <mergeCell ref="AQ680:AR680"/>
    <mergeCell ref="C681:D681"/>
    <mergeCell ref="E681:F681"/>
    <mergeCell ref="AO681:AP681"/>
    <mergeCell ref="AQ681:AR681"/>
    <mergeCell ref="C682:D682"/>
    <mergeCell ref="E682:F682"/>
    <mergeCell ref="AO682:AP682"/>
    <mergeCell ref="AQ682:AR682"/>
    <mergeCell ref="C683:D683"/>
    <mergeCell ref="E683:F683"/>
    <mergeCell ref="AO683:AP683"/>
    <mergeCell ref="AQ683:AR683"/>
    <mergeCell ref="C684:D684"/>
    <mergeCell ref="E684:F684"/>
    <mergeCell ref="AO684:AP684"/>
    <mergeCell ref="AQ684:AR684"/>
    <mergeCell ref="C685:D685"/>
    <mergeCell ref="E685:F685"/>
    <mergeCell ref="AO685:AP685"/>
    <mergeCell ref="AQ685:AR685"/>
    <mergeCell ref="C686:D686"/>
    <mergeCell ref="E686:F686"/>
    <mergeCell ref="AO686:AP686"/>
    <mergeCell ref="AQ686:AR686"/>
    <mergeCell ref="C687:D687"/>
    <mergeCell ref="E687:F687"/>
    <mergeCell ref="AO687:AP687"/>
    <mergeCell ref="AQ687:AR687"/>
    <mergeCell ref="C688:D688"/>
    <mergeCell ref="E688:F688"/>
    <mergeCell ref="AO688:AP688"/>
    <mergeCell ref="AQ688:AR688"/>
    <mergeCell ref="C689:D689"/>
    <mergeCell ref="E689:F689"/>
    <mergeCell ref="AO689:AP689"/>
    <mergeCell ref="AQ689:AR689"/>
    <mergeCell ref="C690:D690"/>
    <mergeCell ref="E690:F690"/>
    <mergeCell ref="AO690:AP690"/>
    <mergeCell ref="AQ690:AR690"/>
    <mergeCell ref="C691:D691"/>
    <mergeCell ref="E691:F691"/>
    <mergeCell ref="AO691:AP691"/>
    <mergeCell ref="AQ691:AR691"/>
    <mergeCell ref="C692:D692"/>
    <mergeCell ref="E692:F692"/>
    <mergeCell ref="AO692:AP692"/>
    <mergeCell ref="AQ692:AR692"/>
    <mergeCell ref="C693:D693"/>
    <mergeCell ref="E693:F693"/>
    <mergeCell ref="AO693:AP693"/>
    <mergeCell ref="AQ693:AR693"/>
    <mergeCell ref="C694:D694"/>
    <mergeCell ref="E694:F694"/>
    <mergeCell ref="AO694:AP694"/>
    <mergeCell ref="AQ694:AR694"/>
    <mergeCell ref="C695:D695"/>
    <mergeCell ref="E695:F695"/>
    <mergeCell ref="AO695:AP695"/>
    <mergeCell ref="AQ695:AR695"/>
    <mergeCell ref="C696:D696"/>
    <mergeCell ref="E696:F696"/>
    <mergeCell ref="AO696:AP696"/>
    <mergeCell ref="AQ696:AR696"/>
    <mergeCell ref="C697:D697"/>
    <mergeCell ref="E697:F697"/>
    <mergeCell ref="AO697:AP697"/>
    <mergeCell ref="AQ697:AR697"/>
    <mergeCell ref="C698:D698"/>
    <mergeCell ref="E698:F698"/>
    <mergeCell ref="AO698:AP698"/>
    <mergeCell ref="AQ698:AR698"/>
    <mergeCell ref="C699:D699"/>
    <mergeCell ref="E699:F699"/>
    <mergeCell ref="AO699:AP699"/>
    <mergeCell ref="AQ699:AR699"/>
    <mergeCell ref="C700:D700"/>
    <mergeCell ref="E700:F700"/>
    <mergeCell ref="AO700:AP700"/>
    <mergeCell ref="AQ700:AR700"/>
    <mergeCell ref="C701:D701"/>
    <mergeCell ref="E701:F701"/>
    <mergeCell ref="AO701:AP701"/>
    <mergeCell ref="AQ701:AR701"/>
    <mergeCell ref="C702:D702"/>
    <mergeCell ref="E702:F702"/>
    <mergeCell ref="AO702:AP702"/>
    <mergeCell ref="AQ702:AR702"/>
    <mergeCell ref="C703:D703"/>
    <mergeCell ref="E703:F703"/>
    <mergeCell ref="AO703:AP703"/>
    <mergeCell ref="AQ703:AR703"/>
    <mergeCell ref="C704:D704"/>
    <mergeCell ref="E704:F704"/>
    <mergeCell ref="AO704:AP704"/>
    <mergeCell ref="AQ704:AR704"/>
    <mergeCell ref="C705:D705"/>
    <mergeCell ref="E705:F705"/>
    <mergeCell ref="AO705:AP705"/>
    <mergeCell ref="AQ705:AR705"/>
    <mergeCell ref="C706:D706"/>
    <mergeCell ref="E706:F706"/>
    <mergeCell ref="AO706:AP706"/>
    <mergeCell ref="AQ706:AR706"/>
    <mergeCell ref="C707:D707"/>
    <mergeCell ref="E707:F707"/>
    <mergeCell ref="AO707:AP707"/>
    <mergeCell ref="AQ707:AR707"/>
    <mergeCell ref="C708:D708"/>
    <mergeCell ref="E708:F708"/>
    <mergeCell ref="AO708:AP708"/>
    <mergeCell ref="AQ708:AR708"/>
    <mergeCell ref="C709:D709"/>
    <mergeCell ref="E709:F709"/>
    <mergeCell ref="AO709:AP709"/>
    <mergeCell ref="AQ709:AR709"/>
    <mergeCell ref="C710:D710"/>
    <mergeCell ref="E710:F710"/>
    <mergeCell ref="AO710:AP710"/>
    <mergeCell ref="AQ710:AR710"/>
    <mergeCell ref="C711:D711"/>
    <mergeCell ref="E711:F711"/>
    <mergeCell ref="AO711:AP711"/>
    <mergeCell ref="AQ711:AR711"/>
    <mergeCell ref="C712:D712"/>
    <mergeCell ref="E712:F712"/>
    <mergeCell ref="AO712:AP712"/>
    <mergeCell ref="AQ712:AR712"/>
    <mergeCell ref="C713:D713"/>
    <mergeCell ref="E713:F713"/>
    <mergeCell ref="AO713:AP713"/>
    <mergeCell ref="AQ713:AR713"/>
    <mergeCell ref="C714:D714"/>
    <mergeCell ref="E714:F714"/>
    <mergeCell ref="AO714:AP714"/>
    <mergeCell ref="AQ714:AR714"/>
    <mergeCell ref="C715:D715"/>
    <mergeCell ref="E715:F715"/>
    <mergeCell ref="AO715:AP715"/>
    <mergeCell ref="AQ715:AR715"/>
    <mergeCell ref="C716:D716"/>
    <mergeCell ref="E716:F716"/>
    <mergeCell ref="AO716:AP716"/>
    <mergeCell ref="AQ716:AR716"/>
    <mergeCell ref="C717:D717"/>
    <mergeCell ref="E717:F717"/>
    <mergeCell ref="AO717:AP717"/>
    <mergeCell ref="AQ717:AR717"/>
    <mergeCell ref="C718:D718"/>
    <mergeCell ref="E718:F718"/>
    <mergeCell ref="AO718:AP718"/>
    <mergeCell ref="AQ718:AR718"/>
    <mergeCell ref="C719:D719"/>
    <mergeCell ref="E719:F719"/>
    <mergeCell ref="AO719:AP719"/>
    <mergeCell ref="AQ719:AR719"/>
    <mergeCell ref="C720:D720"/>
    <mergeCell ref="E720:F720"/>
    <mergeCell ref="AO720:AP720"/>
    <mergeCell ref="AQ720:AR720"/>
    <mergeCell ref="C721:D721"/>
    <mergeCell ref="E721:F721"/>
    <mergeCell ref="AO721:AP721"/>
    <mergeCell ref="AQ721:AR721"/>
    <mergeCell ref="C722:D722"/>
    <mergeCell ref="E722:F722"/>
    <mergeCell ref="AO722:AP722"/>
    <mergeCell ref="AQ722:AR722"/>
    <mergeCell ref="C723:D723"/>
    <mergeCell ref="E723:F723"/>
    <mergeCell ref="AO723:AP723"/>
    <mergeCell ref="AQ723:AR723"/>
    <mergeCell ref="C724:D724"/>
    <mergeCell ref="E724:F724"/>
    <mergeCell ref="AO724:AP724"/>
    <mergeCell ref="AQ724:AR724"/>
    <mergeCell ref="C725:D725"/>
    <mergeCell ref="E725:F725"/>
    <mergeCell ref="AO725:AP725"/>
    <mergeCell ref="AQ725:AR725"/>
    <mergeCell ref="C726:D726"/>
    <mergeCell ref="E726:F726"/>
    <mergeCell ref="AO726:AP726"/>
    <mergeCell ref="AQ726:AR726"/>
    <mergeCell ref="C727:D727"/>
    <mergeCell ref="E727:F727"/>
    <mergeCell ref="AO727:AP727"/>
    <mergeCell ref="AQ727:AR727"/>
    <mergeCell ref="C728:D728"/>
    <mergeCell ref="E728:F728"/>
    <mergeCell ref="AO728:AP728"/>
    <mergeCell ref="AQ728:AR728"/>
    <mergeCell ref="C729:D729"/>
    <mergeCell ref="E729:F729"/>
    <mergeCell ref="AO729:AP729"/>
    <mergeCell ref="AQ729:AR729"/>
    <mergeCell ref="C730:D730"/>
    <mergeCell ref="E730:F730"/>
    <mergeCell ref="AO730:AP730"/>
    <mergeCell ref="AQ730:AR730"/>
    <mergeCell ref="C731:D731"/>
    <mergeCell ref="E731:F731"/>
    <mergeCell ref="AO731:AP731"/>
    <mergeCell ref="AQ731:AR731"/>
    <mergeCell ref="C732:D732"/>
    <mergeCell ref="E732:F732"/>
    <mergeCell ref="AO732:AP732"/>
    <mergeCell ref="AQ732:AR732"/>
    <mergeCell ref="C733:D733"/>
    <mergeCell ref="E733:F733"/>
    <mergeCell ref="AO733:AP733"/>
    <mergeCell ref="AQ733:AR733"/>
    <mergeCell ref="C734:D734"/>
    <mergeCell ref="E734:F734"/>
    <mergeCell ref="AO734:AP734"/>
    <mergeCell ref="AQ734:AR734"/>
    <mergeCell ref="C735:D735"/>
    <mergeCell ref="E735:F735"/>
    <mergeCell ref="AO735:AP735"/>
    <mergeCell ref="AQ735:AR735"/>
    <mergeCell ref="C736:D736"/>
    <mergeCell ref="E736:F736"/>
    <mergeCell ref="AO736:AP736"/>
    <mergeCell ref="AQ736:AR736"/>
    <mergeCell ref="C737:D737"/>
    <mergeCell ref="E737:F737"/>
    <mergeCell ref="AO737:AP737"/>
    <mergeCell ref="AQ737:AR737"/>
    <mergeCell ref="C738:D738"/>
    <mergeCell ref="E738:F738"/>
    <mergeCell ref="AO738:AP738"/>
    <mergeCell ref="AQ738:AR738"/>
    <mergeCell ref="C739:D739"/>
    <mergeCell ref="E739:F739"/>
    <mergeCell ref="AO739:AP739"/>
    <mergeCell ref="AQ739:AR739"/>
    <mergeCell ref="C740:D740"/>
    <mergeCell ref="E740:F740"/>
    <mergeCell ref="AO740:AP740"/>
    <mergeCell ref="AQ740:AR740"/>
    <mergeCell ref="C741:D741"/>
    <mergeCell ref="E741:F741"/>
    <mergeCell ref="AO741:AP741"/>
    <mergeCell ref="AQ741:AR741"/>
    <mergeCell ref="C742:D742"/>
    <mergeCell ref="E742:F742"/>
    <mergeCell ref="AO742:AP742"/>
    <mergeCell ref="AQ742:AR742"/>
    <mergeCell ref="C743:D743"/>
    <mergeCell ref="E743:F743"/>
    <mergeCell ref="AO743:AP743"/>
    <mergeCell ref="AQ743:AR743"/>
    <mergeCell ref="C744:D744"/>
    <mergeCell ref="E744:F744"/>
    <mergeCell ref="AO744:AP744"/>
    <mergeCell ref="AQ744:AR744"/>
    <mergeCell ref="C745:D745"/>
    <mergeCell ref="E745:F745"/>
    <mergeCell ref="AO745:AP745"/>
    <mergeCell ref="AQ745:AR745"/>
    <mergeCell ref="C746:D746"/>
    <mergeCell ref="E746:F746"/>
    <mergeCell ref="AO746:AP746"/>
    <mergeCell ref="AQ746:AR746"/>
    <mergeCell ref="C747:D747"/>
    <mergeCell ref="E747:F747"/>
    <mergeCell ref="AO747:AP747"/>
    <mergeCell ref="AQ747:AR747"/>
    <mergeCell ref="C748:D748"/>
    <mergeCell ref="E748:F748"/>
    <mergeCell ref="AO748:AP748"/>
    <mergeCell ref="AQ748:AR748"/>
    <mergeCell ref="C749:D749"/>
    <mergeCell ref="E749:F749"/>
    <mergeCell ref="AO749:AP749"/>
    <mergeCell ref="AQ749:AR749"/>
    <mergeCell ref="C750:D750"/>
    <mergeCell ref="E750:F750"/>
    <mergeCell ref="AO750:AP750"/>
    <mergeCell ref="AQ750:AR750"/>
    <mergeCell ref="C751:D751"/>
    <mergeCell ref="E751:F751"/>
    <mergeCell ref="AO751:AP751"/>
    <mergeCell ref="AQ751:AR751"/>
    <mergeCell ref="C752:D752"/>
    <mergeCell ref="E752:F752"/>
    <mergeCell ref="AO752:AP752"/>
    <mergeCell ref="AQ752:AR752"/>
    <mergeCell ref="C753:D753"/>
    <mergeCell ref="E753:F753"/>
    <mergeCell ref="AO753:AP753"/>
    <mergeCell ref="AQ753:AR753"/>
    <mergeCell ref="C754:D754"/>
    <mergeCell ref="E754:F754"/>
    <mergeCell ref="AO754:AP754"/>
    <mergeCell ref="AQ754:AR754"/>
    <mergeCell ref="C755:D755"/>
    <mergeCell ref="E755:F755"/>
    <mergeCell ref="AO755:AP755"/>
    <mergeCell ref="AQ755:AR755"/>
    <mergeCell ref="C756:D756"/>
    <mergeCell ref="E756:F756"/>
    <mergeCell ref="AO756:AP756"/>
    <mergeCell ref="AQ756:AR756"/>
    <mergeCell ref="C757:D757"/>
    <mergeCell ref="E757:F757"/>
    <mergeCell ref="AO757:AP757"/>
    <mergeCell ref="AQ757:AR757"/>
    <mergeCell ref="C758:D758"/>
    <mergeCell ref="E758:F758"/>
    <mergeCell ref="AO758:AP758"/>
    <mergeCell ref="AQ758:AR758"/>
    <mergeCell ref="C759:D759"/>
    <mergeCell ref="E759:F759"/>
    <mergeCell ref="AO759:AP759"/>
    <mergeCell ref="AQ759:AR759"/>
    <mergeCell ref="C760:D760"/>
    <mergeCell ref="E760:F760"/>
    <mergeCell ref="AO760:AP760"/>
    <mergeCell ref="AQ760:AR760"/>
    <mergeCell ref="C761:D761"/>
    <mergeCell ref="E761:F761"/>
    <mergeCell ref="AO761:AP761"/>
    <mergeCell ref="AQ761:AR761"/>
    <mergeCell ref="C762:D762"/>
    <mergeCell ref="E762:F762"/>
    <mergeCell ref="AO762:AP762"/>
    <mergeCell ref="AQ762:AR762"/>
    <mergeCell ref="C763:D763"/>
    <mergeCell ref="E763:F763"/>
    <mergeCell ref="AO763:AP763"/>
    <mergeCell ref="AQ763:AR763"/>
    <mergeCell ref="C764:D764"/>
    <mergeCell ref="E764:F764"/>
    <mergeCell ref="AO764:AP764"/>
    <mergeCell ref="AQ764:AR764"/>
    <mergeCell ref="C765:D765"/>
    <mergeCell ref="E765:F765"/>
    <mergeCell ref="AO765:AP765"/>
    <mergeCell ref="AQ765:AR765"/>
    <mergeCell ref="C766:D766"/>
    <mergeCell ref="E766:F766"/>
    <mergeCell ref="AO766:AP766"/>
    <mergeCell ref="AQ766:AR766"/>
    <mergeCell ref="C767:D767"/>
    <mergeCell ref="E767:F767"/>
    <mergeCell ref="AO767:AP767"/>
    <mergeCell ref="AQ767:AR767"/>
    <mergeCell ref="C768:D768"/>
    <mergeCell ref="E768:F768"/>
    <mergeCell ref="AO768:AP768"/>
    <mergeCell ref="AQ768:AR768"/>
    <mergeCell ref="C769:D769"/>
    <mergeCell ref="E769:F769"/>
    <mergeCell ref="AO769:AP769"/>
    <mergeCell ref="AQ769:AR769"/>
    <mergeCell ref="C770:D770"/>
    <mergeCell ref="E770:F770"/>
    <mergeCell ref="AO770:AP770"/>
    <mergeCell ref="AQ770:AR770"/>
    <mergeCell ref="C771:D771"/>
    <mergeCell ref="E771:F771"/>
    <mergeCell ref="AO771:AP771"/>
    <mergeCell ref="AQ771:AR771"/>
    <mergeCell ref="C772:D772"/>
    <mergeCell ref="E772:F772"/>
    <mergeCell ref="AO772:AP772"/>
    <mergeCell ref="AQ772:AR772"/>
    <mergeCell ref="C773:D773"/>
    <mergeCell ref="E773:F773"/>
    <mergeCell ref="AO773:AP773"/>
    <mergeCell ref="AQ773:AR773"/>
    <mergeCell ref="C774:D774"/>
    <mergeCell ref="E774:F774"/>
    <mergeCell ref="AO774:AP774"/>
    <mergeCell ref="AQ774:AR774"/>
    <mergeCell ref="C775:D775"/>
    <mergeCell ref="E775:F775"/>
    <mergeCell ref="AO775:AP775"/>
    <mergeCell ref="AQ775:AR775"/>
    <mergeCell ref="C776:D776"/>
    <mergeCell ref="E776:F776"/>
    <mergeCell ref="AO776:AP776"/>
    <mergeCell ref="AQ776:AR776"/>
    <mergeCell ref="C777:D777"/>
    <mergeCell ref="E777:F777"/>
    <mergeCell ref="AO777:AP777"/>
    <mergeCell ref="AQ777:AR777"/>
    <mergeCell ref="C778:D778"/>
    <mergeCell ref="E778:F778"/>
    <mergeCell ref="AO778:AP778"/>
    <mergeCell ref="AQ778:AR778"/>
    <mergeCell ref="C779:D779"/>
    <mergeCell ref="E779:F779"/>
    <mergeCell ref="AO779:AP779"/>
    <mergeCell ref="AQ779:AR779"/>
    <mergeCell ref="C780:D780"/>
    <mergeCell ref="E780:F780"/>
    <mergeCell ref="AO780:AP780"/>
    <mergeCell ref="AQ780:AR780"/>
    <mergeCell ref="C781:D781"/>
    <mergeCell ref="E781:F781"/>
    <mergeCell ref="AO781:AP781"/>
    <mergeCell ref="AQ781:AR781"/>
    <mergeCell ref="C782:D782"/>
    <mergeCell ref="E782:F782"/>
    <mergeCell ref="AO782:AP782"/>
    <mergeCell ref="AQ782:AR782"/>
    <mergeCell ref="C783:D783"/>
    <mergeCell ref="E783:F783"/>
    <mergeCell ref="AO783:AP783"/>
    <mergeCell ref="AQ783:AR783"/>
    <mergeCell ref="C784:D784"/>
    <mergeCell ref="E784:F784"/>
    <mergeCell ref="AO784:AP784"/>
    <mergeCell ref="AQ784:AR784"/>
    <mergeCell ref="C785:D785"/>
    <mergeCell ref="E785:F785"/>
    <mergeCell ref="AO785:AP785"/>
    <mergeCell ref="AQ785:AR785"/>
    <mergeCell ref="C786:D786"/>
    <mergeCell ref="E786:F786"/>
    <mergeCell ref="AO786:AP786"/>
    <mergeCell ref="AQ786:AR786"/>
    <mergeCell ref="C787:D787"/>
    <mergeCell ref="E787:F787"/>
    <mergeCell ref="AO787:AP787"/>
    <mergeCell ref="AQ787:AR787"/>
    <mergeCell ref="C788:D788"/>
    <mergeCell ref="E788:F788"/>
    <mergeCell ref="AO788:AP788"/>
    <mergeCell ref="AQ788:AR788"/>
    <mergeCell ref="C789:D789"/>
    <mergeCell ref="E789:F789"/>
    <mergeCell ref="AO789:AP789"/>
    <mergeCell ref="AQ789:AR789"/>
    <mergeCell ref="C790:D790"/>
    <mergeCell ref="E790:F790"/>
    <mergeCell ref="AO790:AP790"/>
    <mergeCell ref="AQ790:AR790"/>
    <mergeCell ref="C791:D791"/>
    <mergeCell ref="E791:F791"/>
    <mergeCell ref="AO791:AP791"/>
    <mergeCell ref="AQ791:AR791"/>
    <mergeCell ref="C792:D792"/>
    <mergeCell ref="E792:F792"/>
    <mergeCell ref="AO792:AP792"/>
    <mergeCell ref="AQ792:AR792"/>
    <mergeCell ref="C793:D793"/>
    <mergeCell ref="E793:F793"/>
    <mergeCell ref="AO793:AP793"/>
    <mergeCell ref="AQ793:AR793"/>
    <mergeCell ref="C794:D794"/>
    <mergeCell ref="E794:F794"/>
    <mergeCell ref="AO794:AP794"/>
    <mergeCell ref="AQ794:AR794"/>
    <mergeCell ref="C795:D795"/>
    <mergeCell ref="E795:F795"/>
    <mergeCell ref="AO795:AP795"/>
    <mergeCell ref="AQ795:AR795"/>
    <mergeCell ref="C796:D796"/>
    <mergeCell ref="E796:F796"/>
    <mergeCell ref="AO796:AP796"/>
    <mergeCell ref="AQ796:AR796"/>
    <mergeCell ref="C797:D797"/>
    <mergeCell ref="E797:F797"/>
    <mergeCell ref="AO797:AP797"/>
    <mergeCell ref="AQ797:AR797"/>
    <mergeCell ref="C798:D798"/>
    <mergeCell ref="E798:F798"/>
    <mergeCell ref="AO798:AP798"/>
    <mergeCell ref="AQ798:AR798"/>
    <mergeCell ref="C799:D799"/>
    <mergeCell ref="E799:F799"/>
    <mergeCell ref="AO799:AP799"/>
    <mergeCell ref="AQ799:AR799"/>
    <mergeCell ref="C800:D800"/>
    <mergeCell ref="E800:F800"/>
    <mergeCell ref="AO800:AP800"/>
    <mergeCell ref="AQ800:AR800"/>
    <mergeCell ref="C801:D801"/>
    <mergeCell ref="E801:F801"/>
    <mergeCell ref="AO801:AP801"/>
    <mergeCell ref="AQ801:AR801"/>
    <mergeCell ref="C802:D802"/>
    <mergeCell ref="E802:F802"/>
    <mergeCell ref="AO802:AP802"/>
    <mergeCell ref="AQ802:AR802"/>
    <mergeCell ref="C803:D803"/>
    <mergeCell ref="E803:F803"/>
    <mergeCell ref="AO803:AP803"/>
    <mergeCell ref="AQ803:AR803"/>
    <mergeCell ref="C804:D804"/>
    <mergeCell ref="E804:F804"/>
    <mergeCell ref="AO804:AP804"/>
    <mergeCell ref="AQ804:AR804"/>
    <mergeCell ref="C805:D805"/>
    <mergeCell ref="E805:F805"/>
    <mergeCell ref="AO805:AP805"/>
    <mergeCell ref="AQ805:AR805"/>
    <mergeCell ref="C806:D806"/>
    <mergeCell ref="E806:F806"/>
    <mergeCell ref="AO806:AP806"/>
    <mergeCell ref="AQ806:AR806"/>
    <mergeCell ref="C807:D807"/>
    <mergeCell ref="E807:F807"/>
    <mergeCell ref="AO807:AP807"/>
    <mergeCell ref="AQ807:AR807"/>
    <mergeCell ref="C808:D808"/>
    <mergeCell ref="E808:F808"/>
    <mergeCell ref="AO808:AP808"/>
    <mergeCell ref="AQ808:AR808"/>
    <mergeCell ref="C809:D809"/>
    <mergeCell ref="E809:F809"/>
    <mergeCell ref="AO809:AP809"/>
    <mergeCell ref="AQ809:AR809"/>
    <mergeCell ref="C810:D810"/>
    <mergeCell ref="E810:F810"/>
    <mergeCell ref="AO810:AP810"/>
    <mergeCell ref="AQ810:AR810"/>
    <mergeCell ref="C811:D811"/>
    <mergeCell ref="E811:F811"/>
    <mergeCell ref="AO811:AP811"/>
    <mergeCell ref="AQ811:AR811"/>
    <mergeCell ref="C812:D812"/>
    <mergeCell ref="E812:F812"/>
    <mergeCell ref="AO812:AP812"/>
    <mergeCell ref="AQ812:AR812"/>
    <mergeCell ref="C813:D813"/>
    <mergeCell ref="E813:F813"/>
    <mergeCell ref="AO813:AP813"/>
    <mergeCell ref="AQ813:AR813"/>
    <mergeCell ref="C814:D814"/>
    <mergeCell ref="E814:F814"/>
    <mergeCell ref="AO814:AP814"/>
    <mergeCell ref="AQ814:AR814"/>
    <mergeCell ref="C815:D815"/>
    <mergeCell ref="E815:F815"/>
    <mergeCell ref="AO815:AP815"/>
    <mergeCell ref="AQ815:AR815"/>
    <mergeCell ref="C816:D816"/>
    <mergeCell ref="E816:F816"/>
    <mergeCell ref="AO816:AP816"/>
    <mergeCell ref="AQ816:AR816"/>
    <mergeCell ref="C817:D817"/>
    <mergeCell ref="E817:F817"/>
    <mergeCell ref="AO817:AP817"/>
    <mergeCell ref="AQ817:AR817"/>
    <mergeCell ref="C818:D818"/>
    <mergeCell ref="E818:F818"/>
    <mergeCell ref="AO818:AP818"/>
    <mergeCell ref="AQ818:AR818"/>
    <mergeCell ref="C819:D819"/>
    <mergeCell ref="E819:F819"/>
    <mergeCell ref="AO819:AP819"/>
    <mergeCell ref="AQ819:AR819"/>
    <mergeCell ref="C820:D820"/>
    <mergeCell ref="E820:F820"/>
    <mergeCell ref="AO820:AP820"/>
    <mergeCell ref="AQ820:AR820"/>
    <mergeCell ref="C821:D821"/>
    <mergeCell ref="E821:F821"/>
    <mergeCell ref="AO821:AP821"/>
    <mergeCell ref="AQ821:AR821"/>
    <mergeCell ref="C822:D822"/>
    <mergeCell ref="E822:F822"/>
    <mergeCell ref="AO822:AP822"/>
    <mergeCell ref="AQ822:AR822"/>
    <mergeCell ref="C823:D823"/>
    <mergeCell ref="E823:F823"/>
    <mergeCell ref="AO823:AP823"/>
    <mergeCell ref="AQ823:AR823"/>
    <mergeCell ref="C824:D824"/>
    <mergeCell ref="E824:F824"/>
    <mergeCell ref="AO824:AP824"/>
    <mergeCell ref="AQ824:AR824"/>
    <mergeCell ref="C825:D825"/>
    <mergeCell ref="E825:F825"/>
    <mergeCell ref="AO825:AP825"/>
    <mergeCell ref="AQ825:AR825"/>
    <mergeCell ref="C826:D826"/>
    <mergeCell ref="E826:F826"/>
    <mergeCell ref="AO826:AP826"/>
    <mergeCell ref="AQ826:AR826"/>
    <mergeCell ref="C827:D827"/>
    <mergeCell ref="E827:F827"/>
    <mergeCell ref="AO827:AP827"/>
    <mergeCell ref="AQ827:AR827"/>
    <mergeCell ref="C828:D828"/>
    <mergeCell ref="E828:F828"/>
    <mergeCell ref="AO828:AP828"/>
    <mergeCell ref="AQ828:AR828"/>
    <mergeCell ref="C829:D829"/>
    <mergeCell ref="E829:F829"/>
    <mergeCell ref="AO829:AP829"/>
    <mergeCell ref="AQ829:AR829"/>
    <mergeCell ref="C830:D830"/>
    <mergeCell ref="E830:F830"/>
    <mergeCell ref="AO830:AP830"/>
    <mergeCell ref="AQ830:AR830"/>
    <mergeCell ref="C831:D831"/>
    <mergeCell ref="E831:F831"/>
    <mergeCell ref="AO831:AP831"/>
    <mergeCell ref="AQ831:AR831"/>
    <mergeCell ref="C832:D832"/>
    <mergeCell ref="E832:F832"/>
    <mergeCell ref="AO832:AP832"/>
    <mergeCell ref="AQ832:AR832"/>
    <mergeCell ref="C833:D833"/>
    <mergeCell ref="E833:F833"/>
    <mergeCell ref="AO833:AP833"/>
    <mergeCell ref="AQ833:AR833"/>
    <mergeCell ref="C834:D834"/>
    <mergeCell ref="E834:F834"/>
    <mergeCell ref="AO834:AP834"/>
    <mergeCell ref="AQ834:AR834"/>
    <mergeCell ref="C835:D835"/>
    <mergeCell ref="E835:F835"/>
    <mergeCell ref="AO835:AP835"/>
    <mergeCell ref="AQ835:AR835"/>
    <mergeCell ref="C836:D836"/>
    <mergeCell ref="E836:F836"/>
    <mergeCell ref="AO836:AP836"/>
    <mergeCell ref="AQ836:AR836"/>
    <mergeCell ref="C837:D837"/>
    <mergeCell ref="E837:F837"/>
    <mergeCell ref="AO837:AP837"/>
    <mergeCell ref="AQ837:AR837"/>
    <mergeCell ref="C838:D838"/>
    <mergeCell ref="E838:F838"/>
    <mergeCell ref="AO838:AP838"/>
    <mergeCell ref="AQ838:AR838"/>
    <mergeCell ref="C839:D839"/>
    <mergeCell ref="E839:F839"/>
    <mergeCell ref="AO839:AP839"/>
    <mergeCell ref="AQ839:AR839"/>
    <mergeCell ref="C840:D840"/>
    <mergeCell ref="E840:F840"/>
    <mergeCell ref="AO840:AP840"/>
    <mergeCell ref="AQ840:AR840"/>
    <mergeCell ref="C841:D841"/>
    <mergeCell ref="E841:F841"/>
    <mergeCell ref="AO841:AP841"/>
    <mergeCell ref="AQ841:AR841"/>
    <mergeCell ref="C842:D842"/>
    <mergeCell ref="E842:F842"/>
    <mergeCell ref="AO842:AP842"/>
    <mergeCell ref="AQ842:AR842"/>
    <mergeCell ref="C843:D843"/>
    <mergeCell ref="E843:F843"/>
    <mergeCell ref="AO843:AP843"/>
    <mergeCell ref="AQ843:AR843"/>
    <mergeCell ref="C844:D844"/>
    <mergeCell ref="E844:F844"/>
    <mergeCell ref="AO844:AP844"/>
    <mergeCell ref="AQ844:AR844"/>
    <mergeCell ref="C845:D845"/>
    <mergeCell ref="E845:F845"/>
    <mergeCell ref="AO845:AP845"/>
    <mergeCell ref="AQ845:AR845"/>
    <mergeCell ref="C846:D846"/>
    <mergeCell ref="E846:F846"/>
    <mergeCell ref="AO846:AP846"/>
    <mergeCell ref="AQ846:AR846"/>
    <mergeCell ref="C847:D847"/>
    <mergeCell ref="E847:F847"/>
    <mergeCell ref="AO847:AP847"/>
    <mergeCell ref="AQ847:AR847"/>
    <mergeCell ref="C848:D848"/>
    <mergeCell ref="E848:F848"/>
    <mergeCell ref="AO848:AP848"/>
    <mergeCell ref="AQ848:AR848"/>
    <mergeCell ref="C849:D849"/>
    <mergeCell ref="E849:F849"/>
    <mergeCell ref="AO849:AP849"/>
    <mergeCell ref="AQ849:AR849"/>
    <mergeCell ref="C850:D850"/>
    <mergeCell ref="E850:F850"/>
    <mergeCell ref="AO850:AP850"/>
    <mergeCell ref="AQ850:AR850"/>
    <mergeCell ref="C851:D851"/>
    <mergeCell ref="E851:F851"/>
    <mergeCell ref="AO851:AP851"/>
    <mergeCell ref="AQ851:AR851"/>
    <mergeCell ref="C852:D852"/>
    <mergeCell ref="E852:F852"/>
    <mergeCell ref="AO852:AP852"/>
    <mergeCell ref="AQ852:AR852"/>
    <mergeCell ref="C853:D853"/>
    <mergeCell ref="E853:F853"/>
    <mergeCell ref="AO853:AP853"/>
    <mergeCell ref="AQ853:AR853"/>
    <mergeCell ref="C854:D854"/>
    <mergeCell ref="E854:F854"/>
    <mergeCell ref="AO854:AP854"/>
    <mergeCell ref="AQ854:AR854"/>
    <mergeCell ref="C855:D855"/>
    <mergeCell ref="E855:F855"/>
    <mergeCell ref="AO855:AP855"/>
    <mergeCell ref="AQ855:AR855"/>
    <mergeCell ref="C856:D856"/>
    <mergeCell ref="E856:F856"/>
    <mergeCell ref="AO856:AP856"/>
    <mergeCell ref="AQ856:AR856"/>
    <mergeCell ref="C857:D857"/>
    <mergeCell ref="E857:F857"/>
    <mergeCell ref="AO857:AP857"/>
    <mergeCell ref="AQ857:AR857"/>
    <mergeCell ref="C858:D858"/>
    <mergeCell ref="E858:F858"/>
    <mergeCell ref="AO858:AP858"/>
    <mergeCell ref="AQ858:AR858"/>
    <mergeCell ref="C859:D859"/>
    <mergeCell ref="E859:F859"/>
    <mergeCell ref="AO859:AP859"/>
    <mergeCell ref="AQ859:AR859"/>
    <mergeCell ref="C860:D860"/>
    <mergeCell ref="E860:F860"/>
    <mergeCell ref="AO860:AP860"/>
    <mergeCell ref="AQ860:AR860"/>
    <mergeCell ref="C861:D861"/>
    <mergeCell ref="E861:F861"/>
    <mergeCell ref="AO861:AP861"/>
    <mergeCell ref="AQ861:AR861"/>
    <mergeCell ref="C862:D862"/>
    <mergeCell ref="E862:F862"/>
    <mergeCell ref="AO862:AP862"/>
    <mergeCell ref="AQ862:AR862"/>
    <mergeCell ref="C863:D863"/>
    <mergeCell ref="E863:F863"/>
    <mergeCell ref="AO863:AP863"/>
    <mergeCell ref="AQ863:AR863"/>
    <mergeCell ref="C864:D864"/>
    <mergeCell ref="E864:F864"/>
    <mergeCell ref="AO864:AP864"/>
    <mergeCell ref="AQ864:AR864"/>
    <mergeCell ref="C865:D865"/>
    <mergeCell ref="E865:F865"/>
    <mergeCell ref="AO865:AP865"/>
    <mergeCell ref="AQ865:AR865"/>
    <mergeCell ref="C866:D866"/>
    <mergeCell ref="E866:F866"/>
    <mergeCell ref="AO866:AP866"/>
    <mergeCell ref="AQ866:AR866"/>
    <mergeCell ref="C867:D867"/>
    <mergeCell ref="E867:F867"/>
    <mergeCell ref="AO867:AP867"/>
    <mergeCell ref="AQ867:AR867"/>
    <mergeCell ref="C868:D868"/>
    <mergeCell ref="E868:F868"/>
    <mergeCell ref="AO868:AP868"/>
    <mergeCell ref="AQ868:AR868"/>
    <mergeCell ref="C869:D869"/>
    <mergeCell ref="E869:F869"/>
    <mergeCell ref="AO869:AP869"/>
    <mergeCell ref="AQ869:AR869"/>
    <mergeCell ref="C870:D870"/>
    <mergeCell ref="E870:F870"/>
    <mergeCell ref="AO870:AP870"/>
    <mergeCell ref="AQ870:AR870"/>
    <mergeCell ref="C871:D871"/>
    <mergeCell ref="E871:F871"/>
    <mergeCell ref="AO871:AP871"/>
    <mergeCell ref="AQ871:AR871"/>
    <mergeCell ref="C872:D872"/>
    <mergeCell ref="E872:F872"/>
    <mergeCell ref="AO872:AP872"/>
    <mergeCell ref="AQ872:AR872"/>
    <mergeCell ref="C873:D873"/>
    <mergeCell ref="E873:F873"/>
    <mergeCell ref="AO873:AP873"/>
    <mergeCell ref="AQ873:AR873"/>
    <mergeCell ref="C874:D874"/>
    <mergeCell ref="E874:F874"/>
    <mergeCell ref="AO874:AP874"/>
    <mergeCell ref="AQ874:AR874"/>
    <mergeCell ref="C875:D875"/>
    <mergeCell ref="E875:F875"/>
    <mergeCell ref="AO875:AP875"/>
    <mergeCell ref="AQ875:AR875"/>
    <mergeCell ref="C876:D876"/>
    <mergeCell ref="E876:F876"/>
    <mergeCell ref="AO876:AP876"/>
    <mergeCell ref="AQ876:AR876"/>
    <mergeCell ref="C877:D877"/>
    <mergeCell ref="E877:F877"/>
    <mergeCell ref="AO877:AP877"/>
    <mergeCell ref="AQ877:AR877"/>
    <mergeCell ref="C878:D878"/>
    <mergeCell ref="E878:F878"/>
    <mergeCell ref="AO878:AP878"/>
    <mergeCell ref="AQ878:AR878"/>
    <mergeCell ref="C879:D879"/>
    <mergeCell ref="E879:F879"/>
    <mergeCell ref="AO879:AP879"/>
    <mergeCell ref="AQ879:AR879"/>
    <mergeCell ref="C880:D880"/>
    <mergeCell ref="E880:F880"/>
    <mergeCell ref="AO880:AP880"/>
    <mergeCell ref="AQ880:AR880"/>
    <mergeCell ref="C881:D881"/>
    <mergeCell ref="E881:F881"/>
    <mergeCell ref="AO881:AP881"/>
    <mergeCell ref="AQ881:AR881"/>
    <mergeCell ref="C882:D882"/>
    <mergeCell ref="E882:F882"/>
    <mergeCell ref="AO882:AP882"/>
    <mergeCell ref="AQ882:AR882"/>
    <mergeCell ref="C883:D883"/>
    <mergeCell ref="E883:F883"/>
    <mergeCell ref="AO883:AP883"/>
    <mergeCell ref="AQ883:AR883"/>
    <mergeCell ref="C884:D884"/>
    <mergeCell ref="E884:F884"/>
    <mergeCell ref="AO884:AP884"/>
    <mergeCell ref="AQ884:AR884"/>
    <mergeCell ref="C885:D885"/>
    <mergeCell ref="E885:F885"/>
    <mergeCell ref="AO885:AP885"/>
    <mergeCell ref="AQ885:AR885"/>
    <mergeCell ref="C886:D886"/>
    <mergeCell ref="E886:F886"/>
    <mergeCell ref="AO886:AP886"/>
    <mergeCell ref="AQ886:AR886"/>
    <mergeCell ref="C887:D887"/>
    <mergeCell ref="E887:F887"/>
    <mergeCell ref="AO887:AP887"/>
    <mergeCell ref="AQ887:AR887"/>
    <mergeCell ref="C888:D888"/>
    <mergeCell ref="E888:F888"/>
    <mergeCell ref="AO888:AP888"/>
    <mergeCell ref="AQ888:AR888"/>
    <mergeCell ref="C889:D889"/>
    <mergeCell ref="E889:F889"/>
    <mergeCell ref="AO889:AP889"/>
    <mergeCell ref="AQ889:AR889"/>
    <mergeCell ref="C890:D890"/>
    <mergeCell ref="E890:F890"/>
    <mergeCell ref="AO890:AP890"/>
    <mergeCell ref="AQ890:AR890"/>
    <mergeCell ref="C891:D891"/>
    <mergeCell ref="E891:F891"/>
    <mergeCell ref="AO891:AP891"/>
    <mergeCell ref="AQ891:AR891"/>
    <mergeCell ref="C892:D892"/>
    <mergeCell ref="E892:F892"/>
    <mergeCell ref="AO892:AP892"/>
    <mergeCell ref="AQ892:AR892"/>
    <mergeCell ref="C893:D893"/>
    <mergeCell ref="E893:F893"/>
    <mergeCell ref="AO893:AP893"/>
    <mergeCell ref="AQ893:AR893"/>
    <mergeCell ref="C894:D894"/>
    <mergeCell ref="E894:F894"/>
    <mergeCell ref="AO894:AP894"/>
    <mergeCell ref="AQ894:AR894"/>
    <mergeCell ref="C895:D895"/>
    <mergeCell ref="E895:F895"/>
    <mergeCell ref="AO895:AP895"/>
    <mergeCell ref="AQ895:AR895"/>
    <mergeCell ref="C896:D896"/>
    <mergeCell ref="E896:F896"/>
    <mergeCell ref="AO896:AP896"/>
    <mergeCell ref="AQ896:AR896"/>
    <mergeCell ref="C897:D897"/>
    <mergeCell ref="E897:F897"/>
    <mergeCell ref="AO897:AP897"/>
    <mergeCell ref="AQ897:AR897"/>
    <mergeCell ref="C898:D898"/>
    <mergeCell ref="E898:F898"/>
    <mergeCell ref="AO898:AP898"/>
    <mergeCell ref="AQ898:AR898"/>
    <mergeCell ref="C899:D899"/>
    <mergeCell ref="E899:F899"/>
    <mergeCell ref="AO899:AP899"/>
    <mergeCell ref="AQ899:AR899"/>
    <mergeCell ref="C900:D900"/>
    <mergeCell ref="E900:F900"/>
    <mergeCell ref="AO900:AP900"/>
    <mergeCell ref="AQ900:AR900"/>
    <mergeCell ref="C901:D901"/>
    <mergeCell ref="E901:F901"/>
    <mergeCell ref="AO901:AP901"/>
    <mergeCell ref="AQ901:AR901"/>
    <mergeCell ref="C902:D902"/>
    <mergeCell ref="E902:F902"/>
    <mergeCell ref="AO902:AP902"/>
    <mergeCell ref="AQ902:AR902"/>
    <mergeCell ref="C903:D903"/>
    <mergeCell ref="E903:F903"/>
    <mergeCell ref="AO903:AP903"/>
    <mergeCell ref="AQ903:AR903"/>
    <mergeCell ref="C904:D904"/>
    <mergeCell ref="E904:F904"/>
    <mergeCell ref="AO904:AP904"/>
    <mergeCell ref="AQ904:AR904"/>
    <mergeCell ref="C905:D905"/>
    <mergeCell ref="E905:F905"/>
    <mergeCell ref="AO905:AP905"/>
    <mergeCell ref="AQ905:AR905"/>
    <mergeCell ref="C906:D906"/>
    <mergeCell ref="E906:F906"/>
    <mergeCell ref="AO906:AP906"/>
    <mergeCell ref="AQ906:AR906"/>
    <mergeCell ref="C907:D907"/>
    <mergeCell ref="E907:F907"/>
    <mergeCell ref="AO907:AP907"/>
    <mergeCell ref="AQ907:AR907"/>
    <mergeCell ref="C908:D908"/>
    <mergeCell ref="E908:F908"/>
    <mergeCell ref="AO908:AP908"/>
    <mergeCell ref="AQ908:AR908"/>
    <mergeCell ref="C909:D909"/>
    <mergeCell ref="E909:F909"/>
    <mergeCell ref="AO909:AP909"/>
    <mergeCell ref="AQ909:AR909"/>
    <mergeCell ref="C910:D910"/>
    <mergeCell ref="E910:F910"/>
    <mergeCell ref="AO910:AP910"/>
    <mergeCell ref="AQ910:AR910"/>
    <mergeCell ref="C911:D911"/>
    <mergeCell ref="E911:F911"/>
    <mergeCell ref="AO911:AP911"/>
    <mergeCell ref="AQ911:AR911"/>
    <mergeCell ref="C912:D912"/>
    <mergeCell ref="E912:F912"/>
    <mergeCell ref="AO912:AP912"/>
    <mergeCell ref="AQ912:AR912"/>
    <mergeCell ref="C913:D913"/>
    <mergeCell ref="E913:F913"/>
    <mergeCell ref="AO913:AP913"/>
    <mergeCell ref="AQ913:AR913"/>
    <mergeCell ref="C914:D914"/>
    <mergeCell ref="E914:F914"/>
    <mergeCell ref="AO914:AP914"/>
    <mergeCell ref="AQ914:AR914"/>
    <mergeCell ref="C915:D915"/>
    <mergeCell ref="E915:F915"/>
    <mergeCell ref="AO915:AP915"/>
    <mergeCell ref="AQ915:AR915"/>
    <mergeCell ref="C916:D916"/>
    <mergeCell ref="E916:F916"/>
    <mergeCell ref="AO916:AP916"/>
    <mergeCell ref="AQ916:AR916"/>
    <mergeCell ref="C917:D917"/>
    <mergeCell ref="E917:F917"/>
    <mergeCell ref="AO917:AP917"/>
    <mergeCell ref="AQ917:AR917"/>
    <mergeCell ref="C918:D918"/>
    <mergeCell ref="E918:F918"/>
    <mergeCell ref="AO918:AP918"/>
    <mergeCell ref="AQ918:AR918"/>
    <mergeCell ref="C919:D919"/>
    <mergeCell ref="E919:F919"/>
    <mergeCell ref="AO919:AP919"/>
    <mergeCell ref="AQ919:AR919"/>
    <mergeCell ref="C920:D920"/>
    <mergeCell ref="E920:F920"/>
    <mergeCell ref="AO920:AP920"/>
    <mergeCell ref="AQ920:AR920"/>
    <mergeCell ref="C921:D921"/>
    <mergeCell ref="E921:F921"/>
    <mergeCell ref="AO921:AP921"/>
    <mergeCell ref="AQ921:AR921"/>
    <mergeCell ref="C922:D922"/>
    <mergeCell ref="E922:F922"/>
    <mergeCell ref="AO922:AP922"/>
    <mergeCell ref="AQ922:AR922"/>
    <mergeCell ref="C923:D923"/>
    <mergeCell ref="E923:F923"/>
    <mergeCell ref="AO923:AP923"/>
    <mergeCell ref="AQ923:AR923"/>
    <mergeCell ref="C924:D924"/>
    <mergeCell ref="E924:F924"/>
    <mergeCell ref="AO924:AP924"/>
    <mergeCell ref="AQ924:AR924"/>
    <mergeCell ref="C925:D925"/>
    <mergeCell ref="E925:F925"/>
    <mergeCell ref="AO925:AP925"/>
    <mergeCell ref="AQ925:AR925"/>
    <mergeCell ref="C926:D926"/>
    <mergeCell ref="E926:F926"/>
    <mergeCell ref="AO926:AP926"/>
    <mergeCell ref="AQ926:AR926"/>
    <mergeCell ref="C927:D927"/>
    <mergeCell ref="E927:F927"/>
    <mergeCell ref="AO927:AP927"/>
    <mergeCell ref="AQ927:AR927"/>
    <mergeCell ref="C928:D928"/>
    <mergeCell ref="E928:F928"/>
    <mergeCell ref="AO928:AP928"/>
    <mergeCell ref="AQ928:AR928"/>
    <mergeCell ref="C929:D929"/>
    <mergeCell ref="E929:F929"/>
    <mergeCell ref="AO929:AP929"/>
    <mergeCell ref="AQ929:AR929"/>
    <mergeCell ref="C930:D930"/>
    <mergeCell ref="E930:F930"/>
    <mergeCell ref="AO930:AP930"/>
    <mergeCell ref="AQ930:AR930"/>
    <mergeCell ref="C931:D931"/>
    <mergeCell ref="E931:F931"/>
    <mergeCell ref="AO931:AP931"/>
    <mergeCell ref="AQ931:AR931"/>
    <mergeCell ref="C932:D932"/>
    <mergeCell ref="E932:F932"/>
    <mergeCell ref="AO932:AP932"/>
    <mergeCell ref="AQ932:AR932"/>
    <mergeCell ref="C933:D933"/>
    <mergeCell ref="E933:F933"/>
    <mergeCell ref="AO933:AP933"/>
    <mergeCell ref="AQ933:AR933"/>
    <mergeCell ref="C934:D934"/>
    <mergeCell ref="E934:F934"/>
    <mergeCell ref="AO934:AP934"/>
    <mergeCell ref="AQ934:AR934"/>
    <mergeCell ref="C935:D935"/>
    <mergeCell ref="E935:F935"/>
    <mergeCell ref="AO935:AP935"/>
    <mergeCell ref="AQ935:AR935"/>
    <mergeCell ref="C936:D936"/>
    <mergeCell ref="E936:F936"/>
    <mergeCell ref="AO936:AP936"/>
    <mergeCell ref="AQ936:AR936"/>
    <mergeCell ref="C937:D937"/>
    <mergeCell ref="E937:F937"/>
    <mergeCell ref="AO937:AP937"/>
    <mergeCell ref="AQ937:AR937"/>
    <mergeCell ref="C938:D938"/>
    <mergeCell ref="E938:F938"/>
    <mergeCell ref="AO938:AP938"/>
    <mergeCell ref="AQ938:AR938"/>
    <mergeCell ref="C939:D939"/>
    <mergeCell ref="E939:F939"/>
    <mergeCell ref="AO939:AP939"/>
    <mergeCell ref="AQ939:AR939"/>
    <mergeCell ref="C940:D940"/>
    <mergeCell ref="E940:F940"/>
    <mergeCell ref="AO940:AP940"/>
    <mergeCell ref="AQ940:AR940"/>
    <mergeCell ref="C941:D941"/>
    <mergeCell ref="E941:F941"/>
    <mergeCell ref="AO941:AP941"/>
    <mergeCell ref="AQ941:AR941"/>
    <mergeCell ref="C942:D942"/>
    <mergeCell ref="E942:F942"/>
    <mergeCell ref="AO942:AP942"/>
    <mergeCell ref="AQ942:AR942"/>
    <mergeCell ref="C943:D943"/>
    <mergeCell ref="E943:F943"/>
    <mergeCell ref="AO943:AP943"/>
    <mergeCell ref="AQ943:AR943"/>
    <mergeCell ref="C944:D944"/>
    <mergeCell ref="E944:F944"/>
    <mergeCell ref="AO944:AP944"/>
    <mergeCell ref="AQ944:AR944"/>
    <mergeCell ref="C945:D945"/>
    <mergeCell ref="E945:F945"/>
    <mergeCell ref="AO945:AP945"/>
    <mergeCell ref="AQ945:AR945"/>
    <mergeCell ref="C946:D946"/>
    <mergeCell ref="E946:F946"/>
    <mergeCell ref="AO946:AP946"/>
    <mergeCell ref="AQ946:AR946"/>
    <mergeCell ref="C947:D947"/>
    <mergeCell ref="E947:F947"/>
    <mergeCell ref="AO947:AP947"/>
    <mergeCell ref="AQ947:AR947"/>
    <mergeCell ref="C948:D948"/>
    <mergeCell ref="E948:F948"/>
    <mergeCell ref="AO948:AP948"/>
    <mergeCell ref="AQ948:AR948"/>
    <mergeCell ref="C949:D949"/>
    <mergeCell ref="E949:F949"/>
    <mergeCell ref="AO949:AP949"/>
    <mergeCell ref="AQ949:AR949"/>
    <mergeCell ref="C950:D950"/>
    <mergeCell ref="E950:F950"/>
    <mergeCell ref="AO950:AP950"/>
    <mergeCell ref="AQ950:AR950"/>
    <mergeCell ref="C951:D951"/>
    <mergeCell ref="E951:F951"/>
    <mergeCell ref="AO951:AP951"/>
    <mergeCell ref="AQ951:AR951"/>
    <mergeCell ref="C952:D952"/>
    <mergeCell ref="E952:F952"/>
    <mergeCell ref="AO952:AP952"/>
    <mergeCell ref="AQ952:AR952"/>
    <mergeCell ref="C953:D953"/>
    <mergeCell ref="E953:F953"/>
    <mergeCell ref="AO953:AP953"/>
    <mergeCell ref="AQ953:AR953"/>
    <mergeCell ref="C954:D954"/>
    <mergeCell ref="E954:F954"/>
    <mergeCell ref="AO954:AP954"/>
    <mergeCell ref="AQ954:AR954"/>
    <mergeCell ref="C955:D955"/>
    <mergeCell ref="E955:F955"/>
    <mergeCell ref="AO955:AP955"/>
    <mergeCell ref="AQ955:AR955"/>
    <mergeCell ref="C956:D956"/>
    <mergeCell ref="E956:F956"/>
    <mergeCell ref="AO956:AP956"/>
    <mergeCell ref="AQ956:AR956"/>
    <mergeCell ref="C957:D957"/>
    <mergeCell ref="E957:F957"/>
    <mergeCell ref="AO957:AP957"/>
    <mergeCell ref="AQ957:AR957"/>
    <mergeCell ref="C958:D958"/>
    <mergeCell ref="E958:F958"/>
    <mergeCell ref="AO958:AP958"/>
    <mergeCell ref="AQ958:AR958"/>
    <mergeCell ref="C959:D959"/>
    <mergeCell ref="E959:F959"/>
    <mergeCell ref="AO959:AP959"/>
    <mergeCell ref="AQ959:AR959"/>
    <mergeCell ref="C960:D960"/>
    <mergeCell ref="E960:F960"/>
    <mergeCell ref="AO960:AP960"/>
    <mergeCell ref="AQ960:AR960"/>
    <mergeCell ref="C961:D961"/>
    <mergeCell ref="E961:F961"/>
    <mergeCell ref="AO961:AP961"/>
    <mergeCell ref="AQ961:AR961"/>
    <mergeCell ref="C962:D962"/>
    <mergeCell ref="E962:F962"/>
    <mergeCell ref="AO962:AP962"/>
    <mergeCell ref="AQ962:AR962"/>
    <mergeCell ref="C963:D963"/>
    <mergeCell ref="E963:F963"/>
    <mergeCell ref="AO963:AP963"/>
    <mergeCell ref="AQ963:AR963"/>
    <mergeCell ref="C964:D964"/>
    <mergeCell ref="E964:F964"/>
    <mergeCell ref="AO964:AP964"/>
    <mergeCell ref="AQ964:AR964"/>
    <mergeCell ref="C965:D965"/>
    <mergeCell ref="E965:F965"/>
    <mergeCell ref="AO965:AP965"/>
    <mergeCell ref="AQ965:AR965"/>
    <mergeCell ref="C966:D966"/>
    <mergeCell ref="E966:F966"/>
    <mergeCell ref="AO966:AP966"/>
    <mergeCell ref="AQ966:AR966"/>
    <mergeCell ref="C967:D967"/>
    <mergeCell ref="E967:F967"/>
    <mergeCell ref="AO967:AP967"/>
    <mergeCell ref="AQ967:AR967"/>
    <mergeCell ref="C968:D968"/>
    <mergeCell ref="E968:F968"/>
    <mergeCell ref="AO968:AP968"/>
    <mergeCell ref="AQ968:AR968"/>
    <mergeCell ref="C969:D969"/>
    <mergeCell ref="E969:F969"/>
    <mergeCell ref="AO969:AP969"/>
    <mergeCell ref="AQ969:AR969"/>
    <mergeCell ref="C970:D970"/>
    <mergeCell ref="E970:F970"/>
    <mergeCell ref="AO970:AP970"/>
    <mergeCell ref="AQ970:AR970"/>
    <mergeCell ref="C971:D971"/>
    <mergeCell ref="E971:F971"/>
    <mergeCell ref="AO971:AP971"/>
    <mergeCell ref="AQ971:AR971"/>
    <mergeCell ref="C972:D972"/>
    <mergeCell ref="E972:F972"/>
    <mergeCell ref="AO972:AP972"/>
    <mergeCell ref="AQ972:AR972"/>
    <mergeCell ref="C973:D973"/>
    <mergeCell ref="E973:F973"/>
    <mergeCell ref="AO973:AP973"/>
    <mergeCell ref="AQ973:AR973"/>
    <mergeCell ref="C974:D974"/>
    <mergeCell ref="E974:F974"/>
    <mergeCell ref="AO974:AP974"/>
    <mergeCell ref="AQ974:AR974"/>
    <mergeCell ref="C975:D975"/>
    <mergeCell ref="E975:F975"/>
    <mergeCell ref="AO975:AP975"/>
    <mergeCell ref="AQ975:AR975"/>
    <mergeCell ref="C976:D976"/>
    <mergeCell ref="E976:F976"/>
    <mergeCell ref="AO976:AP976"/>
    <mergeCell ref="AQ976:AR976"/>
    <mergeCell ref="C977:D977"/>
    <mergeCell ref="E977:F977"/>
    <mergeCell ref="AO977:AP977"/>
    <mergeCell ref="AQ977:AR977"/>
    <mergeCell ref="C978:D978"/>
    <mergeCell ref="E978:F978"/>
    <mergeCell ref="AO978:AP978"/>
    <mergeCell ref="AQ978:AR978"/>
    <mergeCell ref="C979:D979"/>
    <mergeCell ref="E979:F979"/>
    <mergeCell ref="AO979:AP979"/>
    <mergeCell ref="AQ979:AR979"/>
    <mergeCell ref="C980:D980"/>
    <mergeCell ref="E980:F980"/>
    <mergeCell ref="AO980:AP980"/>
    <mergeCell ref="AQ980:AR980"/>
    <mergeCell ref="C981:D981"/>
    <mergeCell ref="E981:F981"/>
    <mergeCell ref="AO981:AP981"/>
    <mergeCell ref="AQ981:AR981"/>
    <mergeCell ref="C982:D982"/>
    <mergeCell ref="E982:F982"/>
    <mergeCell ref="AO982:AP982"/>
    <mergeCell ref="AQ982:AR982"/>
    <mergeCell ref="C983:D983"/>
    <mergeCell ref="E983:F983"/>
    <mergeCell ref="AO983:AP983"/>
    <mergeCell ref="AQ983:AR983"/>
    <mergeCell ref="C984:D984"/>
    <mergeCell ref="E984:F984"/>
    <mergeCell ref="AO984:AP984"/>
    <mergeCell ref="AQ984:AR984"/>
    <mergeCell ref="C985:D985"/>
    <mergeCell ref="E985:F985"/>
    <mergeCell ref="AO985:AP985"/>
    <mergeCell ref="AQ985:AR985"/>
    <mergeCell ref="C986:D986"/>
    <mergeCell ref="E986:F986"/>
    <mergeCell ref="AO986:AP986"/>
    <mergeCell ref="AQ986:AR986"/>
    <mergeCell ref="C987:D987"/>
    <mergeCell ref="E987:F987"/>
    <mergeCell ref="AO987:AP987"/>
    <mergeCell ref="AQ987:AR987"/>
    <mergeCell ref="C988:D988"/>
    <mergeCell ref="E988:F988"/>
    <mergeCell ref="AO988:AP988"/>
    <mergeCell ref="AQ988:AR988"/>
    <mergeCell ref="C989:D989"/>
    <mergeCell ref="E989:F989"/>
    <mergeCell ref="AO989:AP989"/>
    <mergeCell ref="AQ989:AR989"/>
    <mergeCell ref="C990:D990"/>
    <mergeCell ref="E990:F990"/>
    <mergeCell ref="AO990:AP990"/>
    <mergeCell ref="AQ990:AR990"/>
    <mergeCell ref="C991:D991"/>
    <mergeCell ref="E991:F991"/>
    <mergeCell ref="AO991:AP991"/>
    <mergeCell ref="AQ991:AR991"/>
    <mergeCell ref="C992:D992"/>
    <mergeCell ref="E992:F992"/>
    <mergeCell ref="AO992:AP992"/>
    <mergeCell ref="AQ992:AR992"/>
    <mergeCell ref="C993:D993"/>
    <mergeCell ref="E993:F993"/>
    <mergeCell ref="AO993:AP993"/>
    <mergeCell ref="AQ993:AR993"/>
    <mergeCell ref="C994:D994"/>
    <mergeCell ref="E994:F994"/>
    <mergeCell ref="AO994:AP994"/>
    <mergeCell ref="AQ994:AR994"/>
    <mergeCell ref="C995:D995"/>
    <mergeCell ref="E995:F995"/>
    <mergeCell ref="AO995:AP995"/>
    <mergeCell ref="AQ995:AR995"/>
    <mergeCell ref="C996:D996"/>
    <mergeCell ref="E996:F996"/>
    <mergeCell ref="AO996:AP996"/>
    <mergeCell ref="AQ996:AR996"/>
    <mergeCell ref="C997:D997"/>
    <mergeCell ref="E997:F997"/>
    <mergeCell ref="AO997:AP997"/>
    <mergeCell ref="AQ997:AR997"/>
    <mergeCell ref="C998:D998"/>
    <mergeCell ref="E998:F998"/>
    <mergeCell ref="AO998:AP998"/>
    <mergeCell ref="AQ998:AR998"/>
    <mergeCell ref="C999:D999"/>
    <mergeCell ref="E999:F999"/>
    <mergeCell ref="AO999:AP999"/>
    <mergeCell ref="AQ999:AR999"/>
    <mergeCell ref="C1000:D1000"/>
    <mergeCell ref="E1000:F1000"/>
    <mergeCell ref="AO1000:AP1000"/>
    <mergeCell ref="AQ1000:AR1000"/>
    <mergeCell ref="C1001:D1001"/>
    <mergeCell ref="E1001:F1001"/>
    <mergeCell ref="AO1001:AP1001"/>
    <mergeCell ref="AQ1001:AR1001"/>
    <mergeCell ref="C1002:D1002"/>
    <mergeCell ref="E1002:F1002"/>
    <mergeCell ref="AO1002:AP1002"/>
    <mergeCell ref="AQ1002:AR1002"/>
    <mergeCell ref="C1003:D1003"/>
    <mergeCell ref="E1003:F1003"/>
    <mergeCell ref="AO1003:AP1003"/>
    <mergeCell ref="AQ1003:AR1003"/>
    <mergeCell ref="C1004:D1004"/>
    <mergeCell ref="E1004:F1004"/>
    <mergeCell ref="AO1004:AP1004"/>
    <mergeCell ref="AQ1004:AR1004"/>
    <mergeCell ref="C1005:D1005"/>
    <mergeCell ref="E1005:F1005"/>
    <mergeCell ref="AO1005:AP1005"/>
    <mergeCell ref="AQ1005:AR1005"/>
    <mergeCell ref="C1006:D1006"/>
    <mergeCell ref="E1006:F1006"/>
    <mergeCell ref="AO1006:AP1006"/>
    <mergeCell ref="AQ1006:AR1006"/>
    <mergeCell ref="C1007:D1007"/>
    <mergeCell ref="E1007:F1007"/>
    <mergeCell ref="AO1007:AP1007"/>
    <mergeCell ref="AQ1007:AR1007"/>
    <mergeCell ref="C1008:D1008"/>
    <mergeCell ref="E1008:F1008"/>
    <mergeCell ref="AO1008:AP1008"/>
    <mergeCell ref="AQ1008:AR1008"/>
    <mergeCell ref="C1009:D1009"/>
    <mergeCell ref="E1009:F1009"/>
    <mergeCell ref="AO1009:AP1009"/>
    <mergeCell ref="AQ1009:AR1009"/>
    <mergeCell ref="C1010:D1010"/>
    <mergeCell ref="E1010:F1010"/>
    <mergeCell ref="AO1010:AP1010"/>
    <mergeCell ref="AQ1010:AR1010"/>
    <mergeCell ref="C1011:D1011"/>
    <mergeCell ref="E1011:F1011"/>
    <mergeCell ref="AO1011:AP1011"/>
    <mergeCell ref="AQ1011:AR1011"/>
    <mergeCell ref="C1012:D1012"/>
    <mergeCell ref="E1012:F1012"/>
    <mergeCell ref="AO1012:AP1012"/>
    <mergeCell ref="AQ1012:AR1012"/>
    <mergeCell ref="C1013:D1013"/>
    <mergeCell ref="E1013:F1013"/>
    <mergeCell ref="AO1013:AP1013"/>
    <mergeCell ref="AQ1013:AR1013"/>
    <mergeCell ref="C1014:D1014"/>
    <mergeCell ref="E1014:F1014"/>
    <mergeCell ref="AO1014:AP1014"/>
    <mergeCell ref="AQ1014:AR1014"/>
    <mergeCell ref="C1015:D1015"/>
    <mergeCell ref="E1015:F1015"/>
    <mergeCell ref="AO1015:AP1015"/>
    <mergeCell ref="AQ1015:AR1015"/>
    <mergeCell ref="C1016:D1016"/>
    <mergeCell ref="E1016:F1016"/>
    <mergeCell ref="AO1016:AP1016"/>
    <mergeCell ref="AQ1016:AR1016"/>
    <mergeCell ref="C1017:D1017"/>
    <mergeCell ref="E1017:F1017"/>
    <mergeCell ref="AO1017:AP1017"/>
    <mergeCell ref="AQ1017:AR1017"/>
    <mergeCell ref="C1018:D1018"/>
    <mergeCell ref="E1018:F1018"/>
    <mergeCell ref="AO1018:AP1018"/>
    <mergeCell ref="AQ1018:AR1018"/>
    <mergeCell ref="C1019:D1019"/>
    <mergeCell ref="E1019:F1019"/>
    <mergeCell ref="AO1019:AP1019"/>
    <mergeCell ref="AQ1019:AR1019"/>
    <mergeCell ref="C1020:D1020"/>
    <mergeCell ref="E1020:F1020"/>
    <mergeCell ref="AO1020:AP1020"/>
    <mergeCell ref="AQ1020:AR1020"/>
    <mergeCell ref="C1021:D1021"/>
    <mergeCell ref="E1021:F1021"/>
    <mergeCell ref="AO1021:AP1021"/>
    <mergeCell ref="AQ1021:AR1021"/>
    <mergeCell ref="C1022:D1022"/>
    <mergeCell ref="E1022:F1022"/>
    <mergeCell ref="AO1022:AP1022"/>
    <mergeCell ref="AQ1022:AR1022"/>
    <mergeCell ref="C1023:D1023"/>
    <mergeCell ref="E1023:F1023"/>
    <mergeCell ref="AO1023:AP1023"/>
    <mergeCell ref="AQ1023:AR1023"/>
    <mergeCell ref="C1024:D1024"/>
    <mergeCell ref="E1024:F1024"/>
    <mergeCell ref="AO1024:AP1024"/>
    <mergeCell ref="AQ1024:AR1024"/>
    <mergeCell ref="C1025:D1025"/>
    <mergeCell ref="E1025:F1025"/>
    <mergeCell ref="AO1025:AP1025"/>
    <mergeCell ref="AQ1025:AR1025"/>
    <mergeCell ref="C1026:D1026"/>
    <mergeCell ref="E1026:F1026"/>
    <mergeCell ref="AO1026:AP1026"/>
    <mergeCell ref="AQ1026:AR1026"/>
    <mergeCell ref="C1027:D1027"/>
    <mergeCell ref="E1027:F1027"/>
    <mergeCell ref="AO1027:AP1027"/>
    <mergeCell ref="AQ1027:AR1027"/>
    <mergeCell ref="C1028:D1028"/>
    <mergeCell ref="E1028:F1028"/>
    <mergeCell ref="AO1028:AP1028"/>
    <mergeCell ref="AQ1028:AR1028"/>
    <mergeCell ref="C1029:D1029"/>
    <mergeCell ref="E1029:F1029"/>
    <mergeCell ref="AO1029:AP1029"/>
    <mergeCell ref="AQ1029:AR1029"/>
    <mergeCell ref="C1030:D1030"/>
    <mergeCell ref="E1030:F1030"/>
    <mergeCell ref="AO1030:AP1030"/>
    <mergeCell ref="AQ1030:AR1030"/>
    <mergeCell ref="C1031:D1031"/>
    <mergeCell ref="E1031:F1031"/>
    <mergeCell ref="AO1031:AP1031"/>
    <mergeCell ref="AQ1031:AR1031"/>
    <mergeCell ref="C1032:D1032"/>
    <mergeCell ref="E1032:F1032"/>
    <mergeCell ref="AO1032:AP1032"/>
    <mergeCell ref="AQ1032:AR1032"/>
    <mergeCell ref="C1033:D1033"/>
    <mergeCell ref="E1033:F1033"/>
    <mergeCell ref="AO1033:AP1033"/>
    <mergeCell ref="AQ1033:AR1033"/>
    <mergeCell ref="C1034:D1034"/>
    <mergeCell ref="E1034:F1034"/>
    <mergeCell ref="AO1034:AP1034"/>
    <mergeCell ref="AQ1034:AR1034"/>
    <mergeCell ref="C1035:D1035"/>
    <mergeCell ref="E1035:F1035"/>
    <mergeCell ref="AO1035:AP1035"/>
    <mergeCell ref="AQ1035:AR1035"/>
    <mergeCell ref="C1036:D1036"/>
    <mergeCell ref="E1036:F1036"/>
    <mergeCell ref="AO1036:AP1036"/>
    <mergeCell ref="AQ1036:AR1036"/>
    <mergeCell ref="C1037:D1037"/>
    <mergeCell ref="E1037:F1037"/>
    <mergeCell ref="AO1037:AP1037"/>
    <mergeCell ref="AQ1037:AR1037"/>
    <mergeCell ref="C1038:D1038"/>
    <mergeCell ref="E1038:F1038"/>
    <mergeCell ref="AO1038:AP1038"/>
    <mergeCell ref="AQ1038:AR1038"/>
    <mergeCell ref="C1039:D1039"/>
    <mergeCell ref="E1039:F1039"/>
    <mergeCell ref="AO1039:AP1039"/>
    <mergeCell ref="AQ1039:AR1039"/>
    <mergeCell ref="C1040:D1040"/>
    <mergeCell ref="E1040:F1040"/>
    <mergeCell ref="AO1040:AP1040"/>
    <mergeCell ref="AQ1040:AR1040"/>
    <mergeCell ref="C1041:D1041"/>
    <mergeCell ref="E1041:F1041"/>
    <mergeCell ref="AO1041:AP1041"/>
    <mergeCell ref="AQ1041:AR1041"/>
    <mergeCell ref="C1042:D1042"/>
    <mergeCell ref="E1042:F1042"/>
    <mergeCell ref="AO1042:AP1042"/>
    <mergeCell ref="AQ1042:AR1042"/>
    <mergeCell ref="C1043:D1043"/>
    <mergeCell ref="E1043:F1043"/>
    <mergeCell ref="AO1043:AP1043"/>
    <mergeCell ref="AQ1043:AR1043"/>
    <mergeCell ref="C1044:D1044"/>
    <mergeCell ref="E1044:F1044"/>
    <mergeCell ref="AO1044:AP1044"/>
    <mergeCell ref="AQ1044:AR1044"/>
    <mergeCell ref="C1045:D1045"/>
    <mergeCell ref="E1045:F1045"/>
    <mergeCell ref="AO1045:AP1045"/>
    <mergeCell ref="AQ1045:AR1045"/>
    <mergeCell ref="C1046:D1046"/>
    <mergeCell ref="E1046:F1046"/>
    <mergeCell ref="AO1046:AP1046"/>
    <mergeCell ref="AQ1046:AR1046"/>
    <mergeCell ref="C1047:D1047"/>
    <mergeCell ref="E1047:F1047"/>
    <mergeCell ref="AO1047:AP1047"/>
    <mergeCell ref="AQ1047:AR1047"/>
    <mergeCell ref="C1048:D1048"/>
    <mergeCell ref="E1048:F1048"/>
    <mergeCell ref="AO1048:AP1048"/>
    <mergeCell ref="AQ1048:AR1048"/>
    <mergeCell ref="C1049:D1049"/>
    <mergeCell ref="E1049:F1049"/>
    <mergeCell ref="AO1049:AP1049"/>
    <mergeCell ref="AQ1049:AR1049"/>
    <mergeCell ref="C1050:D1050"/>
    <mergeCell ref="E1050:F1050"/>
    <mergeCell ref="AO1050:AP1050"/>
    <mergeCell ref="AQ1050:AR1050"/>
    <mergeCell ref="C1051:D1051"/>
    <mergeCell ref="E1051:F1051"/>
    <mergeCell ref="AO1051:AP1051"/>
    <mergeCell ref="AQ1051:AR1051"/>
    <mergeCell ref="C1052:D1052"/>
    <mergeCell ref="E1052:F1052"/>
    <mergeCell ref="AO1052:AP1052"/>
    <mergeCell ref="AQ1052:AR1052"/>
    <mergeCell ref="C1053:D1053"/>
    <mergeCell ref="E1053:F1053"/>
    <mergeCell ref="AO1053:AP1053"/>
    <mergeCell ref="AQ1053:AR1053"/>
    <mergeCell ref="C1054:D1054"/>
    <mergeCell ref="E1054:F1054"/>
    <mergeCell ref="AO1054:AP1054"/>
    <mergeCell ref="AQ1054:AR1054"/>
    <mergeCell ref="C1055:D1055"/>
    <mergeCell ref="E1055:F1055"/>
    <mergeCell ref="AO1055:AP1055"/>
    <mergeCell ref="AQ1055:AR1055"/>
    <mergeCell ref="C1056:D1056"/>
    <mergeCell ref="E1056:F1056"/>
    <mergeCell ref="AO1056:AP1056"/>
    <mergeCell ref="AQ1056:AR1056"/>
    <mergeCell ref="C1057:D1057"/>
    <mergeCell ref="E1057:F1057"/>
    <mergeCell ref="AO1057:AP1057"/>
    <mergeCell ref="AQ1057:AR1057"/>
    <mergeCell ref="C1058:D1058"/>
    <mergeCell ref="E1058:F1058"/>
    <mergeCell ref="AO1058:AP1058"/>
    <mergeCell ref="AQ1058:AR1058"/>
    <mergeCell ref="C1059:D1059"/>
    <mergeCell ref="E1059:F1059"/>
    <mergeCell ref="AO1059:AP1059"/>
    <mergeCell ref="AQ1059:AR1059"/>
    <mergeCell ref="C1060:D1060"/>
    <mergeCell ref="E1060:F1060"/>
    <mergeCell ref="AO1060:AP1060"/>
    <mergeCell ref="AQ1060:AR1060"/>
    <mergeCell ref="C1061:D1061"/>
    <mergeCell ref="E1061:F1061"/>
    <mergeCell ref="AO1061:AP1061"/>
    <mergeCell ref="AQ1061:AR1061"/>
    <mergeCell ref="C1062:D1062"/>
    <mergeCell ref="E1062:F1062"/>
    <mergeCell ref="AO1062:AP1062"/>
    <mergeCell ref="AQ1062:AR1062"/>
    <mergeCell ref="C1063:D1063"/>
    <mergeCell ref="E1063:F1063"/>
    <mergeCell ref="AO1063:AP1063"/>
    <mergeCell ref="AQ1063:AR1063"/>
    <mergeCell ref="C1064:D1064"/>
    <mergeCell ref="E1064:F1064"/>
    <mergeCell ref="AO1064:AP1064"/>
    <mergeCell ref="AQ1064:AR1064"/>
    <mergeCell ref="C1065:D1065"/>
    <mergeCell ref="E1065:F1065"/>
    <mergeCell ref="AO1065:AP1065"/>
    <mergeCell ref="AQ1065:AR1065"/>
    <mergeCell ref="C1066:D1066"/>
    <mergeCell ref="E1066:F1066"/>
    <mergeCell ref="AO1066:AP1066"/>
    <mergeCell ref="AQ1066:AR1066"/>
    <mergeCell ref="C1067:D1067"/>
    <mergeCell ref="E1067:F1067"/>
    <mergeCell ref="AO1067:AP1067"/>
    <mergeCell ref="AQ1067:AR1067"/>
    <mergeCell ref="C1068:D1068"/>
    <mergeCell ref="E1068:F1068"/>
    <mergeCell ref="AO1068:AP1068"/>
    <mergeCell ref="AQ1068:AR1068"/>
    <mergeCell ref="C1069:D1069"/>
    <mergeCell ref="E1069:F1069"/>
    <mergeCell ref="AO1069:AP1069"/>
    <mergeCell ref="AQ1069:AR1069"/>
    <mergeCell ref="C1070:D1070"/>
    <mergeCell ref="E1070:F1070"/>
    <mergeCell ref="AO1070:AP1070"/>
    <mergeCell ref="AQ1070:AR1070"/>
    <mergeCell ref="C1071:D1071"/>
    <mergeCell ref="E1071:F1071"/>
    <mergeCell ref="AO1071:AP1071"/>
    <mergeCell ref="AQ1071:AR1071"/>
    <mergeCell ref="C1072:D1072"/>
    <mergeCell ref="E1072:F1072"/>
    <mergeCell ref="AO1072:AP1072"/>
    <mergeCell ref="AQ1072:AR1072"/>
    <mergeCell ref="C1073:D1073"/>
    <mergeCell ref="E1073:F1073"/>
    <mergeCell ref="AO1073:AP1073"/>
    <mergeCell ref="AQ1073:AR1073"/>
    <mergeCell ref="C1074:D1074"/>
    <mergeCell ref="E1074:F1074"/>
    <mergeCell ref="AO1074:AP1074"/>
    <mergeCell ref="AQ1074:AR1074"/>
    <mergeCell ref="C1075:D1075"/>
    <mergeCell ref="E1075:F1075"/>
    <mergeCell ref="AO1075:AP1075"/>
    <mergeCell ref="AQ1075:AR1075"/>
    <mergeCell ref="C1076:D1076"/>
    <mergeCell ref="E1076:F1076"/>
    <mergeCell ref="AO1076:AP1076"/>
    <mergeCell ref="AQ1076:AR1076"/>
    <mergeCell ref="C1077:D1077"/>
    <mergeCell ref="E1077:F1077"/>
    <mergeCell ref="AO1077:AP1077"/>
    <mergeCell ref="AQ1077:AR1077"/>
    <mergeCell ref="C1078:D1078"/>
    <mergeCell ref="E1078:F1078"/>
    <mergeCell ref="AO1078:AP1078"/>
    <mergeCell ref="AQ1078:AR1078"/>
    <mergeCell ref="C1079:D1079"/>
    <mergeCell ref="E1079:F1079"/>
    <mergeCell ref="AO1079:AP1079"/>
    <mergeCell ref="AQ1079:AR1079"/>
    <mergeCell ref="C1080:D1080"/>
    <mergeCell ref="E1080:F1080"/>
    <mergeCell ref="AO1080:AP1080"/>
    <mergeCell ref="AQ1080:AR1080"/>
    <mergeCell ref="C1081:D1081"/>
    <mergeCell ref="E1081:F1081"/>
    <mergeCell ref="AO1081:AP1081"/>
    <mergeCell ref="AQ1081:AR1081"/>
    <mergeCell ref="C1082:D1082"/>
    <mergeCell ref="E1082:F1082"/>
    <mergeCell ref="AO1082:AP1082"/>
    <mergeCell ref="AQ1082:AR1082"/>
    <mergeCell ref="C1083:D1083"/>
    <mergeCell ref="E1083:F1083"/>
    <mergeCell ref="AO1083:AP1083"/>
    <mergeCell ref="AQ1083:AR1083"/>
    <mergeCell ref="C1084:D1084"/>
    <mergeCell ref="E1084:F1084"/>
    <mergeCell ref="AO1084:AP1084"/>
    <mergeCell ref="AQ1084:AR1084"/>
    <mergeCell ref="C1085:D1085"/>
    <mergeCell ref="E1085:F1085"/>
    <mergeCell ref="AO1085:AP1085"/>
    <mergeCell ref="AQ1085:AR1085"/>
    <mergeCell ref="C1086:D1086"/>
    <mergeCell ref="E1086:F1086"/>
    <mergeCell ref="AO1086:AP1086"/>
    <mergeCell ref="AQ1086:AR1086"/>
    <mergeCell ref="C1087:D1087"/>
    <mergeCell ref="E1087:F1087"/>
    <mergeCell ref="AO1087:AP1087"/>
    <mergeCell ref="AQ1087:AR1087"/>
    <mergeCell ref="C1088:D1088"/>
    <mergeCell ref="E1088:F1088"/>
    <mergeCell ref="AO1088:AP1088"/>
    <mergeCell ref="AQ1088:AR1088"/>
    <mergeCell ref="C1089:D1089"/>
    <mergeCell ref="E1089:F1089"/>
    <mergeCell ref="AO1089:AP1089"/>
    <mergeCell ref="AQ1089:AR1089"/>
    <mergeCell ref="C1090:D1090"/>
    <mergeCell ref="E1090:F1090"/>
    <mergeCell ref="AO1090:AP1090"/>
    <mergeCell ref="AQ1090:AR1090"/>
    <mergeCell ref="C1091:D1091"/>
    <mergeCell ref="E1091:F1091"/>
    <mergeCell ref="AO1091:AP1091"/>
    <mergeCell ref="AQ1091:AR1091"/>
    <mergeCell ref="C1092:D1092"/>
    <mergeCell ref="E1092:F1092"/>
    <mergeCell ref="AO1092:AP1092"/>
    <mergeCell ref="AQ1092:AR1092"/>
    <mergeCell ref="C1093:D1093"/>
    <mergeCell ref="E1093:F1093"/>
    <mergeCell ref="AO1093:AP1093"/>
    <mergeCell ref="AQ1093:AR1093"/>
    <mergeCell ref="C1094:D1094"/>
    <mergeCell ref="E1094:F1094"/>
    <mergeCell ref="AO1094:AP1094"/>
    <mergeCell ref="AQ1094:AR1094"/>
    <mergeCell ref="C1095:D1095"/>
    <mergeCell ref="E1095:F1095"/>
    <mergeCell ref="AO1095:AP1095"/>
    <mergeCell ref="AQ1095:AR1095"/>
    <mergeCell ref="C1096:D1096"/>
    <mergeCell ref="E1096:F1096"/>
    <mergeCell ref="AO1096:AP1096"/>
    <mergeCell ref="AQ1096:AR1096"/>
    <mergeCell ref="C1097:D1097"/>
    <mergeCell ref="E1097:F1097"/>
    <mergeCell ref="AO1097:AP1097"/>
    <mergeCell ref="AQ1097:AR1097"/>
    <mergeCell ref="C1098:D1098"/>
    <mergeCell ref="E1098:F1098"/>
    <mergeCell ref="AO1098:AP1098"/>
    <mergeCell ref="AQ1098:AR1098"/>
    <mergeCell ref="C1099:D1099"/>
    <mergeCell ref="E1099:F1099"/>
    <mergeCell ref="AO1099:AP1099"/>
    <mergeCell ref="AQ1099:AR1099"/>
    <mergeCell ref="C1100:D1100"/>
    <mergeCell ref="E1100:F1100"/>
    <mergeCell ref="AO1100:AP1100"/>
    <mergeCell ref="AQ1100:AR1100"/>
    <mergeCell ref="C1101:D1101"/>
    <mergeCell ref="E1101:F1101"/>
    <mergeCell ref="AO1101:AP1101"/>
    <mergeCell ref="AQ1101:AR1101"/>
    <mergeCell ref="C1102:D1102"/>
    <mergeCell ref="E1102:F1102"/>
    <mergeCell ref="AO1102:AP1102"/>
    <mergeCell ref="AQ1102:AR1102"/>
    <mergeCell ref="C1103:D1103"/>
    <mergeCell ref="E1103:F1103"/>
    <mergeCell ref="AO1103:AP1103"/>
    <mergeCell ref="AQ1103:AR1103"/>
    <mergeCell ref="C1104:D1104"/>
    <mergeCell ref="E1104:F1104"/>
    <mergeCell ref="AO1104:AP1104"/>
    <mergeCell ref="AQ1104:AR1104"/>
    <mergeCell ref="C1105:D1105"/>
    <mergeCell ref="E1105:F1105"/>
    <mergeCell ref="AO1105:AP1105"/>
    <mergeCell ref="AQ1105:AR1105"/>
    <mergeCell ref="C1106:D1106"/>
    <mergeCell ref="E1106:F1106"/>
    <mergeCell ref="AO1106:AP1106"/>
    <mergeCell ref="AQ1106:AR1106"/>
    <mergeCell ref="C1107:D1107"/>
    <mergeCell ref="E1107:F1107"/>
    <mergeCell ref="AO1107:AP1107"/>
    <mergeCell ref="AQ1107:AR1107"/>
    <mergeCell ref="C1108:D1108"/>
    <mergeCell ref="E1108:F1108"/>
    <mergeCell ref="AO1108:AP1108"/>
    <mergeCell ref="AQ1108:AR1108"/>
    <mergeCell ref="C1109:D1109"/>
    <mergeCell ref="E1109:F1109"/>
    <mergeCell ref="AO1109:AP1109"/>
    <mergeCell ref="AQ1109:AR1109"/>
    <mergeCell ref="C1110:D1110"/>
    <mergeCell ref="E1110:F1110"/>
    <mergeCell ref="AO1110:AP1110"/>
    <mergeCell ref="AQ1110:AR1110"/>
    <mergeCell ref="C1111:D1111"/>
    <mergeCell ref="E1111:F1111"/>
    <mergeCell ref="AO1111:AP1111"/>
    <mergeCell ref="AQ1111:AR1111"/>
    <mergeCell ref="C1112:D1112"/>
    <mergeCell ref="E1112:F1112"/>
    <mergeCell ref="AO1112:AP1112"/>
    <mergeCell ref="AQ1112:AR1112"/>
    <mergeCell ref="C1113:D1113"/>
    <mergeCell ref="E1113:F1113"/>
    <mergeCell ref="AO1113:AP1113"/>
    <mergeCell ref="AQ1113:AR1113"/>
    <mergeCell ref="C1114:D1114"/>
    <mergeCell ref="E1114:F1114"/>
    <mergeCell ref="AO1114:AP1114"/>
    <mergeCell ref="AQ1114:AR1114"/>
    <mergeCell ref="C1115:D1115"/>
    <mergeCell ref="E1115:F1115"/>
    <mergeCell ref="AO1115:AP1115"/>
    <mergeCell ref="AQ1115:AR1115"/>
    <mergeCell ref="C1116:D1116"/>
    <mergeCell ref="E1116:F1116"/>
    <mergeCell ref="AO1116:AP1116"/>
    <mergeCell ref="AQ1116:AR1116"/>
    <mergeCell ref="C1117:D1117"/>
    <mergeCell ref="E1117:F1117"/>
    <mergeCell ref="AO1117:AP1117"/>
    <mergeCell ref="AQ1117:AR1117"/>
    <mergeCell ref="C1118:D1118"/>
    <mergeCell ref="E1118:F1118"/>
    <mergeCell ref="AO1118:AP1118"/>
    <mergeCell ref="AQ1118:AR1118"/>
    <mergeCell ref="C1119:D1119"/>
    <mergeCell ref="E1119:F1119"/>
    <mergeCell ref="AO1119:AP1119"/>
    <mergeCell ref="AQ1119:AR1119"/>
    <mergeCell ref="C1120:D1120"/>
    <mergeCell ref="E1120:F1120"/>
    <mergeCell ref="AO1120:AP1120"/>
    <mergeCell ref="AQ1120:AR1120"/>
    <mergeCell ref="C1121:D1121"/>
    <mergeCell ref="E1121:F1121"/>
    <mergeCell ref="AO1121:AP1121"/>
    <mergeCell ref="AQ1121:AR1121"/>
    <mergeCell ref="C1122:D1122"/>
    <mergeCell ref="E1122:F1122"/>
    <mergeCell ref="AO1122:AP1122"/>
    <mergeCell ref="AQ1122:AR1122"/>
    <mergeCell ref="C1123:D1123"/>
    <mergeCell ref="E1123:F1123"/>
    <mergeCell ref="AO1123:AP1123"/>
    <mergeCell ref="AQ1123:AR1123"/>
    <mergeCell ref="C1124:D1124"/>
    <mergeCell ref="E1124:F1124"/>
    <mergeCell ref="AO1124:AP1124"/>
    <mergeCell ref="AQ1124:AR1124"/>
    <mergeCell ref="C1125:D1125"/>
    <mergeCell ref="E1125:F1125"/>
    <mergeCell ref="AO1125:AP1125"/>
    <mergeCell ref="AQ1125:AR1125"/>
    <mergeCell ref="C1126:D1126"/>
    <mergeCell ref="E1126:F1126"/>
    <mergeCell ref="AO1126:AP1126"/>
    <mergeCell ref="AQ1126:AR1126"/>
    <mergeCell ref="C1127:D1127"/>
    <mergeCell ref="E1127:F1127"/>
    <mergeCell ref="AO1127:AP1127"/>
    <mergeCell ref="AQ1127:AR1127"/>
    <mergeCell ref="C1128:D1128"/>
    <mergeCell ref="E1128:F1128"/>
    <mergeCell ref="AO1128:AP1128"/>
    <mergeCell ref="AQ1128:AR1128"/>
    <mergeCell ref="C1129:D1129"/>
    <mergeCell ref="E1129:F1129"/>
    <mergeCell ref="AO1129:AP1129"/>
    <mergeCell ref="AQ1129:AR1129"/>
    <mergeCell ref="C1130:D1130"/>
    <mergeCell ref="E1130:F1130"/>
    <mergeCell ref="AO1130:AP1130"/>
    <mergeCell ref="AQ1130:AR1130"/>
    <mergeCell ref="C1131:D1131"/>
    <mergeCell ref="E1131:F1131"/>
    <mergeCell ref="AO1131:AP1131"/>
    <mergeCell ref="AQ1131:AR1131"/>
    <mergeCell ref="C1132:D1132"/>
    <mergeCell ref="E1132:F1132"/>
    <mergeCell ref="AO1132:AP1132"/>
    <mergeCell ref="AQ1132:AR1132"/>
    <mergeCell ref="C1133:D1133"/>
    <mergeCell ref="E1133:F1133"/>
    <mergeCell ref="AO1133:AP1133"/>
    <mergeCell ref="AQ1133:AR1133"/>
    <mergeCell ref="C1134:D1134"/>
    <mergeCell ref="E1134:F1134"/>
    <mergeCell ref="AO1134:AP1134"/>
    <mergeCell ref="AQ1134:AR1134"/>
    <mergeCell ref="C1135:D1135"/>
    <mergeCell ref="E1135:F1135"/>
    <mergeCell ref="AO1135:AP1135"/>
    <mergeCell ref="AQ1135:AR1135"/>
    <mergeCell ref="C1136:D1136"/>
    <mergeCell ref="E1136:F1136"/>
    <mergeCell ref="AO1136:AP1136"/>
    <mergeCell ref="AQ1136:AR1136"/>
    <mergeCell ref="C1137:D1137"/>
    <mergeCell ref="E1137:F1137"/>
    <mergeCell ref="AO1137:AP1137"/>
    <mergeCell ref="AQ1137:AR1137"/>
    <mergeCell ref="C1138:D1138"/>
    <mergeCell ref="E1138:F1138"/>
    <mergeCell ref="AO1138:AP1138"/>
    <mergeCell ref="AQ1138:AR1138"/>
    <mergeCell ref="C1139:D1139"/>
    <mergeCell ref="E1139:F1139"/>
    <mergeCell ref="AO1139:AP1139"/>
    <mergeCell ref="AQ1139:AR1139"/>
    <mergeCell ref="C1140:D1140"/>
    <mergeCell ref="E1140:F1140"/>
    <mergeCell ref="AO1140:AP1140"/>
    <mergeCell ref="AQ1140:AR1140"/>
    <mergeCell ref="C1141:D1141"/>
    <mergeCell ref="E1141:F1141"/>
    <mergeCell ref="AO1141:AP1141"/>
    <mergeCell ref="AQ1141:AR1141"/>
    <mergeCell ref="C1142:D1142"/>
    <mergeCell ref="E1142:F1142"/>
    <mergeCell ref="AO1142:AP1142"/>
    <mergeCell ref="AQ1142:AR1142"/>
    <mergeCell ref="C1143:D1143"/>
    <mergeCell ref="E1143:F1143"/>
    <mergeCell ref="AO1143:AP1143"/>
    <mergeCell ref="AQ1143:AR1143"/>
    <mergeCell ref="C1144:D1144"/>
    <mergeCell ref="E1144:F1144"/>
    <mergeCell ref="AO1144:AP1144"/>
    <mergeCell ref="AQ1144:AR1144"/>
    <mergeCell ref="C1145:D1145"/>
    <mergeCell ref="E1145:F1145"/>
    <mergeCell ref="AO1145:AP1145"/>
    <mergeCell ref="AQ1145:AR1145"/>
    <mergeCell ref="C1146:D1146"/>
    <mergeCell ref="E1146:F1146"/>
    <mergeCell ref="AO1146:AP1146"/>
    <mergeCell ref="AQ1146:AR1146"/>
    <mergeCell ref="C1147:D1147"/>
    <mergeCell ref="E1147:F1147"/>
    <mergeCell ref="AO1147:AP1147"/>
    <mergeCell ref="AQ1147:AR1147"/>
    <mergeCell ref="C1148:D1148"/>
    <mergeCell ref="E1148:F1148"/>
    <mergeCell ref="AO1148:AP1148"/>
    <mergeCell ref="AQ1148:AR1148"/>
    <mergeCell ref="C1149:D1149"/>
    <mergeCell ref="E1149:F1149"/>
    <mergeCell ref="AO1149:AP1149"/>
    <mergeCell ref="AQ1149:AR1149"/>
    <mergeCell ref="C1150:D1150"/>
    <mergeCell ref="E1150:F1150"/>
    <mergeCell ref="AO1150:AP1150"/>
    <mergeCell ref="AQ1150:AR1150"/>
    <mergeCell ref="C1151:D1151"/>
    <mergeCell ref="E1151:F1151"/>
    <mergeCell ref="AO1151:AP1151"/>
    <mergeCell ref="AQ1151:AR1151"/>
    <mergeCell ref="C1152:D1152"/>
    <mergeCell ref="E1152:F1152"/>
    <mergeCell ref="AO1152:AP1152"/>
    <mergeCell ref="AQ1152:AR1152"/>
    <mergeCell ref="C1153:D1153"/>
    <mergeCell ref="E1153:F1153"/>
    <mergeCell ref="AO1153:AP1153"/>
    <mergeCell ref="AQ1153:AR1153"/>
    <mergeCell ref="C1154:D1154"/>
    <mergeCell ref="E1154:F1154"/>
    <mergeCell ref="AO1154:AP1154"/>
    <mergeCell ref="AQ1154:AR1154"/>
    <mergeCell ref="C1155:D1155"/>
    <mergeCell ref="E1155:F1155"/>
    <mergeCell ref="AO1155:AP1155"/>
    <mergeCell ref="AQ1155:AR1155"/>
    <mergeCell ref="C1156:D1156"/>
    <mergeCell ref="E1156:F1156"/>
    <mergeCell ref="AO1156:AP1156"/>
    <mergeCell ref="AQ1156:AR1156"/>
    <mergeCell ref="C1157:D1157"/>
    <mergeCell ref="E1157:F1157"/>
    <mergeCell ref="AO1157:AP1157"/>
    <mergeCell ref="AQ1157:AR1157"/>
    <mergeCell ref="C1158:D1158"/>
    <mergeCell ref="E1158:F1158"/>
    <mergeCell ref="AO1158:AP1158"/>
    <mergeCell ref="AQ1158:AR1158"/>
    <mergeCell ref="C1159:D1159"/>
    <mergeCell ref="E1159:F1159"/>
    <mergeCell ref="AO1159:AP1159"/>
    <mergeCell ref="AQ1159:AR1159"/>
    <mergeCell ref="C1160:D1160"/>
    <mergeCell ref="E1160:F1160"/>
    <mergeCell ref="AO1160:AP1160"/>
    <mergeCell ref="AQ1160:AR1160"/>
    <mergeCell ref="C1161:D1161"/>
    <mergeCell ref="E1161:F1161"/>
    <mergeCell ref="AO1161:AP1161"/>
    <mergeCell ref="AQ1161:AR1161"/>
    <mergeCell ref="C1162:D1162"/>
    <mergeCell ref="E1162:F1162"/>
    <mergeCell ref="AO1162:AP1162"/>
    <mergeCell ref="AQ1162:AR1162"/>
    <mergeCell ref="C1163:D1163"/>
    <mergeCell ref="E1163:F1163"/>
    <mergeCell ref="AO1163:AP1163"/>
    <mergeCell ref="AQ1163:AR1163"/>
    <mergeCell ref="C1164:D1164"/>
    <mergeCell ref="E1164:F1164"/>
    <mergeCell ref="AO1164:AP1164"/>
    <mergeCell ref="AQ1164:AR1164"/>
    <mergeCell ref="C1165:D1165"/>
    <mergeCell ref="E1165:F1165"/>
    <mergeCell ref="AO1165:AP1165"/>
    <mergeCell ref="AQ1165:AR1165"/>
    <mergeCell ref="C1166:D1166"/>
    <mergeCell ref="E1166:F1166"/>
    <mergeCell ref="AO1166:AP1166"/>
    <mergeCell ref="AQ1166:AR1166"/>
    <mergeCell ref="C1167:D1167"/>
    <mergeCell ref="E1167:F1167"/>
    <mergeCell ref="AO1167:AP1167"/>
    <mergeCell ref="AQ1167:AR1167"/>
    <mergeCell ref="C1168:D1168"/>
    <mergeCell ref="E1168:F1168"/>
    <mergeCell ref="AO1168:AP1168"/>
    <mergeCell ref="AQ1168:AR1168"/>
    <mergeCell ref="C1169:D1169"/>
    <mergeCell ref="E1169:F1169"/>
    <mergeCell ref="AO1169:AP1169"/>
    <mergeCell ref="AQ1169:AR1169"/>
    <mergeCell ref="C1170:D1170"/>
    <mergeCell ref="E1170:F1170"/>
    <mergeCell ref="AO1170:AP1170"/>
    <mergeCell ref="AQ1170:AR1170"/>
    <mergeCell ref="C1171:D1171"/>
    <mergeCell ref="E1171:F1171"/>
    <mergeCell ref="AO1171:AP1171"/>
    <mergeCell ref="AQ1171:AR1171"/>
    <mergeCell ref="C1172:D1172"/>
    <mergeCell ref="E1172:F1172"/>
    <mergeCell ref="AO1172:AP1172"/>
    <mergeCell ref="AQ1172:AR1172"/>
    <mergeCell ref="C1173:D1173"/>
    <mergeCell ref="E1173:F1173"/>
    <mergeCell ref="AO1173:AP1173"/>
    <mergeCell ref="AQ1173:AR1173"/>
    <mergeCell ref="C1174:D1174"/>
    <mergeCell ref="E1174:F1174"/>
    <mergeCell ref="AO1174:AP1174"/>
    <mergeCell ref="AQ1174:AR1174"/>
    <mergeCell ref="C1175:D1175"/>
    <mergeCell ref="E1175:F1175"/>
    <mergeCell ref="AO1175:AP1175"/>
    <mergeCell ref="AQ1175:AR1175"/>
    <mergeCell ref="C1176:D1176"/>
    <mergeCell ref="E1176:F1176"/>
    <mergeCell ref="AO1176:AP1176"/>
    <mergeCell ref="AQ1176:AR1176"/>
    <mergeCell ref="C1177:D1177"/>
    <mergeCell ref="E1177:F1177"/>
    <mergeCell ref="AO1177:AP1177"/>
    <mergeCell ref="AQ1177:AR1177"/>
    <mergeCell ref="C1178:D1178"/>
    <mergeCell ref="E1178:F1178"/>
    <mergeCell ref="AO1178:AP1178"/>
    <mergeCell ref="AQ1178:AR1178"/>
    <mergeCell ref="C1179:D1179"/>
    <mergeCell ref="E1179:F1179"/>
    <mergeCell ref="AO1179:AP1179"/>
    <mergeCell ref="AQ1179:AR1179"/>
    <mergeCell ref="C1180:D1180"/>
    <mergeCell ref="E1180:F1180"/>
    <mergeCell ref="AO1180:AP1180"/>
    <mergeCell ref="AQ1180:AR1180"/>
    <mergeCell ref="C1181:D1181"/>
    <mergeCell ref="E1181:F1181"/>
    <mergeCell ref="AO1181:AP1181"/>
    <mergeCell ref="AQ1181:AR1181"/>
    <mergeCell ref="C1182:D1182"/>
    <mergeCell ref="E1182:F1182"/>
    <mergeCell ref="AO1182:AP1182"/>
    <mergeCell ref="AQ1182:AR1182"/>
    <mergeCell ref="C1183:D1183"/>
    <mergeCell ref="E1183:F1183"/>
    <mergeCell ref="AO1183:AP1183"/>
    <mergeCell ref="AQ1183:AR1183"/>
    <mergeCell ref="C1184:D1184"/>
    <mergeCell ref="E1184:F1184"/>
    <mergeCell ref="AO1184:AP1184"/>
    <mergeCell ref="AQ1184:AR1184"/>
    <mergeCell ref="C1185:D1185"/>
    <mergeCell ref="E1185:F1185"/>
    <mergeCell ref="AO1185:AP1185"/>
    <mergeCell ref="AQ1185:AR1185"/>
    <mergeCell ref="C1186:D1186"/>
    <mergeCell ref="E1186:F1186"/>
    <mergeCell ref="AO1186:AP1186"/>
    <mergeCell ref="AQ1186:AR1186"/>
    <mergeCell ref="C1187:D1187"/>
    <mergeCell ref="E1187:F1187"/>
    <mergeCell ref="AO1187:AP1187"/>
    <mergeCell ref="AQ1187:AR1187"/>
    <mergeCell ref="C1188:D1188"/>
    <mergeCell ref="E1188:F1188"/>
    <mergeCell ref="AO1188:AP1188"/>
    <mergeCell ref="AQ1188:AR1188"/>
    <mergeCell ref="C1189:D1189"/>
    <mergeCell ref="E1189:F1189"/>
    <mergeCell ref="AO1189:AP1189"/>
    <mergeCell ref="AQ1189:AR1189"/>
    <mergeCell ref="C1190:D1190"/>
    <mergeCell ref="E1190:F1190"/>
    <mergeCell ref="AO1190:AP1190"/>
    <mergeCell ref="AQ1190:AR1190"/>
    <mergeCell ref="C1191:D1191"/>
    <mergeCell ref="E1191:F1191"/>
    <mergeCell ref="AO1191:AP1191"/>
    <mergeCell ref="AQ1191:AR1191"/>
    <mergeCell ref="C1192:D1192"/>
    <mergeCell ref="E1192:F1192"/>
    <mergeCell ref="AO1192:AP1192"/>
    <mergeCell ref="AQ1192:AR1192"/>
    <mergeCell ref="C1193:D1193"/>
    <mergeCell ref="E1193:F1193"/>
    <mergeCell ref="AO1193:AP1193"/>
    <mergeCell ref="AQ1193:AR1193"/>
    <mergeCell ref="C1194:D1194"/>
    <mergeCell ref="E1194:F1194"/>
    <mergeCell ref="AO1194:AP1194"/>
    <mergeCell ref="AQ1194:AR1194"/>
    <mergeCell ref="C1195:D1195"/>
    <mergeCell ref="E1195:F1195"/>
    <mergeCell ref="AO1195:AP1195"/>
    <mergeCell ref="AQ1195:AR1195"/>
    <mergeCell ref="C1196:D1196"/>
    <mergeCell ref="E1196:F1196"/>
    <mergeCell ref="AO1196:AP1196"/>
    <mergeCell ref="AQ1196:AR1196"/>
    <mergeCell ref="C1197:D1197"/>
    <mergeCell ref="E1197:F1197"/>
    <mergeCell ref="AO1197:AP1197"/>
    <mergeCell ref="AQ1197:AR1197"/>
    <mergeCell ref="C1198:D1198"/>
    <mergeCell ref="E1198:F1198"/>
    <mergeCell ref="AO1198:AP1198"/>
    <mergeCell ref="AQ1198:AR1198"/>
    <mergeCell ref="C1199:D1199"/>
    <mergeCell ref="E1199:F1199"/>
    <mergeCell ref="AO1199:AP1199"/>
    <mergeCell ref="AQ1199:AR1199"/>
    <mergeCell ref="C1200:D1200"/>
    <mergeCell ref="E1200:F1200"/>
    <mergeCell ref="AO1200:AP1200"/>
    <mergeCell ref="AQ1200:AR1200"/>
    <mergeCell ref="C1201:D1201"/>
    <mergeCell ref="E1201:F1201"/>
    <mergeCell ref="AO1201:AP1201"/>
    <mergeCell ref="AQ1201:AR1201"/>
    <mergeCell ref="C1202:D1202"/>
    <mergeCell ref="E1202:F1202"/>
    <mergeCell ref="AO1202:AP1202"/>
    <mergeCell ref="AQ1202:AR1202"/>
    <mergeCell ref="C1203:D1203"/>
    <mergeCell ref="E1203:F1203"/>
    <mergeCell ref="AO1203:AP1203"/>
    <mergeCell ref="AQ1203:AR1203"/>
    <mergeCell ref="C1204:D1204"/>
    <mergeCell ref="E1204:F1204"/>
    <mergeCell ref="AO1204:AP1204"/>
    <mergeCell ref="AQ1204:AR1204"/>
    <mergeCell ref="C1205:D1205"/>
    <mergeCell ref="E1205:F1205"/>
    <mergeCell ref="AO1205:AP1205"/>
    <mergeCell ref="AQ1205:AR1205"/>
    <mergeCell ref="C1206:D1206"/>
    <mergeCell ref="E1206:F1206"/>
    <mergeCell ref="AO1206:AP1206"/>
    <mergeCell ref="AQ1206:AR1206"/>
    <mergeCell ref="C1207:D1207"/>
    <mergeCell ref="E1207:F1207"/>
    <mergeCell ref="AO1207:AP1207"/>
    <mergeCell ref="AQ1207:AR1207"/>
    <mergeCell ref="C1208:D1208"/>
    <mergeCell ref="E1208:F1208"/>
    <mergeCell ref="AO1208:AP1208"/>
    <mergeCell ref="AQ1208:AR1208"/>
    <mergeCell ref="C1209:D1209"/>
    <mergeCell ref="E1209:F1209"/>
    <mergeCell ref="AO1209:AP1209"/>
    <mergeCell ref="AQ1209:AR1209"/>
    <mergeCell ref="C1210:D1210"/>
    <mergeCell ref="E1210:F1210"/>
    <mergeCell ref="AO1210:AP1210"/>
    <mergeCell ref="AQ1210:AR1210"/>
    <mergeCell ref="C1211:D1211"/>
    <mergeCell ref="E1211:F1211"/>
    <mergeCell ref="AO1211:AP1211"/>
    <mergeCell ref="AQ1211:AR1211"/>
    <mergeCell ref="C1212:D1212"/>
    <mergeCell ref="E1212:F1212"/>
    <mergeCell ref="AO1212:AP1212"/>
    <mergeCell ref="AQ1212:AR1212"/>
    <mergeCell ref="C1213:D1213"/>
    <mergeCell ref="E1213:F1213"/>
    <mergeCell ref="AO1213:AP1213"/>
    <mergeCell ref="AQ1213:AR1213"/>
    <mergeCell ref="C1214:D1214"/>
    <mergeCell ref="E1214:F1214"/>
    <mergeCell ref="AO1214:AP1214"/>
    <mergeCell ref="AQ1214:AR1214"/>
    <mergeCell ref="C1215:D1215"/>
    <mergeCell ref="E1215:F1215"/>
    <mergeCell ref="AO1215:AP1215"/>
    <mergeCell ref="AQ1215:AR1215"/>
    <mergeCell ref="C1216:D1216"/>
    <mergeCell ref="E1216:F1216"/>
    <mergeCell ref="AO1216:AP1216"/>
    <mergeCell ref="AQ1216:AR1216"/>
    <mergeCell ref="C1217:D1217"/>
    <mergeCell ref="E1217:F1217"/>
    <mergeCell ref="AO1217:AP1217"/>
    <mergeCell ref="AQ1217:AR1217"/>
    <mergeCell ref="C1218:D1218"/>
    <mergeCell ref="E1218:F1218"/>
    <mergeCell ref="AO1218:AP1218"/>
    <mergeCell ref="AQ1218:AR1218"/>
    <mergeCell ref="C1219:D1219"/>
    <mergeCell ref="E1219:F1219"/>
    <mergeCell ref="AO1219:AP1219"/>
    <mergeCell ref="AQ1219:AR1219"/>
    <mergeCell ref="C1220:D1220"/>
    <mergeCell ref="E1220:F1220"/>
    <mergeCell ref="AO1220:AP1220"/>
    <mergeCell ref="AQ1220:AR1220"/>
    <mergeCell ref="C1221:D1221"/>
    <mergeCell ref="E1221:F1221"/>
    <mergeCell ref="AO1221:AP1221"/>
    <mergeCell ref="AQ1221:AR1221"/>
    <mergeCell ref="C1222:D1222"/>
    <mergeCell ref="E1222:F1222"/>
    <mergeCell ref="AO1222:AP1222"/>
    <mergeCell ref="AQ1222:AR1222"/>
    <mergeCell ref="C1223:D1223"/>
    <mergeCell ref="E1223:F1223"/>
    <mergeCell ref="AO1223:AP1223"/>
    <mergeCell ref="AQ1223:AR1223"/>
    <mergeCell ref="C1224:D1224"/>
    <mergeCell ref="E1224:F1224"/>
    <mergeCell ref="AO1224:AP1224"/>
    <mergeCell ref="AQ1224:AR1224"/>
    <mergeCell ref="C1225:D1225"/>
    <mergeCell ref="E1225:F1225"/>
    <mergeCell ref="AO1225:AP1225"/>
    <mergeCell ref="AQ1225:AR1225"/>
    <mergeCell ref="C1226:D1226"/>
    <mergeCell ref="E1226:F1226"/>
    <mergeCell ref="AO1226:AP1226"/>
    <mergeCell ref="AQ1226:AR1226"/>
    <mergeCell ref="C1227:D1227"/>
    <mergeCell ref="E1227:F1227"/>
    <mergeCell ref="AO1227:AP1227"/>
    <mergeCell ref="AQ1227:AR1227"/>
    <mergeCell ref="C1228:D1228"/>
    <mergeCell ref="E1228:F1228"/>
    <mergeCell ref="AO1228:AP1228"/>
    <mergeCell ref="AQ1228:AR1228"/>
    <mergeCell ref="C1229:D1229"/>
    <mergeCell ref="E1229:F1229"/>
    <mergeCell ref="AO1229:AP1229"/>
    <mergeCell ref="AQ1229:AR1229"/>
    <mergeCell ref="C1230:D1230"/>
    <mergeCell ref="E1230:F1230"/>
    <mergeCell ref="AO1230:AP1230"/>
    <mergeCell ref="AQ1230:AR1230"/>
    <mergeCell ref="C1231:D1231"/>
    <mergeCell ref="E1231:F1231"/>
    <mergeCell ref="AO1231:AP1231"/>
    <mergeCell ref="AQ1231:AR1231"/>
    <mergeCell ref="C1232:D1232"/>
    <mergeCell ref="E1232:F1232"/>
    <mergeCell ref="AO1232:AP1232"/>
    <mergeCell ref="AQ1232:AR1232"/>
    <mergeCell ref="C1233:D1233"/>
    <mergeCell ref="E1233:F1233"/>
    <mergeCell ref="AO1233:AP1233"/>
    <mergeCell ref="AQ1233:AR1233"/>
    <mergeCell ref="C1234:D1234"/>
    <mergeCell ref="E1234:F1234"/>
    <mergeCell ref="AO1234:AP1234"/>
    <mergeCell ref="AQ1234:AR1234"/>
    <mergeCell ref="C1235:D1235"/>
    <mergeCell ref="E1235:F1235"/>
    <mergeCell ref="AO1235:AP1235"/>
    <mergeCell ref="AQ1235:AR1235"/>
    <mergeCell ref="C1236:D1236"/>
    <mergeCell ref="E1236:F1236"/>
    <mergeCell ref="AO1236:AP1236"/>
    <mergeCell ref="AQ1236:AR1236"/>
    <mergeCell ref="C1237:D1237"/>
    <mergeCell ref="E1237:F1237"/>
    <mergeCell ref="AO1237:AP1237"/>
    <mergeCell ref="AQ1237:AR1237"/>
    <mergeCell ref="C1238:D1238"/>
    <mergeCell ref="E1238:F1238"/>
    <mergeCell ref="AO1238:AP1238"/>
    <mergeCell ref="AQ1238:AR1238"/>
    <mergeCell ref="C1239:D1239"/>
    <mergeCell ref="E1239:F1239"/>
    <mergeCell ref="AO1239:AP1239"/>
    <mergeCell ref="AQ1239:AR1239"/>
    <mergeCell ref="C1240:D1240"/>
    <mergeCell ref="E1240:F1240"/>
    <mergeCell ref="AO1240:AP1240"/>
    <mergeCell ref="AQ1240:AR1240"/>
    <mergeCell ref="C1241:D1241"/>
    <mergeCell ref="E1241:F1241"/>
    <mergeCell ref="AO1241:AP1241"/>
    <mergeCell ref="AQ1241:AR1241"/>
    <mergeCell ref="C1242:D1242"/>
    <mergeCell ref="E1242:F1242"/>
    <mergeCell ref="AO1242:AP1242"/>
    <mergeCell ref="AQ1242:AR1242"/>
    <mergeCell ref="C1243:D1243"/>
    <mergeCell ref="E1243:F1243"/>
    <mergeCell ref="AO1243:AP1243"/>
    <mergeCell ref="AQ1243:AR1243"/>
    <mergeCell ref="C1244:D1244"/>
    <mergeCell ref="E1244:F1244"/>
    <mergeCell ref="AO1244:AP1244"/>
    <mergeCell ref="AQ1244:AR1244"/>
    <mergeCell ref="C1245:D1245"/>
    <mergeCell ref="E1245:F1245"/>
    <mergeCell ref="AO1245:AP1245"/>
    <mergeCell ref="AQ1245:AR1245"/>
    <mergeCell ref="C1246:D1246"/>
    <mergeCell ref="E1246:F1246"/>
    <mergeCell ref="AO1246:AP1246"/>
    <mergeCell ref="AQ1246:AR1246"/>
    <mergeCell ref="C1247:D1247"/>
    <mergeCell ref="E1247:F1247"/>
    <mergeCell ref="AO1247:AP1247"/>
    <mergeCell ref="AQ1247:AR1247"/>
    <mergeCell ref="C1248:D1248"/>
    <mergeCell ref="E1248:F1248"/>
    <mergeCell ref="AO1248:AP1248"/>
    <mergeCell ref="AQ1248:AR1248"/>
    <mergeCell ref="C1249:D1249"/>
    <mergeCell ref="E1249:F1249"/>
    <mergeCell ref="AO1249:AP1249"/>
    <mergeCell ref="AQ1249:AR1249"/>
    <mergeCell ref="C1250:D1250"/>
    <mergeCell ref="E1250:F1250"/>
    <mergeCell ref="AO1250:AP1250"/>
    <mergeCell ref="AQ1250:AR1250"/>
    <mergeCell ref="C1251:D1251"/>
    <mergeCell ref="E1251:F1251"/>
    <mergeCell ref="AO1251:AP1251"/>
    <mergeCell ref="AQ1251:AR1251"/>
    <mergeCell ref="C1252:D1252"/>
    <mergeCell ref="E1252:F1252"/>
    <mergeCell ref="AO1252:AP1252"/>
    <mergeCell ref="AQ1252:AR1252"/>
    <mergeCell ref="C1253:D1253"/>
    <mergeCell ref="E1253:F1253"/>
    <mergeCell ref="AO1253:AP1253"/>
    <mergeCell ref="AQ1253:AR1253"/>
    <mergeCell ref="C1254:D1254"/>
    <mergeCell ref="E1254:F1254"/>
    <mergeCell ref="AO1254:AP1254"/>
    <mergeCell ref="AQ1254:AR1254"/>
    <mergeCell ref="C1255:D1255"/>
    <mergeCell ref="E1255:F1255"/>
    <mergeCell ref="AO1255:AP1255"/>
    <mergeCell ref="AQ1255:AR1255"/>
    <mergeCell ref="C1256:D1256"/>
    <mergeCell ref="E1256:F1256"/>
    <mergeCell ref="AO1256:AP1256"/>
    <mergeCell ref="AQ1256:AR1256"/>
    <mergeCell ref="C1257:D1257"/>
    <mergeCell ref="E1257:F1257"/>
    <mergeCell ref="AO1257:AP1257"/>
    <mergeCell ref="AQ1257:AR1257"/>
    <mergeCell ref="C1258:D1258"/>
    <mergeCell ref="E1258:F1258"/>
    <mergeCell ref="AO1258:AP1258"/>
    <mergeCell ref="AQ1258:AR1258"/>
    <mergeCell ref="C1259:D1259"/>
    <mergeCell ref="E1259:F1259"/>
    <mergeCell ref="AO1259:AP1259"/>
    <mergeCell ref="AQ1259:AR1259"/>
    <mergeCell ref="C1260:D1260"/>
    <mergeCell ref="E1260:F1260"/>
    <mergeCell ref="AO1260:AP1260"/>
    <mergeCell ref="AQ1260:AR1260"/>
    <mergeCell ref="C1261:D1261"/>
    <mergeCell ref="E1261:F1261"/>
    <mergeCell ref="AO1261:AP1261"/>
    <mergeCell ref="AQ1261:AR1261"/>
    <mergeCell ref="C1262:D1262"/>
    <mergeCell ref="E1262:F1262"/>
    <mergeCell ref="AO1262:AP1262"/>
    <mergeCell ref="AQ1262:AR1262"/>
    <mergeCell ref="C1263:D1263"/>
    <mergeCell ref="E1263:F1263"/>
    <mergeCell ref="AO1263:AP1263"/>
    <mergeCell ref="AQ1263:AR1263"/>
    <mergeCell ref="C1264:D1264"/>
    <mergeCell ref="E1264:F1264"/>
    <mergeCell ref="AO1264:AP1264"/>
    <mergeCell ref="AQ1264:AR1264"/>
    <mergeCell ref="C1265:D1265"/>
    <mergeCell ref="E1265:F1265"/>
    <mergeCell ref="AO1265:AP1265"/>
    <mergeCell ref="AQ1265:AR1265"/>
    <mergeCell ref="C1266:D1266"/>
    <mergeCell ref="E1266:F1266"/>
    <mergeCell ref="AO1266:AP1266"/>
    <mergeCell ref="AQ1266:AR1266"/>
    <mergeCell ref="C1267:D1267"/>
    <mergeCell ref="E1267:F1267"/>
    <mergeCell ref="AO1267:AP1267"/>
    <mergeCell ref="AQ1267:AR1267"/>
    <mergeCell ref="C1268:D1268"/>
    <mergeCell ref="E1268:F1268"/>
    <mergeCell ref="AO1268:AP1268"/>
    <mergeCell ref="AQ1268:AR1268"/>
    <mergeCell ref="C1269:D1269"/>
    <mergeCell ref="E1269:F1269"/>
    <mergeCell ref="AO1269:AP1269"/>
    <mergeCell ref="AQ1269:AR1269"/>
    <mergeCell ref="C1270:D1270"/>
    <mergeCell ref="E1270:F1270"/>
    <mergeCell ref="AO1270:AP1270"/>
    <mergeCell ref="AQ1270:AR1270"/>
    <mergeCell ref="C1271:D1271"/>
    <mergeCell ref="E1271:F1271"/>
    <mergeCell ref="AO1271:AP1271"/>
    <mergeCell ref="AQ1271:AR1271"/>
    <mergeCell ref="C1272:D1272"/>
    <mergeCell ref="E1272:F1272"/>
    <mergeCell ref="AO1272:AP1272"/>
    <mergeCell ref="AQ1272:AR1272"/>
    <mergeCell ref="C1273:D1273"/>
    <mergeCell ref="E1273:F1273"/>
    <mergeCell ref="AO1273:AP1273"/>
    <mergeCell ref="AQ1273:AR1273"/>
    <mergeCell ref="C1274:D1274"/>
    <mergeCell ref="E1274:F1274"/>
    <mergeCell ref="AO1274:AP1274"/>
    <mergeCell ref="AQ1274:AR1274"/>
    <mergeCell ref="C1275:D1275"/>
    <mergeCell ref="E1275:F1275"/>
    <mergeCell ref="AO1275:AP1275"/>
    <mergeCell ref="AQ1275:AR1275"/>
    <mergeCell ref="C1276:D1276"/>
    <mergeCell ref="E1276:F1276"/>
    <mergeCell ref="AO1276:AP1276"/>
    <mergeCell ref="AQ1276:AR1276"/>
    <mergeCell ref="C1277:D1277"/>
    <mergeCell ref="E1277:F1277"/>
    <mergeCell ref="AO1277:AP1277"/>
    <mergeCell ref="AQ1277:AR1277"/>
    <mergeCell ref="C1278:D1278"/>
    <mergeCell ref="E1278:F1278"/>
    <mergeCell ref="AO1278:AP1278"/>
    <mergeCell ref="AQ1278:AR1278"/>
    <mergeCell ref="C1279:D1279"/>
    <mergeCell ref="E1279:F1279"/>
    <mergeCell ref="AO1279:AP1279"/>
    <mergeCell ref="AQ1279:AR1279"/>
    <mergeCell ref="C1280:D1280"/>
    <mergeCell ref="E1280:F1280"/>
    <mergeCell ref="AO1280:AP1280"/>
    <mergeCell ref="AQ1280:AR1280"/>
    <mergeCell ref="C1281:D1281"/>
    <mergeCell ref="E1281:F1281"/>
    <mergeCell ref="AO1281:AP1281"/>
    <mergeCell ref="AQ1281:AR1281"/>
    <mergeCell ref="C1282:D1282"/>
    <mergeCell ref="E1282:F1282"/>
    <mergeCell ref="AO1282:AP1282"/>
    <mergeCell ref="AQ1282:AR1282"/>
    <mergeCell ref="C1283:D1283"/>
    <mergeCell ref="E1283:F1283"/>
    <mergeCell ref="AO1283:AP1283"/>
    <mergeCell ref="AQ1283:AR1283"/>
    <mergeCell ref="C1284:D1284"/>
    <mergeCell ref="E1284:F1284"/>
    <mergeCell ref="AO1284:AP1284"/>
    <mergeCell ref="AQ1284:AR1284"/>
    <mergeCell ref="C1285:D1285"/>
    <mergeCell ref="E1285:F1285"/>
    <mergeCell ref="AO1285:AP1285"/>
    <mergeCell ref="AQ1285:AR1285"/>
    <mergeCell ref="C1286:D1286"/>
    <mergeCell ref="E1286:F1286"/>
    <mergeCell ref="AO1286:AP1286"/>
    <mergeCell ref="AQ1286:AR1286"/>
    <mergeCell ref="C1287:D1287"/>
    <mergeCell ref="E1287:F1287"/>
    <mergeCell ref="AO1287:AP1287"/>
    <mergeCell ref="AQ1287:AR1287"/>
    <mergeCell ref="C1288:D1288"/>
    <mergeCell ref="E1288:F1288"/>
    <mergeCell ref="AO1288:AP1288"/>
    <mergeCell ref="AQ1288:AR1288"/>
    <mergeCell ref="C1289:D1289"/>
    <mergeCell ref="E1289:F1289"/>
    <mergeCell ref="AO1289:AP1289"/>
    <mergeCell ref="AQ1289:AR1289"/>
    <mergeCell ref="C1290:D1290"/>
    <mergeCell ref="E1290:F1290"/>
    <mergeCell ref="AO1290:AP1290"/>
    <mergeCell ref="AQ1290:AR1290"/>
    <mergeCell ref="C1291:D1291"/>
    <mergeCell ref="E1291:F1291"/>
    <mergeCell ref="AO1291:AP1291"/>
    <mergeCell ref="AQ1291:AR1291"/>
    <mergeCell ref="C1292:D1292"/>
    <mergeCell ref="E1292:F1292"/>
    <mergeCell ref="AO1292:AP1292"/>
    <mergeCell ref="AQ1292:AR1292"/>
    <mergeCell ref="C1293:D1293"/>
    <mergeCell ref="E1293:F1293"/>
    <mergeCell ref="AO1293:AP1293"/>
    <mergeCell ref="AQ1293:AR1293"/>
    <mergeCell ref="C1294:D1294"/>
    <mergeCell ref="E1294:F1294"/>
    <mergeCell ref="AO1294:AP1294"/>
    <mergeCell ref="AQ1294:AR1294"/>
    <mergeCell ref="C1295:D1295"/>
    <mergeCell ref="E1295:F1295"/>
    <mergeCell ref="AO1295:AP1295"/>
    <mergeCell ref="AQ1295:AR1295"/>
    <mergeCell ref="C1296:D1296"/>
    <mergeCell ref="E1296:F1296"/>
    <mergeCell ref="AO1296:AP1296"/>
    <mergeCell ref="AQ1296:AR1296"/>
    <mergeCell ref="C1297:D1297"/>
    <mergeCell ref="E1297:F1297"/>
    <mergeCell ref="AO1297:AP1297"/>
    <mergeCell ref="AQ1297:AR1297"/>
    <mergeCell ref="C1298:D1298"/>
    <mergeCell ref="E1298:F1298"/>
    <mergeCell ref="AO1298:AP1298"/>
    <mergeCell ref="AQ1298:AR1298"/>
    <mergeCell ref="C1299:D1299"/>
    <mergeCell ref="E1299:F1299"/>
    <mergeCell ref="AO1299:AP1299"/>
    <mergeCell ref="AQ1299:AR1299"/>
    <mergeCell ref="C1300:D1300"/>
    <mergeCell ref="E1300:F1300"/>
    <mergeCell ref="AO1300:AP1300"/>
    <mergeCell ref="AQ1300:AR1300"/>
    <mergeCell ref="C1301:D1301"/>
    <mergeCell ref="E1301:F1301"/>
    <mergeCell ref="AO1301:AP1301"/>
    <mergeCell ref="AQ1301:AR1301"/>
    <mergeCell ref="C1302:D1302"/>
    <mergeCell ref="E1302:F1302"/>
    <mergeCell ref="AO1302:AP1302"/>
    <mergeCell ref="AQ1302:AR1302"/>
    <mergeCell ref="C1303:D1303"/>
    <mergeCell ref="E1303:F1303"/>
    <mergeCell ref="AO1303:AP1303"/>
    <mergeCell ref="AQ1303:AR1303"/>
    <mergeCell ref="C1304:D1304"/>
    <mergeCell ref="E1304:F1304"/>
    <mergeCell ref="AO1304:AP1304"/>
    <mergeCell ref="AQ1304:AR1304"/>
    <mergeCell ref="C1305:D1305"/>
    <mergeCell ref="E1305:F1305"/>
    <mergeCell ref="AO1305:AP1305"/>
    <mergeCell ref="AQ1305:AR1305"/>
    <mergeCell ref="C1306:D1306"/>
    <mergeCell ref="E1306:F1306"/>
    <mergeCell ref="AO1306:AP1306"/>
    <mergeCell ref="AQ1306:AR1306"/>
    <mergeCell ref="C1307:D1307"/>
    <mergeCell ref="E1307:F1307"/>
    <mergeCell ref="AO1307:AP1307"/>
    <mergeCell ref="AQ1307:AR1307"/>
    <mergeCell ref="C1308:D1308"/>
    <mergeCell ref="E1308:F1308"/>
    <mergeCell ref="AO1308:AP1308"/>
    <mergeCell ref="AQ1308:AR1308"/>
    <mergeCell ref="C1309:D1309"/>
    <mergeCell ref="E1309:F1309"/>
    <mergeCell ref="AO1309:AP1309"/>
    <mergeCell ref="AQ1309:AR1309"/>
    <mergeCell ref="C1310:D1310"/>
    <mergeCell ref="E1310:F1310"/>
    <mergeCell ref="AO1310:AP1310"/>
    <mergeCell ref="AQ1310:AR1310"/>
    <mergeCell ref="C1311:D1311"/>
    <mergeCell ref="E1311:F1311"/>
    <mergeCell ref="AO1311:AP1311"/>
    <mergeCell ref="AQ1311:AR1311"/>
    <mergeCell ref="C1312:D1312"/>
    <mergeCell ref="E1312:F1312"/>
    <mergeCell ref="AO1312:AP1312"/>
    <mergeCell ref="AQ1312:AR1312"/>
    <mergeCell ref="C1313:D1313"/>
    <mergeCell ref="E1313:F1313"/>
    <mergeCell ref="AO1313:AP1313"/>
    <mergeCell ref="AQ1313:AR1313"/>
    <mergeCell ref="C1314:D1314"/>
    <mergeCell ref="E1314:F1314"/>
    <mergeCell ref="AO1314:AP1314"/>
    <mergeCell ref="AQ1314:AR1314"/>
    <mergeCell ref="C1315:D1315"/>
    <mergeCell ref="E1315:F1315"/>
    <mergeCell ref="AO1315:AP1315"/>
    <mergeCell ref="AQ1315:AR1315"/>
    <mergeCell ref="C1316:D1316"/>
    <mergeCell ref="E1316:F1316"/>
    <mergeCell ref="AO1316:AP1316"/>
    <mergeCell ref="AQ1316:AR1316"/>
    <mergeCell ref="C1317:D1317"/>
    <mergeCell ref="E1317:F1317"/>
    <mergeCell ref="AO1317:AP1317"/>
    <mergeCell ref="AQ1317:AR1317"/>
    <mergeCell ref="C1318:D1318"/>
    <mergeCell ref="E1318:F1318"/>
    <mergeCell ref="AO1318:AP1318"/>
    <mergeCell ref="AQ1318:AR1318"/>
    <mergeCell ref="C1319:D1319"/>
    <mergeCell ref="E1319:F1319"/>
    <mergeCell ref="AO1319:AP1319"/>
    <mergeCell ref="AQ1319:AR1319"/>
    <mergeCell ref="C1320:D1320"/>
    <mergeCell ref="E1320:F1320"/>
    <mergeCell ref="AO1320:AP1320"/>
    <mergeCell ref="AQ1320:AR1320"/>
    <mergeCell ref="C1321:D1321"/>
    <mergeCell ref="E1321:F1321"/>
    <mergeCell ref="AO1321:AP1321"/>
    <mergeCell ref="AQ1321:AR1321"/>
    <mergeCell ref="C1322:D1322"/>
    <mergeCell ref="E1322:F1322"/>
    <mergeCell ref="AO1322:AP1322"/>
    <mergeCell ref="AQ1322:AR1322"/>
    <mergeCell ref="C1323:D1323"/>
    <mergeCell ref="E1323:F1323"/>
    <mergeCell ref="AO1323:AP1323"/>
    <mergeCell ref="AQ1323:AR1323"/>
    <mergeCell ref="C1324:D1324"/>
    <mergeCell ref="E1324:F1324"/>
    <mergeCell ref="AO1324:AP1324"/>
    <mergeCell ref="AQ1324:AR1324"/>
    <mergeCell ref="C1325:D1325"/>
    <mergeCell ref="E1325:F1325"/>
    <mergeCell ref="AO1325:AP1325"/>
    <mergeCell ref="AQ1325:AR1325"/>
    <mergeCell ref="C1326:D1326"/>
    <mergeCell ref="E1326:F1326"/>
    <mergeCell ref="AO1326:AP1326"/>
    <mergeCell ref="AQ1326:AR1326"/>
    <mergeCell ref="C1327:D1327"/>
    <mergeCell ref="E1327:F1327"/>
    <mergeCell ref="AO1327:AP1327"/>
    <mergeCell ref="AQ1327:AR1327"/>
    <mergeCell ref="C1328:D1328"/>
    <mergeCell ref="E1328:F1328"/>
    <mergeCell ref="AO1328:AP1328"/>
    <mergeCell ref="AQ1328:AR1328"/>
    <mergeCell ref="C1329:D1329"/>
    <mergeCell ref="E1329:F1329"/>
    <mergeCell ref="AO1329:AP1329"/>
    <mergeCell ref="AQ1329:AR1329"/>
    <mergeCell ref="C1330:D1330"/>
    <mergeCell ref="E1330:F1330"/>
    <mergeCell ref="AO1330:AP1330"/>
    <mergeCell ref="AQ1330:AR1330"/>
    <mergeCell ref="C1331:D1331"/>
    <mergeCell ref="E1331:F1331"/>
    <mergeCell ref="AO1331:AP1331"/>
    <mergeCell ref="AQ1331:AR1331"/>
    <mergeCell ref="C1332:D1332"/>
    <mergeCell ref="E1332:F1332"/>
    <mergeCell ref="AO1332:AP1332"/>
    <mergeCell ref="AQ1332:AR1332"/>
    <mergeCell ref="C1333:D1333"/>
    <mergeCell ref="E1333:F1333"/>
    <mergeCell ref="AO1333:AP1333"/>
    <mergeCell ref="AQ1333:AR1333"/>
    <mergeCell ref="C1334:D1334"/>
    <mergeCell ref="E1334:F1334"/>
    <mergeCell ref="AO1334:AP1334"/>
    <mergeCell ref="AQ1334:AR1334"/>
    <mergeCell ref="C1335:D1335"/>
    <mergeCell ref="E1335:F1335"/>
    <mergeCell ref="AO1335:AP1335"/>
    <mergeCell ref="AQ1335:AR1335"/>
    <mergeCell ref="C1336:D1336"/>
    <mergeCell ref="E1336:F1336"/>
    <mergeCell ref="AO1336:AP1336"/>
    <mergeCell ref="AQ1336:AR1336"/>
    <mergeCell ref="C1337:D1337"/>
    <mergeCell ref="E1337:F1337"/>
    <mergeCell ref="AO1337:AP1337"/>
    <mergeCell ref="AQ1337:AR1337"/>
    <mergeCell ref="C1338:D1338"/>
    <mergeCell ref="E1338:F1338"/>
    <mergeCell ref="AO1338:AP1338"/>
    <mergeCell ref="AQ1338:AR1338"/>
    <mergeCell ref="C1339:D1339"/>
    <mergeCell ref="E1339:F1339"/>
    <mergeCell ref="AO1339:AP1339"/>
    <mergeCell ref="AQ1339:AR1339"/>
    <mergeCell ref="C1340:D1340"/>
    <mergeCell ref="E1340:F1340"/>
    <mergeCell ref="AO1340:AP1340"/>
    <mergeCell ref="AQ1340:AR1340"/>
    <mergeCell ref="C1341:D1341"/>
    <mergeCell ref="E1341:F1341"/>
    <mergeCell ref="AO1341:AP1341"/>
    <mergeCell ref="AQ1341:AR1341"/>
    <mergeCell ref="C1342:D1342"/>
    <mergeCell ref="E1342:F1342"/>
    <mergeCell ref="AO1342:AP1342"/>
    <mergeCell ref="AQ1342:AR1342"/>
    <mergeCell ref="C1343:D1343"/>
    <mergeCell ref="E1343:F1343"/>
    <mergeCell ref="AO1343:AP1343"/>
    <mergeCell ref="AQ1343:AR1343"/>
    <mergeCell ref="C1344:D1344"/>
    <mergeCell ref="E1344:F1344"/>
    <mergeCell ref="AO1344:AP1344"/>
    <mergeCell ref="AQ1344:AR1344"/>
    <mergeCell ref="C1345:D1345"/>
    <mergeCell ref="E1345:F1345"/>
    <mergeCell ref="AO1345:AP1345"/>
    <mergeCell ref="AQ1345:AR1345"/>
    <mergeCell ref="C1346:D1346"/>
    <mergeCell ref="E1346:F1346"/>
    <mergeCell ref="AO1346:AP1346"/>
    <mergeCell ref="AQ1346:AR1346"/>
    <mergeCell ref="C1347:D1347"/>
    <mergeCell ref="E1347:F1347"/>
    <mergeCell ref="AO1347:AP1347"/>
    <mergeCell ref="AQ1347:AR1347"/>
    <mergeCell ref="C1348:D1348"/>
    <mergeCell ref="E1348:F1348"/>
    <mergeCell ref="AO1348:AP1348"/>
    <mergeCell ref="AQ1348:AR1348"/>
    <mergeCell ref="C1349:D1349"/>
    <mergeCell ref="E1349:F1349"/>
    <mergeCell ref="AO1349:AP1349"/>
    <mergeCell ref="AQ1349:AR1349"/>
    <mergeCell ref="C1350:D1350"/>
    <mergeCell ref="E1350:F1350"/>
    <mergeCell ref="AO1350:AP1350"/>
    <mergeCell ref="AQ1350:AR1350"/>
    <mergeCell ref="C1351:D1351"/>
    <mergeCell ref="E1351:F1351"/>
    <mergeCell ref="AO1351:AP1351"/>
    <mergeCell ref="AQ1351:AR1351"/>
    <mergeCell ref="C1352:D1352"/>
    <mergeCell ref="E1352:F1352"/>
    <mergeCell ref="AO1352:AP1352"/>
    <mergeCell ref="AQ1352:AR1352"/>
    <mergeCell ref="C1353:D1353"/>
    <mergeCell ref="E1353:F1353"/>
    <mergeCell ref="AO1353:AP1353"/>
    <mergeCell ref="AQ1353:AR1353"/>
    <mergeCell ref="C1354:D1354"/>
    <mergeCell ref="E1354:F1354"/>
    <mergeCell ref="AO1354:AP1354"/>
    <mergeCell ref="AQ1354:AR1354"/>
    <mergeCell ref="C1355:D1355"/>
    <mergeCell ref="E1355:F1355"/>
    <mergeCell ref="AO1355:AP1355"/>
    <mergeCell ref="AQ1355:AR1355"/>
    <mergeCell ref="C1356:D1356"/>
    <mergeCell ref="E1356:F1356"/>
    <mergeCell ref="AO1356:AP1356"/>
    <mergeCell ref="AQ1356:AR1356"/>
    <mergeCell ref="C1357:D1357"/>
    <mergeCell ref="E1357:F1357"/>
    <mergeCell ref="AO1357:AP1357"/>
    <mergeCell ref="AQ1357:AR1357"/>
    <mergeCell ref="C1358:D1358"/>
    <mergeCell ref="E1358:F1358"/>
    <mergeCell ref="AO1358:AP1358"/>
    <mergeCell ref="AQ1358:AR1358"/>
    <mergeCell ref="C1359:D1359"/>
    <mergeCell ref="E1359:F1359"/>
    <mergeCell ref="AO1359:AP1359"/>
    <mergeCell ref="AQ1359:AR1359"/>
    <mergeCell ref="C1360:D1360"/>
    <mergeCell ref="E1360:F1360"/>
    <mergeCell ref="AO1360:AP1360"/>
    <mergeCell ref="AQ1360:AR1360"/>
    <mergeCell ref="C1361:D1361"/>
    <mergeCell ref="E1361:F1361"/>
    <mergeCell ref="AO1361:AP1361"/>
    <mergeCell ref="AQ1361:AR1361"/>
    <mergeCell ref="C1362:D1362"/>
    <mergeCell ref="E1362:F1362"/>
    <mergeCell ref="AO1362:AP1362"/>
    <mergeCell ref="AQ1362:AR1362"/>
    <mergeCell ref="C1363:D1363"/>
    <mergeCell ref="E1363:F1363"/>
    <mergeCell ref="AO1363:AP1363"/>
    <mergeCell ref="AQ1363:AR1363"/>
    <mergeCell ref="C1364:D1364"/>
    <mergeCell ref="E1364:F1364"/>
    <mergeCell ref="AO1364:AP1364"/>
    <mergeCell ref="AQ1364:AR1364"/>
    <mergeCell ref="C1365:D1365"/>
    <mergeCell ref="E1365:F1365"/>
    <mergeCell ref="AO1365:AP1365"/>
    <mergeCell ref="AQ1365:AR1365"/>
    <mergeCell ref="C1366:D1366"/>
    <mergeCell ref="E1366:F1366"/>
    <mergeCell ref="AO1366:AP1366"/>
    <mergeCell ref="AQ1366:AR1366"/>
    <mergeCell ref="C1367:D1367"/>
    <mergeCell ref="E1367:F1367"/>
    <mergeCell ref="AO1367:AP1367"/>
    <mergeCell ref="AQ1367:AR1367"/>
    <mergeCell ref="C1368:D1368"/>
    <mergeCell ref="E1368:F1368"/>
    <mergeCell ref="AO1368:AP1368"/>
    <mergeCell ref="AQ1368:AR1368"/>
    <mergeCell ref="C1369:D1369"/>
    <mergeCell ref="E1369:F1369"/>
    <mergeCell ref="AO1369:AP1369"/>
    <mergeCell ref="AQ1369:AR1369"/>
    <mergeCell ref="C1370:D1370"/>
    <mergeCell ref="E1370:F1370"/>
    <mergeCell ref="AO1370:AP1370"/>
    <mergeCell ref="AQ1370:AR1370"/>
    <mergeCell ref="C1371:D1371"/>
    <mergeCell ref="E1371:F1371"/>
    <mergeCell ref="AO1371:AP1371"/>
    <mergeCell ref="AQ1371:AR1371"/>
    <mergeCell ref="C1372:D1372"/>
    <mergeCell ref="E1372:F1372"/>
    <mergeCell ref="AO1372:AP1372"/>
    <mergeCell ref="AQ1372:AR1372"/>
    <mergeCell ref="C1373:D1373"/>
    <mergeCell ref="E1373:F1373"/>
    <mergeCell ref="AO1373:AP1373"/>
    <mergeCell ref="AQ1373:AR1373"/>
    <mergeCell ref="C1374:D1374"/>
    <mergeCell ref="E1374:F1374"/>
    <mergeCell ref="AO1374:AP1374"/>
    <mergeCell ref="AQ1374:AR1374"/>
    <mergeCell ref="C1375:D1375"/>
    <mergeCell ref="E1375:F1375"/>
    <mergeCell ref="AO1375:AP1375"/>
    <mergeCell ref="AQ1375:AR1375"/>
    <mergeCell ref="C1376:D1376"/>
    <mergeCell ref="E1376:F1376"/>
    <mergeCell ref="AO1376:AP1376"/>
    <mergeCell ref="AQ1376:AR1376"/>
    <mergeCell ref="C1377:D1377"/>
    <mergeCell ref="E1377:F1377"/>
    <mergeCell ref="AO1377:AP1377"/>
    <mergeCell ref="AQ1377:AR1377"/>
    <mergeCell ref="C1378:D1378"/>
    <mergeCell ref="E1378:F1378"/>
    <mergeCell ref="AO1378:AP1378"/>
    <mergeCell ref="AQ1378:AR1378"/>
    <mergeCell ref="C1379:D1379"/>
    <mergeCell ref="E1379:F1379"/>
    <mergeCell ref="AO1379:AP1379"/>
    <mergeCell ref="AQ1379:AR1379"/>
    <mergeCell ref="C1380:D1380"/>
    <mergeCell ref="E1380:F1380"/>
    <mergeCell ref="AO1380:AP1380"/>
    <mergeCell ref="AQ1380:AR1380"/>
    <mergeCell ref="C1381:D1381"/>
    <mergeCell ref="E1381:F1381"/>
    <mergeCell ref="AO1381:AP1381"/>
    <mergeCell ref="AQ1381:AR1381"/>
    <mergeCell ref="C1382:D1382"/>
    <mergeCell ref="E1382:F1382"/>
    <mergeCell ref="AO1382:AP1382"/>
    <mergeCell ref="AQ1382:AR1382"/>
    <mergeCell ref="C1383:D1383"/>
    <mergeCell ref="E1383:F1383"/>
    <mergeCell ref="AO1383:AP1383"/>
    <mergeCell ref="AQ1383:AR1383"/>
    <mergeCell ref="C1384:D1384"/>
    <mergeCell ref="E1384:F1384"/>
    <mergeCell ref="AO1384:AP1384"/>
    <mergeCell ref="AQ1384:AR1384"/>
    <mergeCell ref="C1385:D1385"/>
    <mergeCell ref="E1385:F1385"/>
    <mergeCell ref="AO1385:AP1385"/>
    <mergeCell ref="AQ1385:AR1385"/>
    <mergeCell ref="C1386:D1386"/>
    <mergeCell ref="E1386:F1386"/>
    <mergeCell ref="AO1386:AP1386"/>
    <mergeCell ref="AQ1386:AR1386"/>
    <mergeCell ref="C1387:D1387"/>
    <mergeCell ref="E1387:F1387"/>
    <mergeCell ref="AO1387:AP1387"/>
    <mergeCell ref="AQ1387:AR1387"/>
    <mergeCell ref="C1388:D1388"/>
    <mergeCell ref="E1388:F1388"/>
    <mergeCell ref="AO1388:AP1388"/>
    <mergeCell ref="AQ1388:AR1388"/>
    <mergeCell ref="C1389:D1389"/>
    <mergeCell ref="E1389:F1389"/>
    <mergeCell ref="AO1389:AP1389"/>
    <mergeCell ref="AQ1389:AR1389"/>
    <mergeCell ref="C1390:D1390"/>
    <mergeCell ref="E1390:F1390"/>
    <mergeCell ref="AO1390:AP1390"/>
    <mergeCell ref="AQ1390:AR1390"/>
    <mergeCell ref="C1391:D1391"/>
    <mergeCell ref="E1391:F1391"/>
    <mergeCell ref="AO1391:AP1391"/>
    <mergeCell ref="AQ1391:AR1391"/>
    <mergeCell ref="C1392:D1392"/>
    <mergeCell ref="E1392:F1392"/>
    <mergeCell ref="AO1392:AP1392"/>
    <mergeCell ref="AQ1392:AR1392"/>
    <mergeCell ref="C1393:D1393"/>
    <mergeCell ref="E1393:F1393"/>
    <mergeCell ref="AO1393:AP1393"/>
    <mergeCell ref="AQ1393:AR1393"/>
    <mergeCell ref="C1394:D1394"/>
    <mergeCell ref="E1394:F1394"/>
    <mergeCell ref="AO1394:AP1394"/>
    <mergeCell ref="AQ1394:AR1394"/>
    <mergeCell ref="C1395:D1395"/>
    <mergeCell ref="E1395:F1395"/>
    <mergeCell ref="AO1395:AP1395"/>
    <mergeCell ref="AQ1395:AR1395"/>
    <mergeCell ref="C1396:D1396"/>
    <mergeCell ref="E1396:F1396"/>
    <mergeCell ref="AO1396:AP1396"/>
    <mergeCell ref="AQ1396:AR1396"/>
    <mergeCell ref="C1397:D1397"/>
    <mergeCell ref="E1397:F1397"/>
    <mergeCell ref="AO1397:AP1397"/>
    <mergeCell ref="AQ1397:AR1397"/>
    <mergeCell ref="C1398:D1398"/>
    <mergeCell ref="E1398:F1398"/>
    <mergeCell ref="AO1398:AP1398"/>
    <mergeCell ref="AQ1398:AR1398"/>
    <mergeCell ref="C1399:D1399"/>
    <mergeCell ref="E1399:F1399"/>
    <mergeCell ref="AO1399:AP1399"/>
    <mergeCell ref="AQ1399:AR1399"/>
    <mergeCell ref="C1400:D1400"/>
    <mergeCell ref="E1400:F1400"/>
    <mergeCell ref="AO1400:AP1400"/>
    <mergeCell ref="AQ1400:AR1400"/>
    <mergeCell ref="C1401:D1401"/>
    <mergeCell ref="E1401:F1401"/>
    <mergeCell ref="AO1401:AP1401"/>
    <mergeCell ref="AQ1401:AR1401"/>
    <mergeCell ref="C1402:D1402"/>
    <mergeCell ref="E1402:F1402"/>
    <mergeCell ref="AO1402:AP1402"/>
    <mergeCell ref="AQ1402:AR1402"/>
    <mergeCell ref="C1403:D1403"/>
    <mergeCell ref="E1403:F1403"/>
    <mergeCell ref="AO1403:AP1403"/>
    <mergeCell ref="AQ1403:AR1403"/>
    <mergeCell ref="C1404:D1404"/>
    <mergeCell ref="E1404:F1404"/>
    <mergeCell ref="AO1404:AP1404"/>
    <mergeCell ref="AQ1404:AR1404"/>
    <mergeCell ref="C1405:D1405"/>
    <mergeCell ref="E1405:F1405"/>
    <mergeCell ref="AO1405:AP1405"/>
    <mergeCell ref="AQ1405:AR1405"/>
    <mergeCell ref="C1406:D1406"/>
    <mergeCell ref="E1406:F1406"/>
    <mergeCell ref="AO1406:AP1406"/>
    <mergeCell ref="AQ1406:AR1406"/>
    <mergeCell ref="C1407:D1407"/>
    <mergeCell ref="E1407:F1407"/>
    <mergeCell ref="AO1407:AP1407"/>
    <mergeCell ref="AQ1407:AR1407"/>
    <mergeCell ref="C1408:D1408"/>
    <mergeCell ref="E1408:F1408"/>
    <mergeCell ref="AO1408:AP1408"/>
    <mergeCell ref="AQ1408:AR1408"/>
    <mergeCell ref="C1409:D1409"/>
    <mergeCell ref="E1409:F1409"/>
    <mergeCell ref="AO1409:AP1409"/>
    <mergeCell ref="AQ1409:AR1409"/>
    <mergeCell ref="C1410:D1410"/>
    <mergeCell ref="E1410:F1410"/>
    <mergeCell ref="AO1410:AP1410"/>
    <mergeCell ref="AQ1410:AR1410"/>
    <mergeCell ref="C1411:D1411"/>
    <mergeCell ref="E1411:F1411"/>
    <mergeCell ref="AO1411:AP1411"/>
    <mergeCell ref="AQ1411:AR1411"/>
    <mergeCell ref="C1412:D1412"/>
    <mergeCell ref="E1412:F1412"/>
    <mergeCell ref="AO1412:AP1412"/>
    <mergeCell ref="AQ1412:AR1412"/>
    <mergeCell ref="C1413:D1413"/>
    <mergeCell ref="E1413:F1413"/>
    <mergeCell ref="AO1413:AP1413"/>
    <mergeCell ref="AQ1413:AR1413"/>
    <mergeCell ref="C1414:D1414"/>
    <mergeCell ref="E1414:F1414"/>
    <mergeCell ref="AO1414:AP1414"/>
    <mergeCell ref="AQ1414:AR1414"/>
    <mergeCell ref="C1415:D1415"/>
    <mergeCell ref="E1415:F1415"/>
    <mergeCell ref="AO1415:AP1415"/>
    <mergeCell ref="AQ1415:AR1415"/>
    <mergeCell ref="C1416:D1416"/>
    <mergeCell ref="E1416:F1416"/>
    <mergeCell ref="AO1416:AP1416"/>
    <mergeCell ref="AQ1416:AR1416"/>
    <mergeCell ref="C1417:D1417"/>
    <mergeCell ref="E1417:F1417"/>
    <mergeCell ref="AO1417:AP1417"/>
    <mergeCell ref="AQ1417:AR1417"/>
    <mergeCell ref="C1418:D1418"/>
    <mergeCell ref="E1418:F1418"/>
    <mergeCell ref="AO1418:AP1418"/>
    <mergeCell ref="AQ1418:AR1418"/>
    <mergeCell ref="C1419:D1419"/>
    <mergeCell ref="E1419:F1419"/>
    <mergeCell ref="AO1419:AP1419"/>
    <mergeCell ref="AQ1419:AR1419"/>
    <mergeCell ref="C1420:D1420"/>
    <mergeCell ref="E1420:F1420"/>
    <mergeCell ref="AO1420:AP1420"/>
    <mergeCell ref="AQ1420:AR1420"/>
    <mergeCell ref="C1421:D1421"/>
    <mergeCell ref="E1421:F1421"/>
    <mergeCell ref="AO1421:AP1421"/>
    <mergeCell ref="AQ1421:AR1421"/>
    <mergeCell ref="C1422:D1422"/>
    <mergeCell ref="E1422:F1422"/>
    <mergeCell ref="AO1422:AP1422"/>
    <mergeCell ref="AQ1422:AR1422"/>
    <mergeCell ref="C1423:D1423"/>
    <mergeCell ref="E1423:F1423"/>
    <mergeCell ref="AO1423:AP1423"/>
    <mergeCell ref="AQ1423:AR1423"/>
    <mergeCell ref="C1424:D1424"/>
    <mergeCell ref="E1424:F1424"/>
    <mergeCell ref="AO1424:AP1424"/>
    <mergeCell ref="AQ1424:AR1424"/>
    <mergeCell ref="C1425:D1425"/>
    <mergeCell ref="E1425:F1425"/>
    <mergeCell ref="AO1425:AP1425"/>
    <mergeCell ref="AQ1425:AR1425"/>
    <mergeCell ref="C1426:D1426"/>
    <mergeCell ref="E1426:F1426"/>
    <mergeCell ref="AO1426:AP1426"/>
    <mergeCell ref="AQ1426:AR1426"/>
    <mergeCell ref="C1427:D1427"/>
    <mergeCell ref="E1427:F1427"/>
    <mergeCell ref="AO1427:AP1427"/>
    <mergeCell ref="AQ1427:AR1427"/>
    <mergeCell ref="C1428:D1428"/>
    <mergeCell ref="E1428:F1428"/>
    <mergeCell ref="AO1428:AP1428"/>
    <mergeCell ref="AQ1428:AR1428"/>
    <mergeCell ref="C1429:D1429"/>
    <mergeCell ref="E1429:F1429"/>
    <mergeCell ref="AO1429:AP1429"/>
    <mergeCell ref="AQ1429:AR1429"/>
    <mergeCell ref="C1430:D1430"/>
    <mergeCell ref="E1430:F1430"/>
    <mergeCell ref="AO1430:AP1430"/>
    <mergeCell ref="AQ1430:AR1430"/>
    <mergeCell ref="C1431:D1431"/>
    <mergeCell ref="E1431:F1431"/>
    <mergeCell ref="AO1431:AP1431"/>
    <mergeCell ref="AQ1431:AR1431"/>
    <mergeCell ref="C1432:D1432"/>
    <mergeCell ref="E1432:F1432"/>
    <mergeCell ref="AO1432:AP1432"/>
    <mergeCell ref="AQ1432:AR1432"/>
    <mergeCell ref="C1433:D1433"/>
    <mergeCell ref="E1433:F1433"/>
    <mergeCell ref="AO1433:AP1433"/>
    <mergeCell ref="AQ1433:AR1433"/>
    <mergeCell ref="C1434:D1434"/>
    <mergeCell ref="E1434:F1434"/>
    <mergeCell ref="AO1434:AP1434"/>
    <mergeCell ref="AQ1434:AR1434"/>
    <mergeCell ref="C1435:D1435"/>
    <mergeCell ref="E1435:F1435"/>
    <mergeCell ref="AO1435:AP1435"/>
    <mergeCell ref="AQ1435:AR1435"/>
    <mergeCell ref="C1436:D1436"/>
    <mergeCell ref="E1436:F1436"/>
    <mergeCell ref="AO1436:AP1436"/>
    <mergeCell ref="AQ1436:AR1436"/>
    <mergeCell ref="C1437:D1437"/>
    <mergeCell ref="E1437:F1437"/>
    <mergeCell ref="AO1437:AP1437"/>
    <mergeCell ref="AQ1437:AR1437"/>
    <mergeCell ref="C1438:D1438"/>
    <mergeCell ref="E1438:F1438"/>
    <mergeCell ref="AO1438:AP1438"/>
    <mergeCell ref="AQ1438:AR1438"/>
    <mergeCell ref="C1439:D1439"/>
    <mergeCell ref="E1439:F1439"/>
    <mergeCell ref="AO1439:AP1439"/>
    <mergeCell ref="AQ1439:AR1439"/>
    <mergeCell ref="C1440:D1440"/>
    <mergeCell ref="E1440:F1440"/>
    <mergeCell ref="AO1440:AP1440"/>
    <mergeCell ref="AQ1440:AR1440"/>
    <mergeCell ref="C1441:D1441"/>
    <mergeCell ref="E1441:F1441"/>
    <mergeCell ref="AO1441:AP1441"/>
    <mergeCell ref="AQ1441:AR1441"/>
    <mergeCell ref="C1442:D1442"/>
    <mergeCell ref="E1442:F1442"/>
    <mergeCell ref="AO1442:AP1442"/>
    <mergeCell ref="AQ1442:AR1442"/>
    <mergeCell ref="C1443:D1443"/>
    <mergeCell ref="E1443:F1443"/>
    <mergeCell ref="AO1443:AP1443"/>
    <mergeCell ref="AQ1443:AR1443"/>
    <mergeCell ref="C1444:D1444"/>
    <mergeCell ref="E1444:F1444"/>
    <mergeCell ref="AO1444:AP1444"/>
    <mergeCell ref="AQ1444:AR1444"/>
    <mergeCell ref="C1445:D1445"/>
    <mergeCell ref="E1445:F1445"/>
    <mergeCell ref="AO1445:AP1445"/>
    <mergeCell ref="AQ1445:AR1445"/>
    <mergeCell ref="C1446:D1446"/>
    <mergeCell ref="E1446:F1446"/>
    <mergeCell ref="AO1446:AP1446"/>
    <mergeCell ref="AQ1446:AR1446"/>
    <mergeCell ref="C1447:D1447"/>
    <mergeCell ref="E1447:F1447"/>
    <mergeCell ref="AO1447:AP1447"/>
    <mergeCell ref="AQ1447:AR1447"/>
    <mergeCell ref="C1448:D1448"/>
    <mergeCell ref="E1448:F1448"/>
    <mergeCell ref="AO1448:AP1448"/>
    <mergeCell ref="AQ1448:AR1448"/>
    <mergeCell ref="C1449:D1449"/>
    <mergeCell ref="E1449:F1449"/>
    <mergeCell ref="AO1449:AP1449"/>
    <mergeCell ref="AQ1449:AR1449"/>
    <mergeCell ref="C1450:D1450"/>
    <mergeCell ref="E1450:F1450"/>
    <mergeCell ref="AO1450:AP1450"/>
    <mergeCell ref="AQ1450:AR1450"/>
    <mergeCell ref="C1451:D1451"/>
    <mergeCell ref="E1451:F1451"/>
    <mergeCell ref="AO1451:AP1451"/>
    <mergeCell ref="AQ1451:AR1451"/>
    <mergeCell ref="C1452:D1452"/>
    <mergeCell ref="E1452:F1452"/>
    <mergeCell ref="AO1452:AP1452"/>
    <mergeCell ref="AQ1452:AR1452"/>
    <mergeCell ref="C1453:D1453"/>
    <mergeCell ref="E1453:F1453"/>
    <mergeCell ref="AO1453:AP1453"/>
    <mergeCell ref="AQ1453:AR1453"/>
    <mergeCell ref="C1454:D1454"/>
    <mergeCell ref="E1454:F1454"/>
    <mergeCell ref="AO1454:AP1454"/>
    <mergeCell ref="AQ1454:AR1454"/>
    <mergeCell ref="C1455:D1455"/>
    <mergeCell ref="E1455:F1455"/>
    <mergeCell ref="AO1455:AP1455"/>
    <mergeCell ref="AQ1455:AR1455"/>
    <mergeCell ref="C1456:D1456"/>
    <mergeCell ref="E1456:F1456"/>
    <mergeCell ref="AO1456:AP1456"/>
    <mergeCell ref="AQ1456:AR1456"/>
    <mergeCell ref="C1457:D1457"/>
    <mergeCell ref="E1457:F1457"/>
    <mergeCell ref="AO1457:AP1457"/>
    <mergeCell ref="AQ1457:AR1457"/>
    <mergeCell ref="C1458:D1458"/>
    <mergeCell ref="E1458:F1458"/>
    <mergeCell ref="AO1458:AP1458"/>
    <mergeCell ref="AQ1458:AR1458"/>
    <mergeCell ref="C1459:D1459"/>
    <mergeCell ref="E1459:F1459"/>
    <mergeCell ref="AO1459:AP1459"/>
    <mergeCell ref="AQ1459:AR1459"/>
    <mergeCell ref="C1460:D1460"/>
    <mergeCell ref="E1460:F1460"/>
    <mergeCell ref="AO1460:AP1460"/>
    <mergeCell ref="AQ1460:AR1460"/>
    <mergeCell ref="C1461:D1461"/>
    <mergeCell ref="E1461:F1461"/>
    <mergeCell ref="AO1461:AP1461"/>
    <mergeCell ref="AQ1461:AR1461"/>
    <mergeCell ref="C1462:D1462"/>
    <mergeCell ref="E1462:F1462"/>
    <mergeCell ref="AO1462:AP1462"/>
    <mergeCell ref="AQ1462:AR1462"/>
    <mergeCell ref="C1463:D1463"/>
    <mergeCell ref="E1463:F1463"/>
    <mergeCell ref="AO1463:AP1463"/>
    <mergeCell ref="AQ1463:AR1463"/>
    <mergeCell ref="C1464:D1464"/>
    <mergeCell ref="E1464:F1464"/>
    <mergeCell ref="AO1464:AP1464"/>
    <mergeCell ref="AQ1464:AR1464"/>
    <mergeCell ref="C1465:D1465"/>
    <mergeCell ref="E1465:F1465"/>
    <mergeCell ref="AO1465:AP1465"/>
    <mergeCell ref="AQ1465:AR1465"/>
    <mergeCell ref="C1466:D1466"/>
    <mergeCell ref="E1466:F1466"/>
    <mergeCell ref="AO1466:AP1466"/>
    <mergeCell ref="AQ1466:AR1466"/>
    <mergeCell ref="C1467:D1467"/>
    <mergeCell ref="E1467:F1467"/>
    <mergeCell ref="AO1467:AP1467"/>
    <mergeCell ref="AQ1467:AR1467"/>
    <mergeCell ref="C1468:D1468"/>
    <mergeCell ref="E1468:F1468"/>
    <mergeCell ref="AO1468:AP1468"/>
    <mergeCell ref="AQ1468:AR1468"/>
    <mergeCell ref="C1469:D1469"/>
    <mergeCell ref="E1469:F1469"/>
    <mergeCell ref="AO1469:AP1469"/>
    <mergeCell ref="AQ1469:AR1469"/>
    <mergeCell ref="C1470:D1470"/>
    <mergeCell ref="E1470:F1470"/>
    <mergeCell ref="AO1470:AP1470"/>
    <mergeCell ref="AQ1470:AR1470"/>
    <mergeCell ref="C1471:D1471"/>
    <mergeCell ref="E1471:F1471"/>
    <mergeCell ref="AO1471:AP1471"/>
    <mergeCell ref="AQ1471:AR1471"/>
    <mergeCell ref="C1472:D1472"/>
    <mergeCell ref="E1472:F1472"/>
    <mergeCell ref="AO1472:AP1472"/>
    <mergeCell ref="AQ1472:AR1472"/>
    <mergeCell ref="C1473:D1473"/>
    <mergeCell ref="E1473:F1473"/>
    <mergeCell ref="AO1473:AP1473"/>
    <mergeCell ref="AQ1473:AR1473"/>
    <mergeCell ref="C1474:D1474"/>
    <mergeCell ref="E1474:F1474"/>
    <mergeCell ref="AO1474:AP1474"/>
    <mergeCell ref="AQ1474:AR1474"/>
    <mergeCell ref="C1475:D1475"/>
    <mergeCell ref="E1475:F1475"/>
    <mergeCell ref="AO1475:AP1475"/>
    <mergeCell ref="AQ1475:AR1475"/>
    <mergeCell ref="C1476:D1476"/>
    <mergeCell ref="E1476:F1476"/>
    <mergeCell ref="AO1476:AP1476"/>
    <mergeCell ref="AQ1476:AR1476"/>
    <mergeCell ref="C1477:D1477"/>
    <mergeCell ref="E1477:F1477"/>
    <mergeCell ref="AO1477:AP1477"/>
    <mergeCell ref="AQ1477:AR1477"/>
    <mergeCell ref="C1478:D1478"/>
    <mergeCell ref="E1478:F1478"/>
    <mergeCell ref="AO1478:AP1478"/>
    <mergeCell ref="AQ1478:AR1478"/>
    <mergeCell ref="C1479:D1479"/>
    <mergeCell ref="E1479:F1479"/>
    <mergeCell ref="AO1479:AP1479"/>
    <mergeCell ref="AQ1479:AR1479"/>
    <mergeCell ref="C1480:D1480"/>
    <mergeCell ref="E1480:F1480"/>
    <mergeCell ref="AO1480:AP1480"/>
    <mergeCell ref="AQ1480:AR1480"/>
    <mergeCell ref="C1481:D1481"/>
    <mergeCell ref="E1481:F1481"/>
    <mergeCell ref="AO1481:AP1481"/>
    <mergeCell ref="AQ1481:AR1481"/>
    <mergeCell ref="C1482:D1482"/>
    <mergeCell ref="E1482:F1482"/>
    <mergeCell ref="AO1482:AP1482"/>
    <mergeCell ref="AQ1482:AR1482"/>
    <mergeCell ref="C1483:D1483"/>
    <mergeCell ref="E1483:F1483"/>
    <mergeCell ref="AO1483:AP1483"/>
    <mergeCell ref="AQ1483:AR1483"/>
    <mergeCell ref="C1484:D1484"/>
    <mergeCell ref="E1484:F1484"/>
    <mergeCell ref="AO1484:AP1484"/>
    <mergeCell ref="AQ1484:AR1484"/>
    <mergeCell ref="C1485:D1485"/>
    <mergeCell ref="E1485:F1485"/>
    <mergeCell ref="AO1485:AP1485"/>
    <mergeCell ref="AQ1485:AR1485"/>
    <mergeCell ref="C1486:D1486"/>
    <mergeCell ref="E1486:F1486"/>
    <mergeCell ref="AO1486:AP1486"/>
    <mergeCell ref="AQ1486:AR1486"/>
    <mergeCell ref="C1487:D1487"/>
    <mergeCell ref="E1487:F1487"/>
    <mergeCell ref="AO1487:AP1487"/>
    <mergeCell ref="AQ1487:AR1487"/>
    <mergeCell ref="C1488:D1488"/>
    <mergeCell ref="E1488:F1488"/>
    <mergeCell ref="AO1488:AP1488"/>
    <mergeCell ref="AQ1488:AR1488"/>
    <mergeCell ref="C1489:D1489"/>
    <mergeCell ref="E1489:F1489"/>
    <mergeCell ref="AO1489:AP1489"/>
    <mergeCell ref="AQ1489:AR1489"/>
    <mergeCell ref="C1490:D1490"/>
    <mergeCell ref="E1490:F1490"/>
    <mergeCell ref="AO1490:AP1490"/>
    <mergeCell ref="AQ1490:AR1490"/>
    <mergeCell ref="C1491:D1491"/>
    <mergeCell ref="E1491:F1491"/>
    <mergeCell ref="AO1491:AP1491"/>
    <mergeCell ref="AQ1491:AR1491"/>
    <mergeCell ref="C1492:D1492"/>
    <mergeCell ref="E1492:F1492"/>
    <mergeCell ref="AO1492:AP1492"/>
    <mergeCell ref="AQ1492:AR1492"/>
    <mergeCell ref="C1493:D1493"/>
    <mergeCell ref="E1493:F1493"/>
    <mergeCell ref="AO1493:AP1493"/>
    <mergeCell ref="AQ1493:AR1493"/>
    <mergeCell ref="C1494:D1494"/>
    <mergeCell ref="E1494:F1494"/>
    <mergeCell ref="AO1494:AP1494"/>
    <mergeCell ref="AQ1494:AR1494"/>
    <mergeCell ref="C1495:D1495"/>
    <mergeCell ref="E1495:F1495"/>
    <mergeCell ref="AO1495:AP1495"/>
    <mergeCell ref="AQ1495:AR1495"/>
    <mergeCell ref="C1496:D1496"/>
    <mergeCell ref="E1496:F1496"/>
    <mergeCell ref="AO1496:AP1496"/>
    <mergeCell ref="AQ1496:AR1496"/>
    <mergeCell ref="C1497:D1497"/>
    <mergeCell ref="E1497:F1497"/>
    <mergeCell ref="AO1497:AP1497"/>
    <mergeCell ref="AQ1497:AR1497"/>
    <mergeCell ref="C1498:D1498"/>
    <mergeCell ref="E1498:F1498"/>
    <mergeCell ref="AO1498:AP1498"/>
    <mergeCell ref="AQ1498:AR1498"/>
    <mergeCell ref="C1499:D1499"/>
    <mergeCell ref="E1499:F1499"/>
    <mergeCell ref="AO1499:AP1499"/>
    <mergeCell ref="AQ1499:AR1499"/>
    <mergeCell ref="C1500:D1500"/>
    <mergeCell ref="E1500:F1500"/>
    <mergeCell ref="AO1500:AP1500"/>
    <mergeCell ref="AQ1500:AR1500"/>
    <mergeCell ref="C1501:D1501"/>
    <mergeCell ref="E1501:F1501"/>
    <mergeCell ref="AO1501:AP1501"/>
    <mergeCell ref="AQ1501:AR1501"/>
    <mergeCell ref="C1502:D1502"/>
    <mergeCell ref="E1502:F1502"/>
    <mergeCell ref="AO1502:AP1502"/>
    <mergeCell ref="AQ1502:AR1502"/>
    <mergeCell ref="C1503:D1503"/>
    <mergeCell ref="E1503:F1503"/>
    <mergeCell ref="AO1503:AP1503"/>
    <mergeCell ref="AQ1503:AR1503"/>
    <mergeCell ref="C1504:D1504"/>
    <mergeCell ref="E1504:F1504"/>
    <mergeCell ref="AO1504:AP1504"/>
    <mergeCell ref="AQ1504:AR1504"/>
    <mergeCell ref="C1505:D1505"/>
    <mergeCell ref="E1505:F1505"/>
    <mergeCell ref="AO1505:AP1505"/>
    <mergeCell ref="AQ1505:AR1505"/>
    <mergeCell ref="C1506:D1506"/>
    <mergeCell ref="E1506:F1506"/>
    <mergeCell ref="AO1506:AP1506"/>
    <mergeCell ref="AQ1506:AR1506"/>
    <mergeCell ref="C1507:D1507"/>
    <mergeCell ref="E1507:F1507"/>
    <mergeCell ref="AO1507:AP1507"/>
    <mergeCell ref="AQ1507:AR1507"/>
    <mergeCell ref="C1508:D1508"/>
    <mergeCell ref="E1508:F1508"/>
    <mergeCell ref="AO1508:AP1508"/>
    <mergeCell ref="AQ1508:AR1508"/>
    <mergeCell ref="C1509:D1509"/>
    <mergeCell ref="E1509:F1509"/>
    <mergeCell ref="AO1509:AP1509"/>
    <mergeCell ref="AQ1509:AR1509"/>
    <mergeCell ref="C1510:D1510"/>
    <mergeCell ref="E1510:F1510"/>
    <mergeCell ref="AO1510:AP1510"/>
    <mergeCell ref="AQ1510:AR1510"/>
    <mergeCell ref="C1511:D1511"/>
    <mergeCell ref="E1511:F1511"/>
    <mergeCell ref="AO1511:AP1511"/>
    <mergeCell ref="AQ1511:AR1511"/>
    <mergeCell ref="C1512:D1512"/>
    <mergeCell ref="E1512:F1512"/>
    <mergeCell ref="AO1512:AP1512"/>
    <mergeCell ref="AQ1512:AR1512"/>
    <mergeCell ref="C1513:D1513"/>
    <mergeCell ref="E1513:F1513"/>
    <mergeCell ref="AO1513:AP1513"/>
    <mergeCell ref="AQ1513:AR1513"/>
    <mergeCell ref="C1514:D1514"/>
    <mergeCell ref="E1514:F1514"/>
    <mergeCell ref="AO1514:AP1514"/>
    <mergeCell ref="AQ1514:AR1514"/>
    <mergeCell ref="C1515:D1515"/>
    <mergeCell ref="E1515:F1515"/>
    <mergeCell ref="AO1515:AP1515"/>
    <mergeCell ref="AQ1515:AR1515"/>
    <mergeCell ref="C1516:D1516"/>
    <mergeCell ref="E1516:F1516"/>
    <mergeCell ref="AO1516:AP1516"/>
    <mergeCell ref="AQ1516:AR1516"/>
    <mergeCell ref="C1517:D1517"/>
    <mergeCell ref="E1517:F1517"/>
    <mergeCell ref="AO1517:AP1517"/>
    <mergeCell ref="AQ1517:AR1517"/>
    <mergeCell ref="C1518:D1518"/>
    <mergeCell ref="E1518:F1518"/>
    <mergeCell ref="AO1518:AP1518"/>
    <mergeCell ref="AQ1518:AR1518"/>
    <mergeCell ref="C1519:D1519"/>
    <mergeCell ref="E1519:F1519"/>
    <mergeCell ref="AO1519:AP1519"/>
    <mergeCell ref="AQ1519:AR1519"/>
    <mergeCell ref="C1520:D1520"/>
    <mergeCell ref="E1520:F1520"/>
    <mergeCell ref="AO1520:AP1520"/>
    <mergeCell ref="AQ1520:AR1520"/>
    <mergeCell ref="C1521:D1521"/>
    <mergeCell ref="E1521:F1521"/>
    <mergeCell ref="AO1521:AP1521"/>
    <mergeCell ref="AQ1521:AR1521"/>
    <mergeCell ref="C1522:D1522"/>
    <mergeCell ref="E1522:F1522"/>
    <mergeCell ref="AO1522:AP1522"/>
    <mergeCell ref="AQ1522:AR1522"/>
    <mergeCell ref="C1523:D1523"/>
    <mergeCell ref="E1523:F1523"/>
    <mergeCell ref="AO1523:AP1523"/>
    <mergeCell ref="AQ1523:AR1523"/>
    <mergeCell ref="C1524:D1524"/>
    <mergeCell ref="E1524:F1524"/>
    <mergeCell ref="AO1524:AP1524"/>
    <mergeCell ref="AQ1524:AR1524"/>
    <mergeCell ref="C1525:D1525"/>
    <mergeCell ref="E1525:F1525"/>
    <mergeCell ref="AO1525:AP1525"/>
    <mergeCell ref="AQ1525:AR1525"/>
    <mergeCell ref="C1526:D1526"/>
    <mergeCell ref="E1526:F1526"/>
    <mergeCell ref="AO1526:AP1526"/>
    <mergeCell ref="AQ1526:AR1526"/>
    <mergeCell ref="C1527:D1527"/>
    <mergeCell ref="E1527:F1527"/>
    <mergeCell ref="AO1527:AP1527"/>
    <mergeCell ref="AQ1527:AR1527"/>
    <mergeCell ref="C1528:D1528"/>
    <mergeCell ref="E1528:F1528"/>
    <mergeCell ref="AO1528:AP1528"/>
    <mergeCell ref="AQ1528:AR1528"/>
    <mergeCell ref="C1529:D1529"/>
    <mergeCell ref="E1529:F1529"/>
    <mergeCell ref="AO1529:AP1529"/>
    <mergeCell ref="AQ1529:AR1529"/>
    <mergeCell ref="C1530:D1530"/>
    <mergeCell ref="E1530:F1530"/>
    <mergeCell ref="AO1530:AP1530"/>
    <mergeCell ref="AQ1530:AR1530"/>
    <mergeCell ref="C1531:D1531"/>
    <mergeCell ref="E1531:F1531"/>
    <mergeCell ref="AO1531:AP1531"/>
    <mergeCell ref="AQ1531:AR1531"/>
    <mergeCell ref="C1532:D1532"/>
    <mergeCell ref="E1532:F1532"/>
    <mergeCell ref="AO1532:AP1532"/>
    <mergeCell ref="AQ1532:AR1532"/>
    <mergeCell ref="C1533:D1533"/>
    <mergeCell ref="E1533:F1533"/>
    <mergeCell ref="AO1533:AP1533"/>
    <mergeCell ref="AQ1533:AR1533"/>
    <mergeCell ref="C1534:D1534"/>
    <mergeCell ref="E1534:F1534"/>
    <mergeCell ref="AO1534:AP1534"/>
    <mergeCell ref="AQ1534:AR1534"/>
    <mergeCell ref="C1535:D1535"/>
    <mergeCell ref="E1535:F1535"/>
    <mergeCell ref="AO1535:AP1535"/>
    <mergeCell ref="AQ1535:AR1535"/>
    <mergeCell ref="C1536:D1536"/>
    <mergeCell ref="E1536:F1536"/>
    <mergeCell ref="AO1536:AP1536"/>
    <mergeCell ref="AQ1536:AR1536"/>
    <mergeCell ref="C1537:D1537"/>
    <mergeCell ref="E1537:F1537"/>
    <mergeCell ref="AO1537:AP1537"/>
    <mergeCell ref="AQ1537:AR1537"/>
    <mergeCell ref="C1538:D1538"/>
    <mergeCell ref="E1538:F1538"/>
    <mergeCell ref="AO1538:AP1538"/>
    <mergeCell ref="AQ1538:AR1538"/>
    <mergeCell ref="C1539:D1539"/>
    <mergeCell ref="E1539:F1539"/>
    <mergeCell ref="AO1539:AP1539"/>
    <mergeCell ref="AQ1539:AR1539"/>
    <mergeCell ref="C1540:D1540"/>
    <mergeCell ref="E1540:F1540"/>
    <mergeCell ref="AO1540:AP1540"/>
    <mergeCell ref="AQ1540:AR1540"/>
    <mergeCell ref="C1541:D1541"/>
    <mergeCell ref="E1541:F1541"/>
    <mergeCell ref="AO1541:AP1541"/>
    <mergeCell ref="AQ1541:AR1541"/>
    <mergeCell ref="C1542:D1542"/>
    <mergeCell ref="E1542:F1542"/>
    <mergeCell ref="AO1542:AP1542"/>
    <mergeCell ref="AQ1542:AR1542"/>
    <mergeCell ref="C1543:D1543"/>
    <mergeCell ref="E1543:F1543"/>
    <mergeCell ref="AO1543:AP1543"/>
    <mergeCell ref="AQ1543:AR1543"/>
    <mergeCell ref="C1544:D1544"/>
    <mergeCell ref="E1544:F1544"/>
    <mergeCell ref="AO1544:AP1544"/>
    <mergeCell ref="AQ1544:AR1544"/>
    <mergeCell ref="C1545:D1545"/>
    <mergeCell ref="E1545:F1545"/>
    <mergeCell ref="AO1545:AP1545"/>
    <mergeCell ref="AQ1545:AR1545"/>
    <mergeCell ref="C1546:D1546"/>
    <mergeCell ref="E1546:F1546"/>
    <mergeCell ref="AO1546:AP1546"/>
    <mergeCell ref="AQ1546:AR1546"/>
    <mergeCell ref="C1547:D1547"/>
    <mergeCell ref="E1547:F1547"/>
    <mergeCell ref="AO1547:AP1547"/>
    <mergeCell ref="AQ1547:AR1547"/>
    <mergeCell ref="C1548:D1548"/>
    <mergeCell ref="E1548:F1548"/>
    <mergeCell ref="AO1548:AP1548"/>
    <mergeCell ref="AQ1548:AR1548"/>
    <mergeCell ref="C1549:D1549"/>
    <mergeCell ref="E1549:F1549"/>
    <mergeCell ref="AO1549:AP1549"/>
    <mergeCell ref="AQ1549:AR1549"/>
    <mergeCell ref="C1550:D1550"/>
    <mergeCell ref="E1550:F1550"/>
    <mergeCell ref="AO1550:AP1550"/>
    <mergeCell ref="AQ1550:AR1550"/>
    <mergeCell ref="C1551:D1551"/>
    <mergeCell ref="E1551:F1551"/>
    <mergeCell ref="AO1551:AP1551"/>
    <mergeCell ref="AQ1551:AR1551"/>
    <mergeCell ref="C1552:D1552"/>
    <mergeCell ref="E1552:F1552"/>
    <mergeCell ref="AO1552:AP1552"/>
    <mergeCell ref="AQ1552:AR1552"/>
    <mergeCell ref="C1553:D1553"/>
    <mergeCell ref="E1553:F1553"/>
    <mergeCell ref="AO1553:AP1553"/>
    <mergeCell ref="AQ1553:AR1553"/>
    <mergeCell ref="C1554:D1554"/>
    <mergeCell ref="E1554:F1554"/>
    <mergeCell ref="AO1554:AP1554"/>
    <mergeCell ref="AQ1554:AR1554"/>
    <mergeCell ref="C1555:D1555"/>
    <mergeCell ref="E1555:F1555"/>
    <mergeCell ref="AO1555:AP1555"/>
    <mergeCell ref="AQ1555:AR1555"/>
    <mergeCell ref="C1556:D1556"/>
    <mergeCell ref="E1556:F1556"/>
    <mergeCell ref="AO1556:AP1556"/>
    <mergeCell ref="AQ1556:AR1556"/>
    <mergeCell ref="C1557:D1557"/>
    <mergeCell ref="E1557:F1557"/>
    <mergeCell ref="AO1557:AP1557"/>
    <mergeCell ref="AQ1557:AR1557"/>
    <mergeCell ref="C1558:D1558"/>
    <mergeCell ref="E1558:F1558"/>
    <mergeCell ref="AO1558:AP1558"/>
    <mergeCell ref="AQ1558:AR1558"/>
    <mergeCell ref="C1559:D1559"/>
    <mergeCell ref="E1559:F1559"/>
    <mergeCell ref="AO1559:AP1559"/>
    <mergeCell ref="AQ1559:AR1559"/>
    <mergeCell ref="C1560:D1560"/>
    <mergeCell ref="E1560:F1560"/>
    <mergeCell ref="AO1560:AP1560"/>
    <mergeCell ref="AQ1560:AR1560"/>
    <mergeCell ref="C1561:D1561"/>
    <mergeCell ref="E1561:F1561"/>
    <mergeCell ref="AO1561:AP1561"/>
    <mergeCell ref="AQ1561:AR1561"/>
    <mergeCell ref="C1562:D1562"/>
    <mergeCell ref="E1562:F1562"/>
    <mergeCell ref="AO1562:AP1562"/>
    <mergeCell ref="AQ1562:AR1562"/>
    <mergeCell ref="C1563:D1563"/>
    <mergeCell ref="E1563:F1563"/>
    <mergeCell ref="AO1563:AP1563"/>
    <mergeCell ref="AQ1563:AR1563"/>
    <mergeCell ref="C1564:D1564"/>
    <mergeCell ref="E1564:F1564"/>
    <mergeCell ref="AO1564:AP1564"/>
    <mergeCell ref="AQ1564:AR1564"/>
    <mergeCell ref="C1565:D1565"/>
    <mergeCell ref="E1565:F1565"/>
    <mergeCell ref="AO1565:AP1565"/>
    <mergeCell ref="AQ1565:AR1565"/>
    <mergeCell ref="C1566:D1566"/>
    <mergeCell ref="E1566:F1566"/>
    <mergeCell ref="AO1566:AP1566"/>
    <mergeCell ref="AQ1566:AR1566"/>
    <mergeCell ref="C1567:D1567"/>
    <mergeCell ref="E1567:F1567"/>
    <mergeCell ref="AO1567:AP1567"/>
    <mergeCell ref="AQ1567:AR1567"/>
    <mergeCell ref="C1568:D1568"/>
    <mergeCell ref="E1568:F1568"/>
    <mergeCell ref="AO1568:AP1568"/>
    <mergeCell ref="AQ1568:AR1568"/>
    <mergeCell ref="C1569:D1569"/>
    <mergeCell ref="E1569:F1569"/>
    <mergeCell ref="AO1569:AP1569"/>
    <mergeCell ref="AQ1569:AR1569"/>
    <mergeCell ref="C1570:D1570"/>
    <mergeCell ref="E1570:F1570"/>
    <mergeCell ref="AO1570:AP1570"/>
    <mergeCell ref="AQ1570:AR1570"/>
    <mergeCell ref="C1571:D1571"/>
    <mergeCell ref="E1571:F1571"/>
    <mergeCell ref="AO1571:AP1571"/>
    <mergeCell ref="AQ1571:AR1571"/>
    <mergeCell ref="C1572:D1572"/>
    <mergeCell ref="E1572:F1572"/>
    <mergeCell ref="AO1572:AP1572"/>
    <mergeCell ref="AQ1572:AR1572"/>
    <mergeCell ref="C1573:D1573"/>
    <mergeCell ref="E1573:F1573"/>
    <mergeCell ref="AO1573:AP1573"/>
    <mergeCell ref="AQ1573:AR1573"/>
    <mergeCell ref="C1574:D1574"/>
    <mergeCell ref="E1574:F1574"/>
    <mergeCell ref="AO1574:AP1574"/>
    <mergeCell ref="AQ1574:AR1574"/>
    <mergeCell ref="C1575:D1575"/>
    <mergeCell ref="E1575:F1575"/>
    <mergeCell ref="AO1575:AP1575"/>
    <mergeCell ref="AQ1575:AR1575"/>
    <mergeCell ref="C1576:D1576"/>
    <mergeCell ref="E1576:F1576"/>
    <mergeCell ref="AO1576:AP1576"/>
    <mergeCell ref="AQ1576:AR1576"/>
    <mergeCell ref="C1577:D1577"/>
    <mergeCell ref="E1577:F1577"/>
    <mergeCell ref="AO1577:AP1577"/>
    <mergeCell ref="AQ1577:AR1577"/>
    <mergeCell ref="C1578:D1578"/>
    <mergeCell ref="E1578:F1578"/>
    <mergeCell ref="AO1578:AP1578"/>
    <mergeCell ref="AQ1578:AR1578"/>
    <mergeCell ref="C1579:D1579"/>
    <mergeCell ref="E1579:F1579"/>
    <mergeCell ref="AO1579:AP1579"/>
    <mergeCell ref="AQ1579:AR1579"/>
    <mergeCell ref="C1580:D1580"/>
    <mergeCell ref="E1580:F1580"/>
    <mergeCell ref="AO1580:AP1580"/>
    <mergeCell ref="AQ1580:AR1580"/>
    <mergeCell ref="C1581:D1581"/>
    <mergeCell ref="E1581:F1581"/>
    <mergeCell ref="AO1581:AP1581"/>
    <mergeCell ref="AQ1581:AR1581"/>
    <mergeCell ref="C1582:D1582"/>
    <mergeCell ref="E1582:F1582"/>
    <mergeCell ref="AO1582:AP1582"/>
    <mergeCell ref="AQ1582:AR1582"/>
    <mergeCell ref="C1583:D1583"/>
    <mergeCell ref="E1583:F1583"/>
    <mergeCell ref="AO1583:AP1583"/>
    <mergeCell ref="AQ1583:AR1583"/>
    <mergeCell ref="C1584:D1584"/>
    <mergeCell ref="E1584:F1584"/>
    <mergeCell ref="AO1584:AP1584"/>
    <mergeCell ref="AQ1584:AR1584"/>
    <mergeCell ref="C1585:D1585"/>
    <mergeCell ref="E1585:F1585"/>
    <mergeCell ref="AO1585:AP1585"/>
    <mergeCell ref="AQ1585:AR1585"/>
    <mergeCell ref="C1586:D1586"/>
    <mergeCell ref="E1586:F1586"/>
    <mergeCell ref="AO1586:AP1586"/>
    <mergeCell ref="AQ1586:AR1586"/>
    <mergeCell ref="C1587:D1587"/>
    <mergeCell ref="E1587:F1587"/>
    <mergeCell ref="AO1587:AP1587"/>
    <mergeCell ref="AQ1587:AR1587"/>
    <mergeCell ref="C1588:D1588"/>
    <mergeCell ref="E1588:F1588"/>
    <mergeCell ref="AO1588:AP1588"/>
    <mergeCell ref="AQ1588:AR1588"/>
    <mergeCell ref="C1589:D1589"/>
    <mergeCell ref="E1589:F1589"/>
    <mergeCell ref="AO1589:AP1589"/>
    <mergeCell ref="AQ1589:AR1589"/>
    <mergeCell ref="C1590:D1590"/>
    <mergeCell ref="E1590:F1590"/>
    <mergeCell ref="AO1590:AP1590"/>
    <mergeCell ref="AQ1590:AR1590"/>
    <mergeCell ref="C1591:D1591"/>
    <mergeCell ref="E1591:F1591"/>
    <mergeCell ref="AO1591:AP1591"/>
    <mergeCell ref="AQ1591:AR1591"/>
    <mergeCell ref="C1592:D1592"/>
    <mergeCell ref="E1592:F1592"/>
    <mergeCell ref="AO1592:AP1592"/>
    <mergeCell ref="AQ1592:AR1592"/>
    <mergeCell ref="C1593:D1593"/>
    <mergeCell ref="E1593:F1593"/>
    <mergeCell ref="AO1593:AP1593"/>
    <mergeCell ref="AQ1593:AR1593"/>
    <mergeCell ref="C1594:D1594"/>
    <mergeCell ref="E1594:F1594"/>
    <mergeCell ref="AO1594:AP1594"/>
    <mergeCell ref="AQ1594:AR1594"/>
    <mergeCell ref="C1595:D1595"/>
    <mergeCell ref="E1595:F1595"/>
    <mergeCell ref="AO1595:AP1595"/>
    <mergeCell ref="AQ1595:AR1595"/>
    <mergeCell ref="C1596:D1596"/>
    <mergeCell ref="E1596:F1596"/>
    <mergeCell ref="AO1596:AP1596"/>
    <mergeCell ref="AQ1596:AR1596"/>
    <mergeCell ref="C1597:D1597"/>
    <mergeCell ref="E1597:F1597"/>
    <mergeCell ref="AO1597:AP1597"/>
    <mergeCell ref="AQ1597:AR1597"/>
    <mergeCell ref="C1598:D1598"/>
    <mergeCell ref="E1598:F1598"/>
    <mergeCell ref="AO1598:AP1598"/>
    <mergeCell ref="AQ1598:AR1598"/>
    <mergeCell ref="C1599:D1599"/>
    <mergeCell ref="E1599:F1599"/>
    <mergeCell ref="AO1599:AP1599"/>
    <mergeCell ref="AQ1599:AR1599"/>
    <mergeCell ref="C1600:D1600"/>
    <mergeCell ref="E1600:F1600"/>
    <mergeCell ref="AO1600:AP1600"/>
    <mergeCell ref="AQ1600:AR1600"/>
    <mergeCell ref="C1601:D1601"/>
    <mergeCell ref="E1601:F1601"/>
    <mergeCell ref="AO1601:AP1601"/>
    <mergeCell ref="AQ1601:AR1601"/>
    <mergeCell ref="C1602:D1602"/>
    <mergeCell ref="E1602:F1602"/>
    <mergeCell ref="AO1602:AP1602"/>
    <mergeCell ref="AQ1602:AR1602"/>
    <mergeCell ref="C1603:D1603"/>
    <mergeCell ref="E1603:F1603"/>
    <mergeCell ref="AO1603:AP1603"/>
    <mergeCell ref="AQ1603:AR1603"/>
    <mergeCell ref="C1604:D1604"/>
    <mergeCell ref="E1604:F1604"/>
    <mergeCell ref="AO1604:AP1604"/>
    <mergeCell ref="AQ1604:AR1604"/>
    <mergeCell ref="C1605:D1605"/>
    <mergeCell ref="E1605:F1605"/>
    <mergeCell ref="AO1605:AP1605"/>
    <mergeCell ref="AQ1605:AR1605"/>
    <mergeCell ref="C1606:D1606"/>
    <mergeCell ref="E1606:F1606"/>
    <mergeCell ref="AO1606:AP1606"/>
    <mergeCell ref="AQ1606:AR1606"/>
    <mergeCell ref="C1607:D1607"/>
    <mergeCell ref="E1607:F1607"/>
    <mergeCell ref="AO1607:AP1607"/>
    <mergeCell ref="AQ1607:AR1607"/>
    <mergeCell ref="C1608:D1608"/>
    <mergeCell ref="E1608:F1608"/>
    <mergeCell ref="AO1608:AP1608"/>
    <mergeCell ref="AQ1608:AR1608"/>
    <mergeCell ref="C1609:D1609"/>
    <mergeCell ref="E1609:F1609"/>
    <mergeCell ref="AO1609:AP1609"/>
    <mergeCell ref="AQ1609:AR1609"/>
    <mergeCell ref="C1610:D1610"/>
    <mergeCell ref="E1610:F1610"/>
    <mergeCell ref="AO1610:AP1610"/>
    <mergeCell ref="AQ1610:AR1610"/>
    <mergeCell ref="C1611:D1611"/>
    <mergeCell ref="E1611:F1611"/>
    <mergeCell ref="AO1611:AP1611"/>
    <mergeCell ref="AQ1611:AR1611"/>
    <mergeCell ref="C1612:D1612"/>
    <mergeCell ref="E1612:F1612"/>
    <mergeCell ref="AO1612:AP1612"/>
    <mergeCell ref="AQ1612:AR1612"/>
    <mergeCell ref="C1613:D1613"/>
    <mergeCell ref="E1613:F1613"/>
    <mergeCell ref="AO1613:AP1613"/>
    <mergeCell ref="AQ1613:AR1613"/>
    <mergeCell ref="C1614:D1614"/>
    <mergeCell ref="E1614:F1614"/>
    <mergeCell ref="AO1614:AP1614"/>
    <mergeCell ref="AQ1614:AR1614"/>
    <mergeCell ref="C1615:D1615"/>
    <mergeCell ref="E1615:F1615"/>
    <mergeCell ref="AO1615:AP1615"/>
    <mergeCell ref="AQ1615:AR1615"/>
    <mergeCell ref="C1616:D1616"/>
    <mergeCell ref="E1616:F1616"/>
    <mergeCell ref="AO1616:AP1616"/>
    <mergeCell ref="AQ1616:AR1616"/>
    <mergeCell ref="C1617:D1617"/>
    <mergeCell ref="E1617:F1617"/>
    <mergeCell ref="AO1617:AP1617"/>
    <mergeCell ref="AQ1617:AR1617"/>
    <mergeCell ref="C1618:D1618"/>
    <mergeCell ref="E1618:F1618"/>
    <mergeCell ref="AO1618:AP1618"/>
    <mergeCell ref="AQ1618:AR1618"/>
    <mergeCell ref="C1619:D1619"/>
    <mergeCell ref="E1619:F1619"/>
    <mergeCell ref="AO1619:AP1619"/>
    <mergeCell ref="AQ1619:AR1619"/>
    <mergeCell ref="C1620:D1620"/>
    <mergeCell ref="E1620:F1620"/>
    <mergeCell ref="AO1620:AP1620"/>
    <mergeCell ref="AQ1620:AR1620"/>
    <mergeCell ref="C1621:D1621"/>
    <mergeCell ref="E1621:F1621"/>
    <mergeCell ref="AO1621:AP1621"/>
    <mergeCell ref="AQ1621:AR1621"/>
    <mergeCell ref="C1622:D1622"/>
    <mergeCell ref="E1622:F1622"/>
    <mergeCell ref="AO1622:AP1622"/>
    <mergeCell ref="AQ1622:AR1622"/>
    <mergeCell ref="C1623:D1623"/>
    <mergeCell ref="E1623:F1623"/>
    <mergeCell ref="AO1623:AP1623"/>
    <mergeCell ref="AQ1623:AR1623"/>
    <mergeCell ref="C1624:D1624"/>
    <mergeCell ref="E1624:F1624"/>
    <mergeCell ref="AO1624:AP1624"/>
    <mergeCell ref="AQ1624:AR1624"/>
    <mergeCell ref="C1625:D1625"/>
    <mergeCell ref="E1625:F1625"/>
    <mergeCell ref="AO1625:AP1625"/>
    <mergeCell ref="AQ1625:AR1625"/>
    <mergeCell ref="C1626:D1626"/>
    <mergeCell ref="E1626:F1626"/>
    <mergeCell ref="AO1626:AP1626"/>
    <mergeCell ref="AQ1626:AR1626"/>
    <mergeCell ref="C1627:D1627"/>
    <mergeCell ref="E1627:F1627"/>
    <mergeCell ref="AO1627:AP1627"/>
    <mergeCell ref="AQ1627:AR1627"/>
    <mergeCell ref="C1628:D1628"/>
    <mergeCell ref="E1628:F1628"/>
    <mergeCell ref="AO1628:AP1628"/>
    <mergeCell ref="AQ1628:AR1628"/>
    <mergeCell ref="C1629:D1629"/>
    <mergeCell ref="E1629:F1629"/>
    <mergeCell ref="AO1629:AP1629"/>
    <mergeCell ref="AQ1629:AR1629"/>
    <mergeCell ref="C1630:D1630"/>
    <mergeCell ref="E1630:F1630"/>
    <mergeCell ref="AO1630:AP1630"/>
    <mergeCell ref="AQ1630:AR1630"/>
    <mergeCell ref="C1631:D1631"/>
    <mergeCell ref="E1631:F1631"/>
    <mergeCell ref="AO1631:AP1631"/>
    <mergeCell ref="AQ1631:AR1631"/>
    <mergeCell ref="C1632:D1632"/>
    <mergeCell ref="E1632:F1632"/>
    <mergeCell ref="AO1632:AP1632"/>
    <mergeCell ref="AQ1632:AR1632"/>
    <mergeCell ref="C1633:D1633"/>
    <mergeCell ref="E1633:F1633"/>
    <mergeCell ref="AO1633:AP1633"/>
    <mergeCell ref="AQ1633:AR1633"/>
    <mergeCell ref="C1634:D1634"/>
    <mergeCell ref="E1634:F1634"/>
    <mergeCell ref="AO1634:AP1634"/>
    <mergeCell ref="AQ1634:AR1634"/>
    <mergeCell ref="C1635:D1635"/>
    <mergeCell ref="E1635:F1635"/>
    <mergeCell ref="AO1635:AP1635"/>
    <mergeCell ref="AQ1635:AR1635"/>
    <mergeCell ref="C1636:D1636"/>
    <mergeCell ref="E1636:F1636"/>
    <mergeCell ref="AO1636:AP1636"/>
    <mergeCell ref="AQ1636:AR1636"/>
    <mergeCell ref="C1637:D1637"/>
    <mergeCell ref="E1637:F1637"/>
    <mergeCell ref="AO1637:AP1637"/>
    <mergeCell ref="AQ1637:AR1637"/>
    <mergeCell ref="C1638:D1638"/>
    <mergeCell ref="E1638:F1638"/>
    <mergeCell ref="AO1638:AP1638"/>
    <mergeCell ref="AQ1638:AR1638"/>
    <mergeCell ref="C1639:D1639"/>
    <mergeCell ref="E1639:F1639"/>
    <mergeCell ref="AO1639:AP1639"/>
    <mergeCell ref="AQ1639:AR1639"/>
    <mergeCell ref="C1640:D1640"/>
    <mergeCell ref="E1640:F1640"/>
    <mergeCell ref="AO1640:AP1640"/>
    <mergeCell ref="AQ1640:AR1640"/>
    <mergeCell ref="C1641:D1641"/>
    <mergeCell ref="E1641:F1641"/>
    <mergeCell ref="AO1641:AP1641"/>
    <mergeCell ref="AQ1641:AR1641"/>
    <mergeCell ref="C1642:D1642"/>
    <mergeCell ref="E1642:F1642"/>
    <mergeCell ref="AO1642:AP1642"/>
    <mergeCell ref="AQ1642:AR1642"/>
    <mergeCell ref="C1643:D1643"/>
    <mergeCell ref="E1643:F1643"/>
    <mergeCell ref="AO1643:AP1643"/>
    <mergeCell ref="AQ1643:AR1643"/>
    <mergeCell ref="C1644:D1644"/>
    <mergeCell ref="E1644:F1644"/>
    <mergeCell ref="AO1644:AP1644"/>
    <mergeCell ref="AQ1644:AR1644"/>
    <mergeCell ref="C1645:D1645"/>
    <mergeCell ref="E1645:F1645"/>
    <mergeCell ref="AO1645:AP1645"/>
    <mergeCell ref="AQ1645:AR1645"/>
    <mergeCell ref="C1646:D1646"/>
    <mergeCell ref="E1646:F1646"/>
    <mergeCell ref="AO1646:AP1646"/>
    <mergeCell ref="AQ1646:AR1646"/>
    <mergeCell ref="C1647:D1647"/>
    <mergeCell ref="E1647:F1647"/>
    <mergeCell ref="AO1647:AP1647"/>
    <mergeCell ref="AQ1647:AR1647"/>
    <mergeCell ref="C1648:D1648"/>
    <mergeCell ref="E1648:F1648"/>
    <mergeCell ref="AO1648:AP1648"/>
    <mergeCell ref="AQ1648:AR1648"/>
    <mergeCell ref="C1649:D1649"/>
    <mergeCell ref="E1649:F1649"/>
    <mergeCell ref="AO1649:AP1649"/>
    <mergeCell ref="AQ1649:AR1649"/>
    <mergeCell ref="C1650:D1650"/>
    <mergeCell ref="E1650:F1650"/>
    <mergeCell ref="AO1650:AP1650"/>
    <mergeCell ref="AQ1650:AR1650"/>
    <mergeCell ref="C1651:D1651"/>
    <mergeCell ref="E1651:F1651"/>
    <mergeCell ref="AO1651:AP1651"/>
    <mergeCell ref="AQ1651:AR1651"/>
    <mergeCell ref="C1652:D1652"/>
    <mergeCell ref="E1652:F1652"/>
    <mergeCell ref="AO1652:AP1652"/>
    <mergeCell ref="AQ1652:AR1652"/>
    <mergeCell ref="C1653:D1653"/>
    <mergeCell ref="E1653:F1653"/>
    <mergeCell ref="AO1653:AP1653"/>
    <mergeCell ref="AQ1653:AR1653"/>
    <mergeCell ref="C1654:D1654"/>
    <mergeCell ref="E1654:F1654"/>
    <mergeCell ref="AO1654:AP1654"/>
    <mergeCell ref="AQ1654:AR1654"/>
    <mergeCell ref="C1655:D1655"/>
    <mergeCell ref="E1655:F1655"/>
    <mergeCell ref="AO1655:AP1655"/>
    <mergeCell ref="AQ1655:AR1655"/>
    <mergeCell ref="C1656:D1656"/>
    <mergeCell ref="E1656:F1656"/>
    <mergeCell ref="AO1656:AP1656"/>
    <mergeCell ref="AQ1656:AR1656"/>
    <mergeCell ref="C1657:D1657"/>
    <mergeCell ref="E1657:F1657"/>
    <mergeCell ref="AO1657:AP1657"/>
    <mergeCell ref="AQ1657:AR1657"/>
    <mergeCell ref="C1658:D1658"/>
    <mergeCell ref="E1658:F1658"/>
    <mergeCell ref="AO1658:AP1658"/>
    <mergeCell ref="AQ1658:AR1658"/>
    <mergeCell ref="C1659:D1659"/>
    <mergeCell ref="E1659:F1659"/>
    <mergeCell ref="AO1659:AP1659"/>
    <mergeCell ref="AQ1659:AR1659"/>
    <mergeCell ref="C1660:D1660"/>
    <mergeCell ref="E1660:F1660"/>
    <mergeCell ref="AO1660:AP1660"/>
    <mergeCell ref="AQ1660:AR1660"/>
    <mergeCell ref="C1661:D1661"/>
    <mergeCell ref="E1661:F1661"/>
    <mergeCell ref="AO1661:AP1661"/>
    <mergeCell ref="AQ1661:AR1661"/>
    <mergeCell ref="C1662:D1662"/>
    <mergeCell ref="E1662:F1662"/>
    <mergeCell ref="AO1662:AP1662"/>
    <mergeCell ref="AQ1662:AR1662"/>
    <mergeCell ref="C1663:D1663"/>
    <mergeCell ref="E1663:F1663"/>
    <mergeCell ref="AO1663:AP1663"/>
    <mergeCell ref="AQ1663:AR1663"/>
    <mergeCell ref="C1664:D1664"/>
    <mergeCell ref="E1664:F1664"/>
    <mergeCell ref="AO1664:AP1664"/>
    <mergeCell ref="AQ1664:AR1664"/>
    <mergeCell ref="C1665:D1665"/>
    <mergeCell ref="E1665:F1665"/>
    <mergeCell ref="AO1665:AP1665"/>
    <mergeCell ref="AQ1665:AR1665"/>
    <mergeCell ref="C1666:D1666"/>
    <mergeCell ref="E1666:F1666"/>
    <mergeCell ref="AO1666:AP1666"/>
    <mergeCell ref="AQ1666:AR1666"/>
    <mergeCell ref="C1667:D1667"/>
    <mergeCell ref="E1667:F1667"/>
    <mergeCell ref="AO1667:AP1667"/>
    <mergeCell ref="AQ1667:AR1667"/>
    <mergeCell ref="C1668:D1668"/>
    <mergeCell ref="E1668:F1668"/>
    <mergeCell ref="AO1668:AP1668"/>
    <mergeCell ref="AQ1668:AR1668"/>
    <mergeCell ref="C1669:D1669"/>
    <mergeCell ref="E1669:F1669"/>
    <mergeCell ref="AO1669:AP1669"/>
    <mergeCell ref="AQ1669:AR1669"/>
    <mergeCell ref="C1670:D1670"/>
    <mergeCell ref="E1670:F1670"/>
    <mergeCell ref="AO1670:AP1670"/>
    <mergeCell ref="AQ1670:AR1670"/>
    <mergeCell ref="C1671:D1671"/>
    <mergeCell ref="E1671:F1671"/>
    <mergeCell ref="AO1671:AP1671"/>
    <mergeCell ref="AQ1671:AR1671"/>
    <mergeCell ref="C1672:D1672"/>
    <mergeCell ref="E1672:F1672"/>
    <mergeCell ref="AO1672:AP1672"/>
    <mergeCell ref="AQ1672:AR1672"/>
    <mergeCell ref="C1673:D1673"/>
    <mergeCell ref="E1673:F1673"/>
    <mergeCell ref="AO1673:AP1673"/>
    <mergeCell ref="AQ1673:AR1673"/>
    <mergeCell ref="C1674:D1674"/>
    <mergeCell ref="E1674:F1674"/>
    <mergeCell ref="AO1674:AP1674"/>
    <mergeCell ref="AQ1674:AR1674"/>
    <mergeCell ref="C1675:D1675"/>
    <mergeCell ref="E1675:F1675"/>
    <mergeCell ref="AO1675:AP1675"/>
    <mergeCell ref="AQ1675:AR1675"/>
    <mergeCell ref="C1676:D1676"/>
    <mergeCell ref="E1676:F1676"/>
    <mergeCell ref="AO1676:AP1676"/>
    <mergeCell ref="AQ1676:AR1676"/>
    <mergeCell ref="C1677:D1677"/>
    <mergeCell ref="E1677:F1677"/>
    <mergeCell ref="AO1677:AP1677"/>
    <mergeCell ref="AQ1677:AR1677"/>
    <mergeCell ref="C1678:D1678"/>
    <mergeCell ref="E1678:F1678"/>
    <mergeCell ref="AO1678:AP1678"/>
    <mergeCell ref="AQ1678:AR1678"/>
    <mergeCell ref="C1679:D1679"/>
    <mergeCell ref="E1679:F1679"/>
    <mergeCell ref="AO1679:AP1679"/>
    <mergeCell ref="AQ1679:AR1679"/>
    <mergeCell ref="C1680:D1680"/>
    <mergeCell ref="E1680:F1680"/>
    <mergeCell ref="AO1680:AP1680"/>
    <mergeCell ref="AQ1680:AR1680"/>
    <mergeCell ref="C1681:D1681"/>
    <mergeCell ref="E1681:F1681"/>
    <mergeCell ref="AO1681:AP1681"/>
    <mergeCell ref="AQ1681:AR1681"/>
    <mergeCell ref="C1682:D1682"/>
    <mergeCell ref="E1682:F1682"/>
    <mergeCell ref="AO1682:AP1682"/>
    <mergeCell ref="AQ1682:AR1682"/>
    <mergeCell ref="C1683:D1683"/>
    <mergeCell ref="E1683:F1683"/>
    <mergeCell ref="AO1683:AP1683"/>
    <mergeCell ref="AQ1683:AR1683"/>
    <mergeCell ref="C1684:D1684"/>
    <mergeCell ref="E1684:F1684"/>
    <mergeCell ref="AO1684:AP1684"/>
    <mergeCell ref="AQ1684:AR1684"/>
    <mergeCell ref="C1685:D1685"/>
    <mergeCell ref="E1685:F1685"/>
    <mergeCell ref="AO1685:AP1685"/>
    <mergeCell ref="AQ1685:AR1685"/>
    <mergeCell ref="C1686:D1686"/>
    <mergeCell ref="E1686:F1686"/>
    <mergeCell ref="AO1686:AP1686"/>
    <mergeCell ref="AQ1686:AR1686"/>
    <mergeCell ref="C1687:D1687"/>
    <mergeCell ref="E1687:F1687"/>
    <mergeCell ref="AO1687:AP1687"/>
    <mergeCell ref="AQ1687:AR1687"/>
    <mergeCell ref="C1688:D1688"/>
    <mergeCell ref="E1688:F1688"/>
    <mergeCell ref="AO1688:AP1688"/>
    <mergeCell ref="AQ1688:AR1688"/>
    <mergeCell ref="C1689:D1689"/>
    <mergeCell ref="E1689:F1689"/>
    <mergeCell ref="AO1689:AP1689"/>
    <mergeCell ref="AQ1689:AR1689"/>
    <mergeCell ref="C1690:D1690"/>
    <mergeCell ref="E1690:F1690"/>
    <mergeCell ref="AO1690:AP1690"/>
    <mergeCell ref="AQ1690:AR1690"/>
    <mergeCell ref="C1691:D1691"/>
    <mergeCell ref="E1691:F1691"/>
    <mergeCell ref="AO1691:AP1691"/>
    <mergeCell ref="AQ1691:AR1691"/>
    <mergeCell ref="C1692:D1692"/>
    <mergeCell ref="E1692:F1692"/>
    <mergeCell ref="AO1692:AP1692"/>
    <mergeCell ref="AQ1692:AR1692"/>
    <mergeCell ref="C1693:D1693"/>
    <mergeCell ref="E1693:F1693"/>
    <mergeCell ref="AO1693:AP1693"/>
    <mergeCell ref="AQ1693:AR1693"/>
    <mergeCell ref="C1694:D1694"/>
    <mergeCell ref="E1694:F1694"/>
    <mergeCell ref="AO1694:AP1694"/>
    <mergeCell ref="AQ1694:AR1694"/>
    <mergeCell ref="C1695:D1695"/>
    <mergeCell ref="E1695:F1695"/>
    <mergeCell ref="AO1695:AP1695"/>
    <mergeCell ref="AQ1695:AR1695"/>
    <mergeCell ref="C1696:D1696"/>
    <mergeCell ref="E1696:F1696"/>
    <mergeCell ref="AO1696:AP1696"/>
    <mergeCell ref="AQ1696:AR1696"/>
    <mergeCell ref="C1697:D1697"/>
    <mergeCell ref="E1697:F1697"/>
    <mergeCell ref="AO1697:AP1697"/>
    <mergeCell ref="AQ1697:AR1697"/>
    <mergeCell ref="C1698:D1698"/>
    <mergeCell ref="E1698:F1698"/>
    <mergeCell ref="AO1698:AP1698"/>
    <mergeCell ref="AQ1698:AR1698"/>
    <mergeCell ref="C1699:D1699"/>
    <mergeCell ref="E1699:F1699"/>
    <mergeCell ref="AO1699:AP1699"/>
    <mergeCell ref="AQ1699:AR1699"/>
    <mergeCell ref="C1700:D1700"/>
    <mergeCell ref="E1700:F1700"/>
    <mergeCell ref="AO1700:AP1700"/>
    <mergeCell ref="AQ1700:AR1700"/>
    <mergeCell ref="C1701:D1701"/>
    <mergeCell ref="E1701:F1701"/>
    <mergeCell ref="AO1701:AP1701"/>
    <mergeCell ref="AQ1701:AR1701"/>
    <mergeCell ref="C1702:D1702"/>
    <mergeCell ref="E1702:F1702"/>
    <mergeCell ref="AO1702:AP1702"/>
    <mergeCell ref="AQ1702:AR1702"/>
    <mergeCell ref="C1703:D1703"/>
    <mergeCell ref="E1703:F1703"/>
    <mergeCell ref="AO1703:AP1703"/>
    <mergeCell ref="AQ1703:AR1703"/>
    <mergeCell ref="C1704:D1704"/>
    <mergeCell ref="E1704:F1704"/>
    <mergeCell ref="AO1704:AP1704"/>
    <mergeCell ref="AQ1704:AR1704"/>
    <mergeCell ref="C1705:D1705"/>
    <mergeCell ref="E1705:F1705"/>
    <mergeCell ref="AO1705:AP1705"/>
    <mergeCell ref="AQ1705:AR1705"/>
    <mergeCell ref="C1706:D1706"/>
    <mergeCell ref="E1706:F1706"/>
    <mergeCell ref="AO1706:AP1706"/>
    <mergeCell ref="AQ1706:AR1706"/>
    <mergeCell ref="C1707:D1707"/>
    <mergeCell ref="E1707:F1707"/>
    <mergeCell ref="AO1707:AP1707"/>
    <mergeCell ref="AQ1707:AR1707"/>
    <mergeCell ref="C1708:D1708"/>
    <mergeCell ref="E1708:F1708"/>
    <mergeCell ref="AO1708:AP1708"/>
    <mergeCell ref="AQ1708:AR1708"/>
    <mergeCell ref="C1709:D1709"/>
    <mergeCell ref="E1709:F1709"/>
    <mergeCell ref="AO1709:AP1709"/>
    <mergeCell ref="AQ1709:AR1709"/>
    <mergeCell ref="C1710:D1710"/>
    <mergeCell ref="E1710:F1710"/>
    <mergeCell ref="AO1710:AP1710"/>
    <mergeCell ref="AQ1710:AR1710"/>
    <mergeCell ref="C1711:D1711"/>
    <mergeCell ref="E1711:F1711"/>
    <mergeCell ref="AO1711:AP1711"/>
    <mergeCell ref="AQ1711:AR1711"/>
    <mergeCell ref="C1712:D1712"/>
    <mergeCell ref="E1712:F1712"/>
    <mergeCell ref="AO1712:AP1712"/>
    <mergeCell ref="AQ1712:AR1712"/>
    <mergeCell ref="C1713:D1713"/>
    <mergeCell ref="E1713:F1713"/>
    <mergeCell ref="AO1713:AP1713"/>
    <mergeCell ref="AQ1713:AR1713"/>
    <mergeCell ref="C1714:D1714"/>
    <mergeCell ref="E1714:F1714"/>
    <mergeCell ref="AO1714:AP1714"/>
    <mergeCell ref="AQ1714:AR1714"/>
    <mergeCell ref="C1715:D1715"/>
    <mergeCell ref="E1715:F1715"/>
    <mergeCell ref="AO1715:AP1715"/>
    <mergeCell ref="AQ1715:AR1715"/>
    <mergeCell ref="C1716:D1716"/>
    <mergeCell ref="E1716:F1716"/>
    <mergeCell ref="AO1716:AP1716"/>
    <mergeCell ref="AQ1716:AR1716"/>
    <mergeCell ref="C1717:D1717"/>
    <mergeCell ref="E1717:F1717"/>
    <mergeCell ref="AO1717:AP1717"/>
    <mergeCell ref="AQ1717:AR1717"/>
    <mergeCell ref="C1718:D1718"/>
    <mergeCell ref="E1718:F1718"/>
    <mergeCell ref="AO1718:AP1718"/>
    <mergeCell ref="AQ1718:AR1718"/>
    <mergeCell ref="C1719:D1719"/>
    <mergeCell ref="E1719:F1719"/>
    <mergeCell ref="AO1719:AP1719"/>
    <mergeCell ref="AQ1719:AR1719"/>
    <mergeCell ref="C1720:D1720"/>
    <mergeCell ref="E1720:F1720"/>
    <mergeCell ref="AO1720:AP1720"/>
    <mergeCell ref="AQ1720:AR1720"/>
    <mergeCell ref="C1721:D1721"/>
    <mergeCell ref="E1721:F1721"/>
    <mergeCell ref="AO1721:AP1721"/>
    <mergeCell ref="AQ1721:AR1721"/>
    <mergeCell ref="C1722:D1722"/>
    <mergeCell ref="E1722:F1722"/>
    <mergeCell ref="AO1722:AP1722"/>
    <mergeCell ref="AQ1722:AR1722"/>
    <mergeCell ref="C1723:D1723"/>
    <mergeCell ref="E1723:F1723"/>
    <mergeCell ref="AO1723:AP1723"/>
    <mergeCell ref="AQ1723:AR1723"/>
    <mergeCell ref="C1724:D1724"/>
    <mergeCell ref="E1724:F1724"/>
    <mergeCell ref="AO1724:AP1724"/>
    <mergeCell ref="AQ1724:AR1724"/>
    <mergeCell ref="C1725:D1725"/>
    <mergeCell ref="E1725:F1725"/>
    <mergeCell ref="AO1725:AP1725"/>
    <mergeCell ref="AQ1725:AR1725"/>
    <mergeCell ref="C1726:D1726"/>
    <mergeCell ref="E1726:F1726"/>
    <mergeCell ref="AO1726:AP1726"/>
    <mergeCell ref="AQ1726:AR1726"/>
    <mergeCell ref="C1727:D1727"/>
    <mergeCell ref="E1727:F1727"/>
    <mergeCell ref="AO1727:AP1727"/>
    <mergeCell ref="AQ1727:AR1727"/>
    <mergeCell ref="C1728:D1728"/>
    <mergeCell ref="E1728:F1728"/>
    <mergeCell ref="AO1728:AP1728"/>
    <mergeCell ref="AQ1728:AR1728"/>
    <mergeCell ref="C1729:D1729"/>
    <mergeCell ref="E1729:F1729"/>
    <mergeCell ref="AO1729:AP1729"/>
    <mergeCell ref="AQ1729:AR1729"/>
    <mergeCell ref="C1730:D1730"/>
    <mergeCell ref="E1730:F1730"/>
    <mergeCell ref="AO1730:AP1730"/>
    <mergeCell ref="AQ1730:AR1730"/>
    <mergeCell ref="C1731:D1731"/>
    <mergeCell ref="E1731:F1731"/>
    <mergeCell ref="AO1731:AP1731"/>
    <mergeCell ref="AQ1731:AR1731"/>
    <mergeCell ref="C1732:D1732"/>
    <mergeCell ref="E1732:F1732"/>
    <mergeCell ref="AO1732:AP1732"/>
    <mergeCell ref="AQ1732:AR1732"/>
    <mergeCell ref="C1733:D1733"/>
    <mergeCell ref="E1733:F1733"/>
    <mergeCell ref="AO1733:AP1733"/>
    <mergeCell ref="AQ1733:AR1733"/>
    <mergeCell ref="C1734:D1734"/>
    <mergeCell ref="E1734:F1734"/>
    <mergeCell ref="AO1734:AP1734"/>
    <mergeCell ref="AQ1734:AR1734"/>
    <mergeCell ref="C1735:D1735"/>
    <mergeCell ref="E1735:F1735"/>
    <mergeCell ref="AO1735:AP1735"/>
    <mergeCell ref="AQ1735:AR1735"/>
    <mergeCell ref="C1736:D1736"/>
    <mergeCell ref="E1736:F1736"/>
    <mergeCell ref="AO1736:AP1736"/>
    <mergeCell ref="AQ1736:AR1736"/>
    <mergeCell ref="C1737:D1737"/>
    <mergeCell ref="E1737:F1737"/>
    <mergeCell ref="AO1737:AP1737"/>
    <mergeCell ref="AQ1737:AR1737"/>
    <mergeCell ref="C1738:D1738"/>
    <mergeCell ref="E1738:F1738"/>
    <mergeCell ref="AO1738:AP1738"/>
    <mergeCell ref="AQ1738:AR1738"/>
    <mergeCell ref="C1739:D1739"/>
    <mergeCell ref="E1739:F1739"/>
    <mergeCell ref="AO1739:AP1739"/>
    <mergeCell ref="AQ1739:AR1739"/>
    <mergeCell ref="C1740:D1740"/>
    <mergeCell ref="E1740:F1740"/>
    <mergeCell ref="AO1740:AP1740"/>
    <mergeCell ref="AQ1740:AR1740"/>
    <mergeCell ref="C1741:D1741"/>
    <mergeCell ref="E1741:F1741"/>
    <mergeCell ref="AO1741:AP1741"/>
    <mergeCell ref="AQ1741:AR1741"/>
    <mergeCell ref="C1742:D1742"/>
    <mergeCell ref="E1742:F1742"/>
    <mergeCell ref="AO1742:AP1742"/>
    <mergeCell ref="AQ1742:AR1742"/>
    <mergeCell ref="C1743:D1743"/>
    <mergeCell ref="E1743:F1743"/>
    <mergeCell ref="AO1743:AP1743"/>
    <mergeCell ref="AQ1743:AR1743"/>
    <mergeCell ref="C1744:D1744"/>
    <mergeCell ref="E1744:F1744"/>
    <mergeCell ref="AO1744:AP1744"/>
    <mergeCell ref="AQ1744:AR1744"/>
    <mergeCell ref="C1745:D1745"/>
    <mergeCell ref="E1745:F1745"/>
    <mergeCell ref="AO1745:AP1745"/>
    <mergeCell ref="AQ1745:AR1745"/>
    <mergeCell ref="C1746:D1746"/>
    <mergeCell ref="E1746:F1746"/>
    <mergeCell ref="AO1746:AP1746"/>
    <mergeCell ref="AQ1746:AR1746"/>
    <mergeCell ref="C1747:D1747"/>
    <mergeCell ref="E1747:F1747"/>
    <mergeCell ref="AO1747:AP1747"/>
    <mergeCell ref="AQ1747:AR1747"/>
    <mergeCell ref="C1748:D1748"/>
    <mergeCell ref="E1748:F1748"/>
    <mergeCell ref="AO1748:AP1748"/>
    <mergeCell ref="AQ1748:AR1748"/>
    <mergeCell ref="C1749:D1749"/>
    <mergeCell ref="E1749:F1749"/>
    <mergeCell ref="AO1749:AP1749"/>
    <mergeCell ref="AQ1749:AR1749"/>
    <mergeCell ref="C1750:D1750"/>
    <mergeCell ref="E1750:F1750"/>
    <mergeCell ref="AO1750:AP1750"/>
    <mergeCell ref="AQ1750:AR1750"/>
    <mergeCell ref="C1751:D1751"/>
    <mergeCell ref="E1751:F1751"/>
    <mergeCell ref="AO1751:AP1751"/>
    <mergeCell ref="AQ1751:AR1751"/>
    <mergeCell ref="C1752:D1752"/>
    <mergeCell ref="E1752:F1752"/>
    <mergeCell ref="AO1752:AP1752"/>
    <mergeCell ref="AQ1752:AR1752"/>
    <mergeCell ref="C1753:D1753"/>
    <mergeCell ref="E1753:F1753"/>
    <mergeCell ref="AO1753:AP1753"/>
    <mergeCell ref="AQ1753:AR1753"/>
    <mergeCell ref="C1754:D1754"/>
    <mergeCell ref="E1754:F1754"/>
    <mergeCell ref="AO1754:AP1754"/>
    <mergeCell ref="AQ1754:AR1754"/>
    <mergeCell ref="C1755:D1755"/>
    <mergeCell ref="E1755:F1755"/>
    <mergeCell ref="AO1755:AP1755"/>
    <mergeCell ref="AQ1755:AR1755"/>
    <mergeCell ref="C1756:D1756"/>
    <mergeCell ref="E1756:F1756"/>
    <mergeCell ref="AO1756:AP1756"/>
    <mergeCell ref="AQ1756:AR1756"/>
    <mergeCell ref="C1757:D1757"/>
    <mergeCell ref="E1757:F1757"/>
    <mergeCell ref="AO1757:AP1757"/>
    <mergeCell ref="AQ1757:AR1757"/>
    <mergeCell ref="C1758:D1758"/>
    <mergeCell ref="E1758:F1758"/>
    <mergeCell ref="AO1758:AP1758"/>
    <mergeCell ref="AQ1758:AR1758"/>
    <mergeCell ref="C1759:D1759"/>
    <mergeCell ref="E1759:F1759"/>
    <mergeCell ref="AO1759:AP1759"/>
    <mergeCell ref="AQ1759:AR1759"/>
    <mergeCell ref="C1760:D1760"/>
    <mergeCell ref="E1760:F1760"/>
    <mergeCell ref="AO1760:AP1760"/>
    <mergeCell ref="AQ1760:AR1760"/>
    <mergeCell ref="C1761:D1761"/>
    <mergeCell ref="E1761:F1761"/>
    <mergeCell ref="AO1761:AP1761"/>
    <mergeCell ref="AQ1761:AR1761"/>
    <mergeCell ref="C1762:D1762"/>
    <mergeCell ref="E1762:F1762"/>
    <mergeCell ref="AO1762:AP1762"/>
    <mergeCell ref="AQ1762:AR1762"/>
    <mergeCell ref="C1763:D1763"/>
    <mergeCell ref="E1763:F1763"/>
    <mergeCell ref="AO1763:AP1763"/>
    <mergeCell ref="AQ1763:AR1763"/>
    <mergeCell ref="C1764:D1764"/>
    <mergeCell ref="E1764:F1764"/>
    <mergeCell ref="AO1764:AP1764"/>
    <mergeCell ref="AQ1764:AR1764"/>
    <mergeCell ref="C1765:D1765"/>
    <mergeCell ref="E1765:F1765"/>
    <mergeCell ref="AO1765:AP1765"/>
    <mergeCell ref="AQ1765:AR1765"/>
    <mergeCell ref="C1766:D1766"/>
    <mergeCell ref="E1766:F1766"/>
    <mergeCell ref="AO1766:AP1766"/>
    <mergeCell ref="AQ1766:AR1766"/>
    <mergeCell ref="C1767:D1767"/>
    <mergeCell ref="E1767:F1767"/>
    <mergeCell ref="AO1767:AP1767"/>
    <mergeCell ref="AQ1767:AR1767"/>
    <mergeCell ref="C1768:D1768"/>
    <mergeCell ref="E1768:F1768"/>
    <mergeCell ref="AO1768:AP1768"/>
    <mergeCell ref="AQ1768:AR1768"/>
    <mergeCell ref="C1769:D1769"/>
    <mergeCell ref="E1769:F1769"/>
    <mergeCell ref="AO1769:AP1769"/>
    <mergeCell ref="AQ1769:AR1769"/>
    <mergeCell ref="C1770:D1770"/>
    <mergeCell ref="E1770:F1770"/>
    <mergeCell ref="AO1770:AP1770"/>
    <mergeCell ref="AQ1770:AR1770"/>
    <mergeCell ref="C1771:D1771"/>
    <mergeCell ref="E1771:F1771"/>
    <mergeCell ref="AO1771:AP1771"/>
    <mergeCell ref="AQ1771:AR1771"/>
    <mergeCell ref="C1772:D1772"/>
    <mergeCell ref="E1772:F1772"/>
    <mergeCell ref="AO1772:AP1772"/>
    <mergeCell ref="AQ1772:AR1772"/>
    <mergeCell ref="C1773:D1773"/>
    <mergeCell ref="E1773:F1773"/>
    <mergeCell ref="AO1773:AP1773"/>
    <mergeCell ref="AQ1773:AR1773"/>
    <mergeCell ref="C1774:D1774"/>
    <mergeCell ref="E1774:F1774"/>
    <mergeCell ref="AO1774:AP1774"/>
    <mergeCell ref="AQ1774:AR1774"/>
    <mergeCell ref="C1775:D1775"/>
    <mergeCell ref="E1775:F1775"/>
    <mergeCell ref="AO1775:AP1775"/>
    <mergeCell ref="AQ1775:AR1775"/>
    <mergeCell ref="C1776:D1776"/>
    <mergeCell ref="E1776:F1776"/>
    <mergeCell ref="AO1776:AP1776"/>
    <mergeCell ref="AQ1776:AR1776"/>
    <mergeCell ref="C1777:D1777"/>
    <mergeCell ref="E1777:F1777"/>
    <mergeCell ref="AO1777:AP1777"/>
    <mergeCell ref="AQ1777:AR1777"/>
    <mergeCell ref="C1778:D1778"/>
    <mergeCell ref="E1778:F1778"/>
    <mergeCell ref="AO1778:AP1778"/>
    <mergeCell ref="AQ1778:AR1778"/>
    <mergeCell ref="C1779:D1779"/>
    <mergeCell ref="E1779:F1779"/>
    <mergeCell ref="AO1779:AP1779"/>
    <mergeCell ref="AQ1779:AR1779"/>
    <mergeCell ref="C1780:D1780"/>
    <mergeCell ref="E1780:F1780"/>
    <mergeCell ref="AO1780:AP1780"/>
    <mergeCell ref="AQ1780:AR1780"/>
    <mergeCell ref="C1781:D1781"/>
    <mergeCell ref="E1781:F1781"/>
    <mergeCell ref="AO1781:AP1781"/>
    <mergeCell ref="AQ1781:AR1781"/>
    <mergeCell ref="C1782:D1782"/>
    <mergeCell ref="E1782:F1782"/>
    <mergeCell ref="AO1782:AP1782"/>
    <mergeCell ref="AQ1782:AR1782"/>
    <mergeCell ref="C1783:D1783"/>
    <mergeCell ref="E1783:F1783"/>
    <mergeCell ref="AO1783:AP1783"/>
    <mergeCell ref="AQ1783:AR1783"/>
    <mergeCell ref="C1784:D1784"/>
    <mergeCell ref="E1784:F1784"/>
    <mergeCell ref="AO1784:AP1784"/>
    <mergeCell ref="AQ1784:AR1784"/>
    <mergeCell ref="C1785:D1785"/>
    <mergeCell ref="E1785:F1785"/>
    <mergeCell ref="AO1785:AP1785"/>
    <mergeCell ref="AQ1785:AR1785"/>
    <mergeCell ref="C1786:D1786"/>
    <mergeCell ref="E1786:F1786"/>
    <mergeCell ref="AO1786:AP1786"/>
    <mergeCell ref="AQ1786:AR1786"/>
    <mergeCell ref="C1787:D1787"/>
    <mergeCell ref="E1787:F1787"/>
    <mergeCell ref="AO1787:AP1787"/>
    <mergeCell ref="AQ1787:AR1787"/>
    <mergeCell ref="C1788:D1788"/>
    <mergeCell ref="E1788:F1788"/>
    <mergeCell ref="AO1788:AP1788"/>
    <mergeCell ref="AQ1788:AR1788"/>
    <mergeCell ref="C1789:D1789"/>
    <mergeCell ref="E1789:F1789"/>
    <mergeCell ref="AO1789:AP1789"/>
    <mergeCell ref="AQ1789:AR1789"/>
    <mergeCell ref="C1790:D1790"/>
    <mergeCell ref="E1790:F1790"/>
    <mergeCell ref="AO1790:AP1790"/>
    <mergeCell ref="AQ1790:AR1790"/>
    <mergeCell ref="C1791:D1791"/>
    <mergeCell ref="E1791:F1791"/>
    <mergeCell ref="AO1791:AP1791"/>
    <mergeCell ref="AQ1791:AR1791"/>
    <mergeCell ref="C1792:D1792"/>
    <mergeCell ref="E1792:F1792"/>
    <mergeCell ref="AO1792:AP1792"/>
    <mergeCell ref="AQ1792:AR1792"/>
    <mergeCell ref="C1793:D1793"/>
    <mergeCell ref="E1793:F1793"/>
    <mergeCell ref="AO1793:AP1793"/>
    <mergeCell ref="AQ1793:AR1793"/>
    <mergeCell ref="C1794:D1794"/>
    <mergeCell ref="E1794:F1794"/>
    <mergeCell ref="AO1794:AP1794"/>
    <mergeCell ref="AQ1794:AR1794"/>
    <mergeCell ref="C1795:D1795"/>
    <mergeCell ref="E1795:F1795"/>
    <mergeCell ref="AO1795:AP1795"/>
    <mergeCell ref="AQ1795:AR1795"/>
    <mergeCell ref="C1796:D1796"/>
    <mergeCell ref="E1796:F1796"/>
    <mergeCell ref="AO1796:AP1796"/>
    <mergeCell ref="AQ1796:AR1796"/>
    <mergeCell ref="C1797:D1797"/>
    <mergeCell ref="E1797:F1797"/>
    <mergeCell ref="AO1797:AP1797"/>
    <mergeCell ref="AQ1797:AR1797"/>
    <mergeCell ref="C1798:D1798"/>
    <mergeCell ref="E1798:F1798"/>
    <mergeCell ref="AO1798:AP1798"/>
    <mergeCell ref="AQ1798:AR1798"/>
    <mergeCell ref="C1799:D1799"/>
    <mergeCell ref="E1799:F1799"/>
    <mergeCell ref="AO1799:AP1799"/>
    <mergeCell ref="AQ1799:AR1799"/>
    <mergeCell ref="C1800:D1800"/>
    <mergeCell ref="E1800:F1800"/>
    <mergeCell ref="AO1800:AP1800"/>
    <mergeCell ref="AQ1800:AR1800"/>
    <mergeCell ref="C1801:D1801"/>
    <mergeCell ref="E1801:F1801"/>
    <mergeCell ref="AO1801:AP1801"/>
    <mergeCell ref="AQ1801:AR1801"/>
    <mergeCell ref="C1802:D1802"/>
    <mergeCell ref="E1802:F1802"/>
    <mergeCell ref="AO1802:AP1802"/>
    <mergeCell ref="AQ1802:AR1802"/>
    <mergeCell ref="C1803:D1803"/>
    <mergeCell ref="E1803:F1803"/>
    <mergeCell ref="AO1803:AP1803"/>
    <mergeCell ref="AQ1803:AR1803"/>
    <mergeCell ref="C1804:D1804"/>
    <mergeCell ref="E1804:F1804"/>
    <mergeCell ref="AO1804:AP1804"/>
    <mergeCell ref="AQ1804:AR1804"/>
    <mergeCell ref="C1805:D1805"/>
    <mergeCell ref="E1805:F1805"/>
    <mergeCell ref="AO1805:AP1805"/>
    <mergeCell ref="AQ1805:AR1805"/>
    <mergeCell ref="C1806:D1806"/>
    <mergeCell ref="E1806:F1806"/>
    <mergeCell ref="AO1806:AP1806"/>
    <mergeCell ref="AQ1806:AR1806"/>
    <mergeCell ref="C1807:D1807"/>
    <mergeCell ref="E1807:F1807"/>
    <mergeCell ref="AO1807:AP1807"/>
    <mergeCell ref="AQ1807:AR1807"/>
    <mergeCell ref="C1808:D1808"/>
    <mergeCell ref="E1808:F1808"/>
    <mergeCell ref="AO1808:AP1808"/>
    <mergeCell ref="AQ1808:AR1808"/>
    <mergeCell ref="C1809:D1809"/>
    <mergeCell ref="E1809:F1809"/>
    <mergeCell ref="AO1809:AP1809"/>
    <mergeCell ref="AQ1809:AR1809"/>
    <mergeCell ref="C1810:D1810"/>
    <mergeCell ref="E1810:F1810"/>
    <mergeCell ref="AO1810:AP1810"/>
    <mergeCell ref="AQ1810:AR1810"/>
    <mergeCell ref="C1811:D1811"/>
    <mergeCell ref="E1811:F1811"/>
    <mergeCell ref="AO1811:AP1811"/>
    <mergeCell ref="AQ1811:AR1811"/>
    <mergeCell ref="C1812:D1812"/>
    <mergeCell ref="E1812:F1812"/>
    <mergeCell ref="AO1812:AP1812"/>
    <mergeCell ref="AQ1812:AR1812"/>
    <mergeCell ref="C1813:D1813"/>
    <mergeCell ref="E1813:F1813"/>
    <mergeCell ref="AO1813:AP1813"/>
    <mergeCell ref="AQ1813:AR1813"/>
    <mergeCell ref="C1814:D1814"/>
    <mergeCell ref="E1814:F1814"/>
    <mergeCell ref="AO1814:AP1814"/>
    <mergeCell ref="AQ1814:AR1814"/>
    <mergeCell ref="C1815:D1815"/>
    <mergeCell ref="E1815:F1815"/>
    <mergeCell ref="AO1815:AP1815"/>
    <mergeCell ref="AQ1815:AR1815"/>
    <mergeCell ref="C1816:D1816"/>
    <mergeCell ref="E1816:F1816"/>
    <mergeCell ref="AO1816:AP1816"/>
    <mergeCell ref="AQ1816:AR1816"/>
    <mergeCell ref="C1817:D1817"/>
    <mergeCell ref="E1817:F1817"/>
    <mergeCell ref="AO1817:AP1817"/>
    <mergeCell ref="AQ1817:AR1817"/>
    <mergeCell ref="C1818:D1818"/>
    <mergeCell ref="E1818:F1818"/>
    <mergeCell ref="AO1818:AP1818"/>
    <mergeCell ref="AQ1818:AR1818"/>
    <mergeCell ref="C1819:D1819"/>
    <mergeCell ref="E1819:F1819"/>
    <mergeCell ref="AO1819:AP1819"/>
    <mergeCell ref="AQ1819:AR1819"/>
    <mergeCell ref="C1820:D1820"/>
    <mergeCell ref="E1820:F1820"/>
    <mergeCell ref="AO1820:AP1820"/>
    <mergeCell ref="AQ1820:AR1820"/>
    <mergeCell ref="C1821:D1821"/>
    <mergeCell ref="E1821:F1821"/>
    <mergeCell ref="AO1821:AP1821"/>
    <mergeCell ref="AQ1821:AR1821"/>
    <mergeCell ref="C1822:D1822"/>
    <mergeCell ref="E1822:F1822"/>
    <mergeCell ref="AO1822:AP1822"/>
    <mergeCell ref="AQ1822:AR1822"/>
    <mergeCell ref="C1823:D1823"/>
    <mergeCell ref="E1823:F1823"/>
    <mergeCell ref="AO1823:AP1823"/>
    <mergeCell ref="AQ1823:AR1823"/>
    <mergeCell ref="C1824:D1824"/>
    <mergeCell ref="E1824:F1824"/>
    <mergeCell ref="AO1824:AP1824"/>
    <mergeCell ref="AQ1824:AR1824"/>
    <mergeCell ref="C1825:D1825"/>
    <mergeCell ref="E1825:F1825"/>
    <mergeCell ref="AO1825:AP1825"/>
    <mergeCell ref="AQ1825:AR1825"/>
    <mergeCell ref="C1826:D1826"/>
    <mergeCell ref="E1826:F1826"/>
    <mergeCell ref="AO1826:AP1826"/>
    <mergeCell ref="AQ1826:AR1826"/>
    <mergeCell ref="C1827:D1827"/>
    <mergeCell ref="E1827:F1827"/>
    <mergeCell ref="AO1827:AP1827"/>
    <mergeCell ref="AQ1827:AR1827"/>
    <mergeCell ref="C1828:D1828"/>
    <mergeCell ref="E1828:F1828"/>
    <mergeCell ref="AO1828:AP1828"/>
    <mergeCell ref="AQ1828:AR1828"/>
    <mergeCell ref="C1829:D1829"/>
    <mergeCell ref="E1829:F1829"/>
    <mergeCell ref="AO1829:AP1829"/>
    <mergeCell ref="AQ1829:AR1829"/>
    <mergeCell ref="C1830:D1830"/>
    <mergeCell ref="E1830:F1830"/>
    <mergeCell ref="AO1830:AP1830"/>
    <mergeCell ref="AQ1830:AR1830"/>
    <mergeCell ref="C1831:D1831"/>
    <mergeCell ref="E1831:F1831"/>
    <mergeCell ref="AO1831:AP1831"/>
    <mergeCell ref="AQ1831:AR1831"/>
    <mergeCell ref="C1832:D1832"/>
    <mergeCell ref="E1832:F1832"/>
    <mergeCell ref="AO1832:AP1832"/>
    <mergeCell ref="AQ1832:AR1832"/>
    <mergeCell ref="C1833:D1833"/>
    <mergeCell ref="E1833:F1833"/>
    <mergeCell ref="AO1833:AP1833"/>
    <mergeCell ref="AQ1833:AR1833"/>
    <mergeCell ref="C1834:D1834"/>
    <mergeCell ref="E1834:F1834"/>
    <mergeCell ref="AO1834:AP1834"/>
    <mergeCell ref="AQ1834:AR1834"/>
    <mergeCell ref="C1835:D1835"/>
    <mergeCell ref="E1835:F1835"/>
    <mergeCell ref="AO1835:AP1835"/>
    <mergeCell ref="AQ1835:AR1835"/>
    <mergeCell ref="C1836:D1836"/>
    <mergeCell ref="E1836:F1836"/>
    <mergeCell ref="AO1836:AP1836"/>
    <mergeCell ref="AQ1836:AR1836"/>
    <mergeCell ref="C1837:D1837"/>
    <mergeCell ref="E1837:F1837"/>
    <mergeCell ref="AO1837:AP1837"/>
    <mergeCell ref="AQ1837:AR1837"/>
    <mergeCell ref="C1838:D1838"/>
    <mergeCell ref="E1838:F1838"/>
    <mergeCell ref="AO1838:AP1838"/>
    <mergeCell ref="AQ1838:AR1838"/>
    <mergeCell ref="C1839:D1839"/>
    <mergeCell ref="E1839:F1839"/>
    <mergeCell ref="AO1839:AP1839"/>
    <mergeCell ref="AQ1839:AR1839"/>
    <mergeCell ref="C1840:D1840"/>
    <mergeCell ref="E1840:F1840"/>
    <mergeCell ref="AO1840:AP1840"/>
    <mergeCell ref="AQ1840:AR1840"/>
    <mergeCell ref="C1841:D1841"/>
    <mergeCell ref="E1841:F1841"/>
    <mergeCell ref="AO1841:AP1841"/>
    <mergeCell ref="AQ1841:AR1841"/>
    <mergeCell ref="C1842:D1842"/>
    <mergeCell ref="E1842:F1842"/>
    <mergeCell ref="AO1842:AP1842"/>
    <mergeCell ref="AQ1842:AR1842"/>
    <mergeCell ref="C1843:D1843"/>
    <mergeCell ref="E1843:F1843"/>
    <mergeCell ref="AO1843:AP1843"/>
    <mergeCell ref="AQ1843:AR1843"/>
    <mergeCell ref="C1844:D1844"/>
    <mergeCell ref="E1844:F1844"/>
    <mergeCell ref="AO1844:AP1844"/>
    <mergeCell ref="AQ1844:AR1844"/>
    <mergeCell ref="C1845:D1845"/>
    <mergeCell ref="E1845:F1845"/>
    <mergeCell ref="AO1845:AP1845"/>
    <mergeCell ref="AQ1845:AR1845"/>
    <mergeCell ref="C1846:D1846"/>
    <mergeCell ref="E1846:F1846"/>
    <mergeCell ref="AO1846:AP1846"/>
    <mergeCell ref="AQ1846:AR1846"/>
    <mergeCell ref="C1847:D1847"/>
    <mergeCell ref="E1847:F1847"/>
    <mergeCell ref="AO1847:AP1847"/>
    <mergeCell ref="AQ1847:AR1847"/>
    <mergeCell ref="C1848:D1848"/>
    <mergeCell ref="E1848:F1848"/>
    <mergeCell ref="AO1848:AP1848"/>
    <mergeCell ref="AQ1848:AR1848"/>
    <mergeCell ref="C1849:D1849"/>
    <mergeCell ref="E1849:F1849"/>
    <mergeCell ref="AO1849:AP1849"/>
    <mergeCell ref="AQ1849:AR1849"/>
    <mergeCell ref="C1850:D1850"/>
    <mergeCell ref="E1850:F1850"/>
    <mergeCell ref="AO1850:AP1850"/>
    <mergeCell ref="AQ1850:AR1850"/>
    <mergeCell ref="C1851:D1851"/>
    <mergeCell ref="E1851:F1851"/>
    <mergeCell ref="AO1851:AP1851"/>
    <mergeCell ref="AQ1851:AR1851"/>
    <mergeCell ref="C1852:D1852"/>
    <mergeCell ref="E1852:F1852"/>
    <mergeCell ref="AO1852:AP1852"/>
    <mergeCell ref="AQ1852:AR1852"/>
    <mergeCell ref="C1853:D1853"/>
    <mergeCell ref="E1853:F1853"/>
    <mergeCell ref="AO1853:AP1853"/>
    <mergeCell ref="AQ1853:AR1853"/>
    <mergeCell ref="C1854:D1854"/>
    <mergeCell ref="E1854:F1854"/>
    <mergeCell ref="AO1854:AP1854"/>
    <mergeCell ref="AQ1854:AR1854"/>
    <mergeCell ref="C1855:D1855"/>
    <mergeCell ref="E1855:F1855"/>
    <mergeCell ref="AO1855:AP1855"/>
    <mergeCell ref="AQ1855:AR1855"/>
    <mergeCell ref="C1856:D1856"/>
    <mergeCell ref="E1856:F1856"/>
    <mergeCell ref="AO1856:AP1856"/>
    <mergeCell ref="AQ1856:AR1856"/>
    <mergeCell ref="C1857:D1857"/>
    <mergeCell ref="E1857:F1857"/>
    <mergeCell ref="AO1857:AP1857"/>
    <mergeCell ref="AQ1857:AR1857"/>
    <mergeCell ref="C1858:D1858"/>
    <mergeCell ref="E1858:F1858"/>
    <mergeCell ref="AO1858:AP1858"/>
    <mergeCell ref="AQ1858:AR1858"/>
    <mergeCell ref="C1859:D1859"/>
    <mergeCell ref="E1859:F1859"/>
    <mergeCell ref="AO1859:AP1859"/>
    <mergeCell ref="AQ1859:AR1859"/>
    <mergeCell ref="C1860:D1860"/>
    <mergeCell ref="E1860:F1860"/>
    <mergeCell ref="AO1860:AP1860"/>
    <mergeCell ref="AQ1860:AR1860"/>
    <mergeCell ref="C1861:D1861"/>
    <mergeCell ref="E1861:F1861"/>
    <mergeCell ref="AO1861:AP1861"/>
    <mergeCell ref="AQ1861:AR1861"/>
    <mergeCell ref="C1862:D1862"/>
    <mergeCell ref="E1862:F1862"/>
    <mergeCell ref="AO1862:AP1862"/>
    <mergeCell ref="AQ1862:AR1862"/>
    <mergeCell ref="C1863:D1863"/>
    <mergeCell ref="E1863:F1863"/>
    <mergeCell ref="AO1863:AP1863"/>
    <mergeCell ref="AQ1863:AR1863"/>
    <mergeCell ref="C1864:D1864"/>
    <mergeCell ref="E1864:F1864"/>
    <mergeCell ref="AO1864:AP1864"/>
    <mergeCell ref="AQ1864:AR1864"/>
    <mergeCell ref="C1865:D1865"/>
    <mergeCell ref="E1865:F1865"/>
    <mergeCell ref="AO1865:AP1865"/>
    <mergeCell ref="AQ1865:AR1865"/>
    <mergeCell ref="C1866:D1866"/>
    <mergeCell ref="E1866:F1866"/>
    <mergeCell ref="AO1866:AP1866"/>
    <mergeCell ref="AQ1866:AR1866"/>
    <mergeCell ref="C1867:D1867"/>
    <mergeCell ref="E1867:F1867"/>
    <mergeCell ref="AO1867:AP1867"/>
    <mergeCell ref="AQ1867:AR1867"/>
    <mergeCell ref="C1868:D1868"/>
    <mergeCell ref="E1868:F1868"/>
    <mergeCell ref="AO1868:AP1868"/>
    <mergeCell ref="AQ1868:AR1868"/>
    <mergeCell ref="C1869:D1869"/>
    <mergeCell ref="E1869:F1869"/>
    <mergeCell ref="AO1869:AP1869"/>
    <mergeCell ref="AQ1869:AR1869"/>
    <mergeCell ref="C1870:D1870"/>
    <mergeCell ref="E1870:F1870"/>
    <mergeCell ref="AO1870:AP1870"/>
    <mergeCell ref="AQ1870:AR1870"/>
    <mergeCell ref="C1871:D1871"/>
    <mergeCell ref="E1871:F1871"/>
    <mergeCell ref="AO1871:AP1871"/>
    <mergeCell ref="AQ1871:AR1871"/>
    <mergeCell ref="C1872:D1872"/>
    <mergeCell ref="E1872:F1872"/>
    <mergeCell ref="AO1872:AP1872"/>
    <mergeCell ref="AQ1872:AR1872"/>
    <mergeCell ref="C1873:D1873"/>
    <mergeCell ref="E1873:F1873"/>
    <mergeCell ref="AO1873:AP1873"/>
    <mergeCell ref="AQ1873:AR1873"/>
    <mergeCell ref="C1874:D1874"/>
    <mergeCell ref="E1874:F1874"/>
    <mergeCell ref="AO1874:AP1874"/>
    <mergeCell ref="AQ1874:AR1874"/>
    <mergeCell ref="C1875:D1875"/>
    <mergeCell ref="E1875:F1875"/>
    <mergeCell ref="AO1875:AP1875"/>
    <mergeCell ref="AQ1875:AR1875"/>
    <mergeCell ref="C1876:D1876"/>
    <mergeCell ref="E1876:F1876"/>
    <mergeCell ref="AO1876:AP1876"/>
    <mergeCell ref="AQ1876:AR1876"/>
    <mergeCell ref="C1877:D1877"/>
    <mergeCell ref="E1877:F1877"/>
    <mergeCell ref="AO1877:AP1877"/>
    <mergeCell ref="AQ1877:AR1877"/>
    <mergeCell ref="C1878:D1878"/>
    <mergeCell ref="E1878:F1878"/>
    <mergeCell ref="AO1878:AP1878"/>
    <mergeCell ref="AQ1878:AR1878"/>
    <mergeCell ref="C1879:D1879"/>
    <mergeCell ref="E1879:F1879"/>
    <mergeCell ref="AO1879:AP1879"/>
    <mergeCell ref="AQ1879:AR1879"/>
    <mergeCell ref="C1880:D1880"/>
    <mergeCell ref="E1880:F1880"/>
    <mergeCell ref="AO1880:AP1880"/>
    <mergeCell ref="AQ1880:AR1880"/>
    <mergeCell ref="C1881:D1881"/>
    <mergeCell ref="E1881:F1881"/>
    <mergeCell ref="AO1881:AP1881"/>
    <mergeCell ref="AQ1881:AR1881"/>
    <mergeCell ref="C1882:D1882"/>
    <mergeCell ref="E1882:F1882"/>
    <mergeCell ref="AO1882:AP1882"/>
    <mergeCell ref="AQ1882:AR1882"/>
    <mergeCell ref="C1883:D1883"/>
    <mergeCell ref="E1883:F1883"/>
    <mergeCell ref="AO1883:AP1883"/>
    <mergeCell ref="AQ1883:AR1883"/>
    <mergeCell ref="C1884:D1884"/>
    <mergeCell ref="E1884:F1884"/>
    <mergeCell ref="AO1884:AP1884"/>
    <mergeCell ref="AQ1884:AR1884"/>
    <mergeCell ref="C1885:D1885"/>
    <mergeCell ref="E1885:F1885"/>
    <mergeCell ref="AO1885:AP1885"/>
    <mergeCell ref="AQ1885:AR1885"/>
    <mergeCell ref="C1886:D1886"/>
    <mergeCell ref="E1886:F1886"/>
    <mergeCell ref="AO1886:AP1886"/>
    <mergeCell ref="AQ1886:AR1886"/>
    <mergeCell ref="C1887:D1887"/>
    <mergeCell ref="E1887:F1887"/>
    <mergeCell ref="AO1887:AP1887"/>
    <mergeCell ref="AQ1887:AR1887"/>
    <mergeCell ref="C1888:D1888"/>
    <mergeCell ref="E1888:F1888"/>
    <mergeCell ref="AO1888:AP1888"/>
    <mergeCell ref="AQ1888:AR1888"/>
    <mergeCell ref="C1889:D1889"/>
    <mergeCell ref="E1889:F1889"/>
    <mergeCell ref="AO1889:AP1889"/>
    <mergeCell ref="AQ1889:AR1889"/>
    <mergeCell ref="C1890:D1890"/>
    <mergeCell ref="E1890:F1890"/>
    <mergeCell ref="AO1890:AP1890"/>
    <mergeCell ref="AQ1890:AR1890"/>
    <mergeCell ref="C1891:D1891"/>
    <mergeCell ref="E1891:F1891"/>
    <mergeCell ref="AO1891:AP1891"/>
    <mergeCell ref="AQ1891:AR1891"/>
    <mergeCell ref="C1892:D1892"/>
    <mergeCell ref="E1892:F1892"/>
    <mergeCell ref="AO1892:AP1892"/>
    <mergeCell ref="AQ1892:AR1892"/>
    <mergeCell ref="C1893:D1893"/>
    <mergeCell ref="E1893:F1893"/>
    <mergeCell ref="AO1893:AP1893"/>
    <mergeCell ref="AQ1893:AR1893"/>
    <mergeCell ref="C1894:D1894"/>
    <mergeCell ref="E1894:F1894"/>
    <mergeCell ref="AO1894:AP1894"/>
    <mergeCell ref="AQ1894:AR1894"/>
    <mergeCell ref="C1895:D1895"/>
    <mergeCell ref="E1895:F1895"/>
    <mergeCell ref="AO1895:AP1895"/>
    <mergeCell ref="AQ1895:AR1895"/>
    <mergeCell ref="C1896:D1896"/>
    <mergeCell ref="E1896:F1896"/>
    <mergeCell ref="AO1896:AP1896"/>
    <mergeCell ref="AQ1896:AR1896"/>
    <mergeCell ref="C1897:D1897"/>
    <mergeCell ref="E1897:F1897"/>
    <mergeCell ref="AO1897:AP1897"/>
    <mergeCell ref="AQ1897:AR1897"/>
    <mergeCell ref="C1898:D1898"/>
    <mergeCell ref="E1898:F1898"/>
    <mergeCell ref="AO1898:AP1898"/>
    <mergeCell ref="AQ1898:AR1898"/>
    <mergeCell ref="C1899:D1899"/>
    <mergeCell ref="E1899:F1899"/>
    <mergeCell ref="AO1899:AP1899"/>
    <mergeCell ref="AQ1899:AR1899"/>
    <mergeCell ref="C1900:D1900"/>
    <mergeCell ref="E1900:F1900"/>
    <mergeCell ref="AO1900:AP1900"/>
    <mergeCell ref="AQ1900:AR1900"/>
    <mergeCell ref="C1901:D1901"/>
    <mergeCell ref="E1901:F1901"/>
    <mergeCell ref="AO1901:AP1901"/>
    <mergeCell ref="AQ1901:AR1901"/>
    <mergeCell ref="C1902:D1902"/>
    <mergeCell ref="E1902:F1902"/>
    <mergeCell ref="AO1902:AP1902"/>
    <mergeCell ref="AQ1902:AR1902"/>
    <mergeCell ref="C1903:D1903"/>
    <mergeCell ref="E1903:F1903"/>
    <mergeCell ref="AO1903:AP1903"/>
    <mergeCell ref="AQ1903:AR1903"/>
    <mergeCell ref="C1904:D1904"/>
    <mergeCell ref="E1904:F1904"/>
    <mergeCell ref="AO1904:AP1904"/>
    <mergeCell ref="AQ1904:AR1904"/>
    <mergeCell ref="C1905:D1905"/>
    <mergeCell ref="E1905:F1905"/>
    <mergeCell ref="AO1905:AP1905"/>
    <mergeCell ref="AQ1905:AR1905"/>
    <mergeCell ref="C1906:D1906"/>
    <mergeCell ref="E1906:F1906"/>
    <mergeCell ref="AO1906:AP1906"/>
    <mergeCell ref="AQ1906:AR1906"/>
    <mergeCell ref="C1907:D1907"/>
    <mergeCell ref="E1907:F1907"/>
    <mergeCell ref="AO1907:AP1907"/>
    <mergeCell ref="AQ1907:AR1907"/>
    <mergeCell ref="C1908:D1908"/>
    <mergeCell ref="E1908:F1908"/>
    <mergeCell ref="AO1908:AP1908"/>
    <mergeCell ref="AQ1908:AR1908"/>
    <mergeCell ref="C1909:D1909"/>
    <mergeCell ref="E1909:F1909"/>
    <mergeCell ref="AO1909:AP1909"/>
    <mergeCell ref="AQ1909:AR1909"/>
    <mergeCell ref="C1910:D1910"/>
    <mergeCell ref="E1910:F1910"/>
    <mergeCell ref="AO1910:AP1910"/>
    <mergeCell ref="AQ1910:AR1910"/>
    <mergeCell ref="C1911:D1911"/>
    <mergeCell ref="E1911:F1911"/>
    <mergeCell ref="AO1911:AP1911"/>
    <mergeCell ref="AQ1911:AR1911"/>
    <mergeCell ref="C1912:D1912"/>
    <mergeCell ref="E1912:F1912"/>
    <mergeCell ref="AO1912:AP1912"/>
    <mergeCell ref="AQ1912:AR1912"/>
    <mergeCell ref="C1913:D1913"/>
    <mergeCell ref="E1913:F1913"/>
    <mergeCell ref="AO1913:AP1913"/>
    <mergeCell ref="AQ1913:AR1913"/>
    <mergeCell ref="C1914:D1914"/>
    <mergeCell ref="E1914:F1914"/>
    <mergeCell ref="AO1914:AP1914"/>
    <mergeCell ref="AQ1914:AR1914"/>
    <mergeCell ref="C1915:D1915"/>
    <mergeCell ref="E1915:F1915"/>
    <mergeCell ref="AO1915:AP1915"/>
    <mergeCell ref="AQ1915:AR1915"/>
    <mergeCell ref="C1916:D1916"/>
    <mergeCell ref="E1916:F1916"/>
    <mergeCell ref="AO1916:AP1916"/>
    <mergeCell ref="AQ1916:AR1916"/>
    <mergeCell ref="C1917:D1917"/>
    <mergeCell ref="E1917:F1917"/>
    <mergeCell ref="AO1917:AP1917"/>
    <mergeCell ref="AQ1917:AR1917"/>
    <mergeCell ref="C1918:D1918"/>
    <mergeCell ref="E1918:F1918"/>
    <mergeCell ref="AO1918:AP1918"/>
    <mergeCell ref="AQ1918:AR1918"/>
    <mergeCell ref="C1919:D1919"/>
    <mergeCell ref="E1919:F1919"/>
    <mergeCell ref="AO1919:AP1919"/>
    <mergeCell ref="AQ1919:AR1919"/>
    <mergeCell ref="C1920:D1920"/>
    <mergeCell ref="E1920:F1920"/>
    <mergeCell ref="AO1920:AP1920"/>
    <mergeCell ref="AQ1920:AR1920"/>
    <mergeCell ref="C1921:D1921"/>
    <mergeCell ref="E1921:F1921"/>
    <mergeCell ref="AO1921:AP1921"/>
    <mergeCell ref="AQ1921:AR1921"/>
    <mergeCell ref="C1922:D1922"/>
    <mergeCell ref="E1922:F1922"/>
    <mergeCell ref="AO1922:AP1922"/>
    <mergeCell ref="AQ1922:AR1922"/>
    <mergeCell ref="C1923:D1923"/>
    <mergeCell ref="E1923:F1923"/>
    <mergeCell ref="AO1923:AP1923"/>
    <mergeCell ref="AQ1923:AR1923"/>
    <mergeCell ref="C1924:D1924"/>
    <mergeCell ref="E1924:F1924"/>
    <mergeCell ref="AO1924:AP1924"/>
    <mergeCell ref="AQ1924:AR1924"/>
    <mergeCell ref="C1925:D1925"/>
    <mergeCell ref="E1925:F1925"/>
    <mergeCell ref="AO1925:AP1925"/>
    <mergeCell ref="AQ1925:AR1925"/>
    <mergeCell ref="C1926:D1926"/>
    <mergeCell ref="E1926:F1926"/>
    <mergeCell ref="AO1926:AP1926"/>
    <mergeCell ref="AQ1926:AR1926"/>
    <mergeCell ref="C1927:D1927"/>
    <mergeCell ref="E1927:F1927"/>
    <mergeCell ref="AO1927:AP1927"/>
    <mergeCell ref="AQ1927:AR1927"/>
    <mergeCell ref="C1928:D1928"/>
    <mergeCell ref="E1928:F1928"/>
    <mergeCell ref="AO1928:AP1928"/>
    <mergeCell ref="AQ1928:AR1928"/>
    <mergeCell ref="C1929:D1929"/>
    <mergeCell ref="E1929:F1929"/>
    <mergeCell ref="AO1929:AP1929"/>
    <mergeCell ref="AQ1929:AR1929"/>
    <mergeCell ref="C1930:D1930"/>
    <mergeCell ref="E1930:F1930"/>
    <mergeCell ref="AO1930:AP1930"/>
    <mergeCell ref="AQ1930:AR1930"/>
    <mergeCell ref="C1931:D1931"/>
    <mergeCell ref="E1931:F1931"/>
    <mergeCell ref="AO1931:AP1931"/>
    <mergeCell ref="AQ1931:AR1931"/>
    <mergeCell ref="C1932:D1932"/>
    <mergeCell ref="E1932:F1932"/>
    <mergeCell ref="AO1932:AP1932"/>
    <mergeCell ref="AQ1932:AR1932"/>
    <mergeCell ref="C1933:D1933"/>
    <mergeCell ref="E1933:F1933"/>
    <mergeCell ref="AO1933:AP1933"/>
    <mergeCell ref="AQ1933:AR1933"/>
    <mergeCell ref="C1934:D1934"/>
    <mergeCell ref="E1934:F1934"/>
    <mergeCell ref="AO1934:AP1934"/>
    <mergeCell ref="AQ1934:AR1934"/>
    <mergeCell ref="C1935:D1935"/>
    <mergeCell ref="E1935:F1935"/>
    <mergeCell ref="AO1935:AP1935"/>
    <mergeCell ref="AQ1935:AR1935"/>
    <mergeCell ref="C1936:D1936"/>
    <mergeCell ref="E1936:F1936"/>
    <mergeCell ref="AO1936:AP1936"/>
    <mergeCell ref="AQ1936:AR1936"/>
    <mergeCell ref="C1937:D1937"/>
    <mergeCell ref="E1937:F1937"/>
    <mergeCell ref="AO1937:AP1937"/>
    <mergeCell ref="AQ1937:AR1937"/>
    <mergeCell ref="C1938:D1938"/>
    <mergeCell ref="E1938:F1938"/>
    <mergeCell ref="AO1938:AP1938"/>
    <mergeCell ref="AQ1938:AR1938"/>
    <mergeCell ref="C1939:D1939"/>
    <mergeCell ref="E1939:F1939"/>
    <mergeCell ref="AO1939:AP1939"/>
    <mergeCell ref="AQ1939:AR1939"/>
    <mergeCell ref="C1940:D1940"/>
    <mergeCell ref="E1940:F1940"/>
    <mergeCell ref="AO1940:AP1940"/>
    <mergeCell ref="AQ1940:AR1940"/>
    <mergeCell ref="C1941:D1941"/>
    <mergeCell ref="E1941:F1941"/>
    <mergeCell ref="AO1941:AP1941"/>
    <mergeCell ref="AQ1941:AR1941"/>
    <mergeCell ref="C1942:D1942"/>
    <mergeCell ref="E1942:F1942"/>
    <mergeCell ref="AO1942:AP1942"/>
    <mergeCell ref="AQ1942:AR1942"/>
    <mergeCell ref="C1943:D1943"/>
    <mergeCell ref="E1943:F1943"/>
    <mergeCell ref="AO1943:AP1943"/>
    <mergeCell ref="AQ1943:AR1943"/>
    <mergeCell ref="C1944:D1944"/>
    <mergeCell ref="E1944:F1944"/>
    <mergeCell ref="AO1944:AP1944"/>
    <mergeCell ref="AQ1944:AR1944"/>
    <mergeCell ref="C1945:D1945"/>
    <mergeCell ref="E1945:F1945"/>
    <mergeCell ref="AO1945:AP1945"/>
    <mergeCell ref="AQ1945:AR1945"/>
    <mergeCell ref="C1946:D1946"/>
    <mergeCell ref="E1946:F1946"/>
    <mergeCell ref="AO1946:AP1946"/>
    <mergeCell ref="AQ1946:AR1946"/>
    <mergeCell ref="C1947:D1947"/>
    <mergeCell ref="E1947:F1947"/>
    <mergeCell ref="AO1947:AP1947"/>
    <mergeCell ref="AQ1947:AR1947"/>
    <mergeCell ref="C1948:D1948"/>
    <mergeCell ref="E1948:F1948"/>
    <mergeCell ref="AO1948:AP1948"/>
    <mergeCell ref="AQ1948:AR1948"/>
    <mergeCell ref="C1949:D1949"/>
    <mergeCell ref="E1949:F1949"/>
    <mergeCell ref="AO1949:AP1949"/>
    <mergeCell ref="AQ1949:AR1949"/>
    <mergeCell ref="C1950:D1950"/>
    <mergeCell ref="E1950:F1950"/>
    <mergeCell ref="AO1950:AP1950"/>
    <mergeCell ref="AQ1950:AR1950"/>
    <mergeCell ref="C1951:D1951"/>
    <mergeCell ref="E1951:F1951"/>
    <mergeCell ref="AO1951:AP1951"/>
    <mergeCell ref="AQ1951:AR1951"/>
    <mergeCell ref="C1952:D1952"/>
    <mergeCell ref="E1952:F1952"/>
    <mergeCell ref="AO1952:AP1952"/>
    <mergeCell ref="AQ1952:AR1952"/>
    <mergeCell ref="C1953:D1953"/>
    <mergeCell ref="E1953:F1953"/>
    <mergeCell ref="AO1953:AP1953"/>
    <mergeCell ref="AQ1953:AR1953"/>
    <mergeCell ref="C1954:D1954"/>
    <mergeCell ref="E1954:F1954"/>
    <mergeCell ref="AO1954:AP1954"/>
    <mergeCell ref="AQ1954:AR1954"/>
    <mergeCell ref="C1955:D1955"/>
    <mergeCell ref="E1955:F1955"/>
    <mergeCell ref="AO1955:AP1955"/>
    <mergeCell ref="AQ1955:AR1955"/>
    <mergeCell ref="C1956:D1956"/>
    <mergeCell ref="E1956:F1956"/>
    <mergeCell ref="AO1956:AP1956"/>
    <mergeCell ref="AQ1956:AR1956"/>
    <mergeCell ref="C1957:D1957"/>
    <mergeCell ref="E1957:F1957"/>
    <mergeCell ref="AO1957:AP1957"/>
    <mergeCell ref="AQ1957:AR1957"/>
    <mergeCell ref="C1958:D1958"/>
    <mergeCell ref="E1958:F1958"/>
    <mergeCell ref="AO1958:AP1958"/>
    <mergeCell ref="AQ1958:AR1958"/>
    <mergeCell ref="C1959:D1959"/>
    <mergeCell ref="E1959:F1959"/>
    <mergeCell ref="AO1959:AP1959"/>
    <mergeCell ref="AQ1959:AR1959"/>
    <mergeCell ref="C1960:D1960"/>
    <mergeCell ref="E1960:F1960"/>
    <mergeCell ref="AO1960:AP1960"/>
    <mergeCell ref="AQ1960:AR1960"/>
    <mergeCell ref="C1961:D1961"/>
    <mergeCell ref="E1961:F1961"/>
    <mergeCell ref="AO1961:AP1961"/>
    <mergeCell ref="AQ1961:AR1961"/>
    <mergeCell ref="C1962:D1962"/>
    <mergeCell ref="E1962:F1962"/>
    <mergeCell ref="AO1962:AP1962"/>
    <mergeCell ref="AQ1962:AR1962"/>
    <mergeCell ref="C1963:D1963"/>
    <mergeCell ref="E1963:F1963"/>
    <mergeCell ref="AO1963:AP1963"/>
    <mergeCell ref="AQ1963:AR1963"/>
    <mergeCell ref="C1964:D1964"/>
    <mergeCell ref="E1964:F1964"/>
    <mergeCell ref="AO1964:AP1964"/>
    <mergeCell ref="AQ1964:AR1964"/>
    <mergeCell ref="C1965:D1965"/>
    <mergeCell ref="E1965:F1965"/>
    <mergeCell ref="AO1965:AP1965"/>
    <mergeCell ref="AQ1965:AR1965"/>
    <mergeCell ref="C1966:D1966"/>
    <mergeCell ref="E1966:F1966"/>
    <mergeCell ref="AO1966:AP1966"/>
    <mergeCell ref="AQ1966:AR1966"/>
    <mergeCell ref="C1967:D1967"/>
    <mergeCell ref="E1967:F1967"/>
    <mergeCell ref="AO1967:AP1967"/>
    <mergeCell ref="AQ1967:AR1967"/>
    <mergeCell ref="C1968:D1968"/>
    <mergeCell ref="E1968:F1968"/>
    <mergeCell ref="AO1968:AP1968"/>
    <mergeCell ref="AQ1968:AR1968"/>
    <mergeCell ref="C1969:D1969"/>
    <mergeCell ref="E1969:F1969"/>
    <mergeCell ref="AO1969:AP1969"/>
    <mergeCell ref="AQ1969:AR1969"/>
    <mergeCell ref="C1970:D1970"/>
    <mergeCell ref="E1970:F1970"/>
    <mergeCell ref="AO1970:AP1970"/>
    <mergeCell ref="AQ1970:AR1970"/>
    <mergeCell ref="C1971:D1971"/>
    <mergeCell ref="E1971:F1971"/>
    <mergeCell ref="AO1971:AP1971"/>
    <mergeCell ref="AQ1971:AR1971"/>
    <mergeCell ref="C1972:D1972"/>
    <mergeCell ref="E1972:F1972"/>
    <mergeCell ref="AO1972:AP1972"/>
    <mergeCell ref="AQ1972:AR1972"/>
    <mergeCell ref="C1973:D1973"/>
    <mergeCell ref="E1973:F1973"/>
    <mergeCell ref="AO1973:AP1973"/>
    <mergeCell ref="AQ1973:AR1973"/>
    <mergeCell ref="C1974:D1974"/>
    <mergeCell ref="E1974:F1974"/>
    <mergeCell ref="AO1974:AP1974"/>
    <mergeCell ref="AQ1974:AR1974"/>
    <mergeCell ref="C1975:D1975"/>
    <mergeCell ref="E1975:F1975"/>
    <mergeCell ref="AO1975:AP1975"/>
    <mergeCell ref="AQ1975:AR1975"/>
    <mergeCell ref="C1976:D1976"/>
    <mergeCell ref="E1976:F1976"/>
    <mergeCell ref="AO1976:AP1976"/>
    <mergeCell ref="AQ1976:AR1976"/>
    <mergeCell ref="C1977:D1977"/>
    <mergeCell ref="E1977:F1977"/>
    <mergeCell ref="AO1977:AP1977"/>
    <mergeCell ref="AQ1977:AR1977"/>
    <mergeCell ref="C1978:D1978"/>
    <mergeCell ref="E1978:F1978"/>
    <mergeCell ref="AO1978:AP1978"/>
    <mergeCell ref="AQ1978:AR1978"/>
    <mergeCell ref="C1979:D1979"/>
    <mergeCell ref="E1979:F1979"/>
    <mergeCell ref="AO1979:AP1979"/>
    <mergeCell ref="AQ1979:AR1979"/>
    <mergeCell ref="C1980:D1980"/>
    <mergeCell ref="E1980:F1980"/>
    <mergeCell ref="AO1980:AP1980"/>
    <mergeCell ref="AQ1980:AR1980"/>
    <mergeCell ref="C1981:D1981"/>
    <mergeCell ref="E1981:F1981"/>
    <mergeCell ref="AO1981:AP1981"/>
    <mergeCell ref="AQ1981:AR1981"/>
    <mergeCell ref="C1982:D1982"/>
    <mergeCell ref="E1982:F1982"/>
    <mergeCell ref="AO1982:AP1982"/>
    <mergeCell ref="AQ1982:AR1982"/>
    <mergeCell ref="C1983:D1983"/>
    <mergeCell ref="E1983:F1983"/>
    <mergeCell ref="AO1983:AP1983"/>
    <mergeCell ref="AQ1983:AR1983"/>
    <mergeCell ref="C1984:D1984"/>
    <mergeCell ref="E1984:F1984"/>
    <mergeCell ref="AO1984:AP1984"/>
    <mergeCell ref="AQ1984:AR1984"/>
    <mergeCell ref="C1985:D1985"/>
    <mergeCell ref="E1985:F1985"/>
    <mergeCell ref="AO1985:AP1985"/>
    <mergeCell ref="AQ1985:AR1985"/>
    <mergeCell ref="C1986:D1986"/>
    <mergeCell ref="E1986:F1986"/>
    <mergeCell ref="AO1986:AP1986"/>
    <mergeCell ref="AQ1986:AR1986"/>
    <mergeCell ref="C1987:D1987"/>
    <mergeCell ref="E1987:F1987"/>
    <mergeCell ref="AO1987:AP1987"/>
    <mergeCell ref="AQ1987:AR1987"/>
    <mergeCell ref="C1988:D1988"/>
    <mergeCell ref="E1988:F1988"/>
    <mergeCell ref="AO1988:AP1988"/>
    <mergeCell ref="AQ1988:AR1988"/>
    <mergeCell ref="C1989:D1989"/>
    <mergeCell ref="E1989:F1989"/>
    <mergeCell ref="AO1989:AP1989"/>
    <mergeCell ref="AQ1989:AR1989"/>
    <mergeCell ref="C1990:D1990"/>
    <mergeCell ref="E1990:F1990"/>
    <mergeCell ref="AO1990:AP1990"/>
    <mergeCell ref="AQ1990:AR1990"/>
    <mergeCell ref="C1991:D1991"/>
    <mergeCell ref="E1991:F1991"/>
    <mergeCell ref="AO1991:AP1991"/>
    <mergeCell ref="AQ1991:AR1991"/>
    <mergeCell ref="C1992:D1992"/>
    <mergeCell ref="E1992:F1992"/>
    <mergeCell ref="AO1992:AP1992"/>
    <mergeCell ref="AQ1992:AR1992"/>
    <mergeCell ref="C1993:D1993"/>
    <mergeCell ref="E1993:F1993"/>
    <mergeCell ref="AO1993:AP1993"/>
    <mergeCell ref="AQ1993:AR1993"/>
    <mergeCell ref="C1994:D1994"/>
    <mergeCell ref="E1994:F1994"/>
    <mergeCell ref="AO1994:AP1994"/>
    <mergeCell ref="AQ1994:AR1994"/>
    <mergeCell ref="C1995:D1995"/>
    <mergeCell ref="E1995:F1995"/>
    <mergeCell ref="AO1995:AP1995"/>
    <mergeCell ref="AQ1995:AR1995"/>
    <mergeCell ref="C1996:D1996"/>
    <mergeCell ref="E1996:F1996"/>
    <mergeCell ref="AO1996:AP1996"/>
    <mergeCell ref="AQ1996:AR1996"/>
    <mergeCell ref="C1997:D1997"/>
    <mergeCell ref="E1997:F1997"/>
    <mergeCell ref="AO1997:AP1997"/>
    <mergeCell ref="AQ1997:AR1997"/>
    <mergeCell ref="C1998:D1998"/>
    <mergeCell ref="E1998:F1998"/>
    <mergeCell ref="AO1998:AP1998"/>
    <mergeCell ref="AQ1998:AR1998"/>
    <mergeCell ref="C2008:D2008"/>
    <mergeCell ref="E2008:F2008"/>
    <mergeCell ref="AO2008:AP2008"/>
    <mergeCell ref="AQ2008:AR2008"/>
    <mergeCell ref="C1999:D1999"/>
    <mergeCell ref="E1999:F1999"/>
    <mergeCell ref="AO1999:AP1999"/>
    <mergeCell ref="AQ1999:AR1999"/>
    <mergeCell ref="C2000:D2000"/>
    <mergeCell ref="E2000:F2000"/>
    <mergeCell ref="AO2000:AP2000"/>
    <mergeCell ref="AQ2000:AR2000"/>
    <mergeCell ref="C2001:D2001"/>
    <mergeCell ref="E2001:F2001"/>
    <mergeCell ref="AO2001:AP2001"/>
    <mergeCell ref="AQ2001:AR2001"/>
    <mergeCell ref="C2002:D2002"/>
    <mergeCell ref="E2002:F2002"/>
    <mergeCell ref="AO2002:AP2002"/>
    <mergeCell ref="AQ2002:AR2002"/>
    <mergeCell ref="C2003:D2003"/>
    <mergeCell ref="E2003:F2003"/>
    <mergeCell ref="AO2003:AP2003"/>
    <mergeCell ref="AQ2003:AR2003"/>
    <mergeCell ref="C2009:D2009"/>
    <mergeCell ref="E2009:F2009"/>
    <mergeCell ref="AO2009:AP2009"/>
    <mergeCell ref="AQ2009:AR2009"/>
    <mergeCell ref="C2010:D2010"/>
    <mergeCell ref="E2010:F2010"/>
    <mergeCell ref="AO2010:AP2010"/>
    <mergeCell ref="AQ2010:AR2010"/>
    <mergeCell ref="C2011:D2011"/>
    <mergeCell ref="E2011:F2011"/>
    <mergeCell ref="AO2011:AP2011"/>
    <mergeCell ref="AQ2011:AR2011"/>
    <mergeCell ref="C2012:D2012"/>
    <mergeCell ref="E2012:F2012"/>
    <mergeCell ref="AO2012:AP2012"/>
    <mergeCell ref="AQ2012:AR2012"/>
    <mergeCell ref="C2004:D2004"/>
    <mergeCell ref="E2004:F2004"/>
    <mergeCell ref="AO2004:AP2004"/>
    <mergeCell ref="AQ2004:AR2004"/>
    <mergeCell ref="C2005:D2005"/>
    <mergeCell ref="E2005:F2005"/>
    <mergeCell ref="AO2005:AP2005"/>
    <mergeCell ref="AQ2005:AR2005"/>
    <mergeCell ref="C2006:D2006"/>
    <mergeCell ref="E2006:F2006"/>
    <mergeCell ref="AO2006:AP2006"/>
    <mergeCell ref="AQ2006:AR2006"/>
    <mergeCell ref="C2007:D2007"/>
    <mergeCell ref="E2007:F2007"/>
    <mergeCell ref="AO2007:AP2007"/>
    <mergeCell ref="AQ2007:AR2007"/>
  </mergeCells>
  <conditionalFormatting sqref="G11:AK2012">
    <cfRule type="expression" dxfId="2" priority="3">
      <formula>G$12="Sun"</formula>
    </cfRule>
  </conditionalFormatting>
  <conditionalFormatting sqref="G13:AK2012">
    <cfRule type="containsText" dxfId="1" priority="1" operator="containsText" text="AB">
      <formula>NOT(ISERROR(SEARCH("AB",G13)))</formula>
    </cfRule>
    <cfRule type="containsText" dxfId="0" priority="2" operator="containsText" text="P">
      <formula>NOT(ISERROR(SEARCH("P",G13)))</formula>
    </cfRule>
  </conditionalFormatting>
  <dataValidations count="1">
    <dataValidation type="custom" allowBlank="1" showInputMessage="1" showErrorMessage="1" errorTitle="Invalid" error="Sunday Is weekoff" sqref="G13:AK2012" xr:uid="{9AF44053-F6D7-43CD-9E3C-D1403F6F6BF6}">
      <formula1>G$12&lt;&gt;"Sun"</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1C5D5E45-1FB0-4FF0-9A71-8F83222E524D}">
          <x14:formula1>
            <xm:f>Sheet2!$A$1:$A$12</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77C5-E56F-432B-A5AE-34ECC06251BA}">
  <sheetPr codeName="Sheet5"/>
  <dimension ref="C5:Q8"/>
  <sheetViews>
    <sheetView showGridLines="0" tabSelected="1" topLeftCell="A4" zoomScale="87" workbookViewId="0">
      <selection activeCell="A8" sqref="A8"/>
    </sheetView>
  </sheetViews>
  <sheetFormatPr defaultRowHeight="15" x14ac:dyDescent="0.25"/>
  <cols>
    <col min="1" max="4" width="9.140625" style="13"/>
    <col min="5" max="5" width="11.5703125" style="13" customWidth="1"/>
    <col min="6" max="16384" width="9.140625" style="13"/>
  </cols>
  <sheetData>
    <row r="5" spans="3:17" ht="15" customHeight="1" x14ac:dyDescent="0.25">
      <c r="C5" s="27" t="s">
        <v>61</v>
      </c>
      <c r="D5" s="25"/>
      <c r="E5" s="25"/>
      <c r="G5" s="24" t="s">
        <v>62</v>
      </c>
      <c r="H5" s="29"/>
      <c r="I5" s="29"/>
      <c r="J5" s="14"/>
      <c r="K5" s="24" t="s">
        <v>63</v>
      </c>
      <c r="L5" s="30"/>
      <c r="M5" s="30"/>
      <c r="O5" s="24" t="s">
        <v>64</v>
      </c>
      <c r="P5" s="25"/>
      <c r="Q5" s="25"/>
    </row>
    <row r="6" spans="3:17" x14ac:dyDescent="0.25">
      <c r="C6" s="25"/>
      <c r="D6" s="25"/>
      <c r="E6" s="25"/>
      <c r="G6" s="29"/>
      <c r="H6" s="29"/>
      <c r="I6" s="29"/>
      <c r="J6" s="14"/>
      <c r="K6" s="30"/>
      <c r="L6" s="30"/>
      <c r="M6" s="30"/>
      <c r="O6" s="25"/>
      <c r="P6" s="25"/>
      <c r="Q6" s="25"/>
    </row>
    <row r="7" spans="3:17" x14ac:dyDescent="0.25">
      <c r="C7" s="25"/>
      <c r="D7" s="25"/>
      <c r="E7" s="25"/>
      <c r="G7" s="29"/>
      <c r="H7" s="29"/>
      <c r="I7" s="29"/>
      <c r="J7" s="14"/>
      <c r="K7" s="30"/>
      <c r="L7" s="30"/>
      <c r="M7" s="30"/>
      <c r="O7" s="25"/>
      <c r="P7" s="25"/>
      <c r="Q7" s="25"/>
    </row>
    <row r="8" spans="3:17" ht="31.5" x14ac:dyDescent="0.5">
      <c r="C8" s="28">
        <f>GETPIVOTDATA("Count of Status",'PIVOT TABLES'!$A$5)</f>
        <v>1081</v>
      </c>
      <c r="D8" s="28"/>
      <c r="E8" s="28"/>
      <c r="G8" s="28">
        <f>GETPIVOTDATA("Count of Status",'PIVOT TABLES'!$A$5,"Status","P")</f>
        <v>1061</v>
      </c>
      <c r="H8" s="28"/>
      <c r="I8" s="28"/>
      <c r="K8" s="31">
        <f>GETPIVOTDATA("Count of Status",'PIVOT TABLES'!$A$5,"Status","AB")</f>
        <v>20</v>
      </c>
      <c r="L8" s="31"/>
      <c r="M8" s="31"/>
      <c r="O8" s="26">
        <f>G8/C8</f>
        <v>0.98149861239592973</v>
      </c>
      <c r="P8" s="26"/>
      <c r="Q8" s="26"/>
    </row>
  </sheetData>
  <sheetProtection algorithmName="SHA-512" hashValue="bNqFBvFhw+7gNubsV0TKdAJsN32x44xyncBLcKBwAk/juHP0v8T3BxHh6u12h4EDFu+xYGCvbQwddE93LrYS4g==" saltValue="THuRXBfIOHxHMK9HVYjyKQ==" spinCount="100000" sheet="1" scenarios="1" selectLockedCells="1" pivotTables="0"/>
  <mergeCells count="8">
    <mergeCell ref="O5:Q7"/>
    <mergeCell ref="O8:Q8"/>
    <mergeCell ref="C5:E7"/>
    <mergeCell ref="C8:E8"/>
    <mergeCell ref="G5:I7"/>
    <mergeCell ref="G8:I8"/>
    <mergeCell ref="K5:M7"/>
    <mergeCell ref="K8:M8"/>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55980-CF59-41A3-A28C-3B301C6C24E6}">
  <sheetPr codeName="Sheet3"/>
  <dimension ref="A2:H46"/>
  <sheetViews>
    <sheetView topLeftCell="A2" zoomScale="108" zoomScaleNormal="108" workbookViewId="0">
      <selection activeCell="D9" sqref="D9"/>
    </sheetView>
  </sheetViews>
  <sheetFormatPr defaultRowHeight="15" x14ac:dyDescent="0.25"/>
  <cols>
    <col min="1" max="1" width="15.140625" bestFit="1" customWidth="1"/>
    <col min="2" max="2" width="16.28515625" bestFit="1" customWidth="1"/>
    <col min="3" max="3" width="5.140625" bestFit="1" customWidth="1"/>
    <col min="4" max="4" width="11.7109375" bestFit="1" customWidth="1"/>
    <col min="5" max="6" width="6.5703125" bestFit="1" customWidth="1"/>
    <col min="7" max="7" width="13.140625" bestFit="1" customWidth="1"/>
    <col min="8" max="9" width="15.140625" bestFit="1" customWidth="1"/>
    <col min="10" max="10" width="11.7109375" bestFit="1" customWidth="1"/>
    <col min="11" max="28" width="6.5703125" bestFit="1" customWidth="1"/>
    <col min="29" max="34" width="7" bestFit="1" customWidth="1"/>
    <col min="35" max="40" width="7.5703125" bestFit="1" customWidth="1"/>
    <col min="41" max="41" width="11.28515625" bestFit="1" customWidth="1"/>
  </cols>
  <sheetData>
    <row r="2" spans="1:8" x14ac:dyDescent="0.25">
      <c r="A2" s="10" t="s">
        <v>52</v>
      </c>
      <c r="B2" s="11" t="s">
        <v>56</v>
      </c>
    </row>
    <row r="3" spans="1:8" x14ac:dyDescent="0.25">
      <c r="A3" s="10" t="s">
        <v>54</v>
      </c>
      <c r="B3" s="11" t="s">
        <v>56</v>
      </c>
    </row>
    <row r="5" spans="1:8" x14ac:dyDescent="0.25">
      <c r="A5" s="10" t="s">
        <v>57</v>
      </c>
      <c r="B5" s="10" t="s">
        <v>60</v>
      </c>
      <c r="C5" s="11"/>
      <c r="D5" s="11"/>
      <c r="G5" s="10" t="s">
        <v>52</v>
      </c>
      <c r="H5" s="11" t="s">
        <v>56</v>
      </c>
    </row>
    <row r="6" spans="1:8" x14ac:dyDescent="0.25">
      <c r="A6" s="10" t="s">
        <v>58</v>
      </c>
      <c r="B6" s="11" t="s">
        <v>51</v>
      </c>
      <c r="C6" s="11" t="s">
        <v>65</v>
      </c>
      <c r="D6" s="11" t="s">
        <v>59</v>
      </c>
      <c r="G6" s="10" t="s">
        <v>54</v>
      </c>
      <c r="H6" s="11" t="s">
        <v>56</v>
      </c>
    </row>
    <row r="7" spans="1:8" x14ac:dyDescent="0.25">
      <c r="A7" s="12">
        <v>1001</v>
      </c>
      <c r="B7" s="32">
        <v>1</v>
      </c>
      <c r="C7" s="32">
        <v>61</v>
      </c>
      <c r="D7" s="32">
        <v>62</v>
      </c>
    </row>
    <row r="8" spans="1:8" x14ac:dyDescent="0.25">
      <c r="A8" s="12">
        <v>1002</v>
      </c>
      <c r="B8" s="32"/>
      <c r="C8" s="32">
        <v>27</v>
      </c>
      <c r="D8" s="32">
        <v>27</v>
      </c>
      <c r="G8" s="10" t="s">
        <v>58</v>
      </c>
      <c r="H8" s="11" t="s">
        <v>57</v>
      </c>
    </row>
    <row r="9" spans="1:8" x14ac:dyDescent="0.25">
      <c r="A9" s="12">
        <v>1003</v>
      </c>
      <c r="B9" s="32"/>
      <c r="C9" s="32">
        <v>27</v>
      </c>
      <c r="D9" s="32">
        <v>27</v>
      </c>
      <c r="G9" s="12" t="s">
        <v>51</v>
      </c>
      <c r="H9" s="32">
        <v>20</v>
      </c>
    </row>
    <row r="10" spans="1:8" x14ac:dyDescent="0.25">
      <c r="A10" s="12">
        <v>1004</v>
      </c>
      <c r="B10" s="32">
        <v>1</v>
      </c>
      <c r="C10" s="32">
        <v>26</v>
      </c>
      <c r="D10" s="32">
        <v>27</v>
      </c>
      <c r="G10" s="12" t="s">
        <v>65</v>
      </c>
      <c r="H10" s="32">
        <v>1061</v>
      </c>
    </row>
    <row r="11" spans="1:8" x14ac:dyDescent="0.25">
      <c r="A11" s="12">
        <v>1005</v>
      </c>
      <c r="B11" s="32">
        <v>2</v>
      </c>
      <c r="C11" s="32">
        <v>25</v>
      </c>
      <c r="D11" s="32">
        <v>27</v>
      </c>
      <c r="G11" s="12" t="s">
        <v>59</v>
      </c>
      <c r="H11" s="32">
        <v>1081</v>
      </c>
    </row>
    <row r="12" spans="1:8" x14ac:dyDescent="0.25">
      <c r="A12" s="12">
        <v>1006</v>
      </c>
      <c r="B12" s="32"/>
      <c r="C12" s="32">
        <v>27</v>
      </c>
      <c r="D12" s="32">
        <v>27</v>
      </c>
    </row>
    <row r="13" spans="1:8" x14ac:dyDescent="0.25">
      <c r="A13" s="12">
        <v>1007</v>
      </c>
      <c r="B13" s="32">
        <v>2</v>
      </c>
      <c r="C13" s="32">
        <v>25</v>
      </c>
      <c r="D13" s="32">
        <v>27</v>
      </c>
    </row>
    <row r="14" spans="1:8" x14ac:dyDescent="0.25">
      <c r="A14" s="12">
        <v>1008</v>
      </c>
      <c r="B14" s="32"/>
      <c r="C14" s="32">
        <v>27</v>
      </c>
      <c r="D14" s="32">
        <v>27</v>
      </c>
    </row>
    <row r="15" spans="1:8" x14ac:dyDescent="0.25">
      <c r="A15" s="12">
        <v>1009</v>
      </c>
      <c r="B15" s="32">
        <v>1</v>
      </c>
      <c r="C15" s="32">
        <v>26</v>
      </c>
      <c r="D15" s="32">
        <v>27</v>
      </c>
    </row>
    <row r="16" spans="1:8" x14ac:dyDescent="0.25">
      <c r="A16" s="12">
        <v>1010</v>
      </c>
      <c r="B16" s="32"/>
      <c r="C16" s="32">
        <v>27</v>
      </c>
      <c r="D16" s="32">
        <v>27</v>
      </c>
    </row>
    <row r="17" spans="1:4" x14ac:dyDescent="0.25">
      <c r="A17" s="12">
        <v>1011</v>
      </c>
      <c r="B17" s="32">
        <v>1</v>
      </c>
      <c r="C17" s="32">
        <v>26</v>
      </c>
      <c r="D17" s="32">
        <v>27</v>
      </c>
    </row>
    <row r="18" spans="1:4" x14ac:dyDescent="0.25">
      <c r="A18" s="12">
        <v>1012</v>
      </c>
      <c r="B18" s="32"/>
      <c r="C18" s="32">
        <v>27</v>
      </c>
      <c r="D18" s="32">
        <v>27</v>
      </c>
    </row>
    <row r="19" spans="1:4" x14ac:dyDescent="0.25">
      <c r="A19" s="12">
        <v>1013</v>
      </c>
      <c r="B19" s="32"/>
      <c r="C19" s="32">
        <v>27</v>
      </c>
      <c r="D19" s="32">
        <v>27</v>
      </c>
    </row>
    <row r="20" spans="1:4" x14ac:dyDescent="0.25">
      <c r="A20" s="12">
        <v>1014</v>
      </c>
      <c r="B20" s="32">
        <v>1</v>
      </c>
      <c r="C20" s="32">
        <v>26</v>
      </c>
      <c r="D20" s="32">
        <v>27</v>
      </c>
    </row>
    <row r="21" spans="1:4" x14ac:dyDescent="0.25">
      <c r="A21" s="12">
        <v>1015</v>
      </c>
      <c r="B21" s="32">
        <v>2</v>
      </c>
      <c r="C21" s="32">
        <v>25</v>
      </c>
      <c r="D21" s="32">
        <v>27</v>
      </c>
    </row>
    <row r="22" spans="1:4" x14ac:dyDescent="0.25">
      <c r="A22" s="12">
        <v>1016</v>
      </c>
      <c r="B22" s="32"/>
      <c r="C22" s="32">
        <v>27</v>
      </c>
      <c r="D22" s="32">
        <v>27</v>
      </c>
    </row>
    <row r="23" spans="1:4" x14ac:dyDescent="0.25">
      <c r="A23" s="12">
        <v>1017</v>
      </c>
      <c r="B23" s="32"/>
      <c r="C23" s="32">
        <v>27</v>
      </c>
      <c r="D23" s="32">
        <v>27</v>
      </c>
    </row>
    <row r="24" spans="1:4" x14ac:dyDescent="0.25">
      <c r="A24" s="12">
        <v>1018</v>
      </c>
      <c r="B24" s="32">
        <v>1</v>
      </c>
      <c r="C24" s="32">
        <v>26</v>
      </c>
      <c r="D24" s="32">
        <v>27</v>
      </c>
    </row>
    <row r="25" spans="1:4" x14ac:dyDescent="0.25">
      <c r="A25" s="12">
        <v>1019</v>
      </c>
      <c r="B25" s="32"/>
      <c r="C25" s="32">
        <v>27</v>
      </c>
      <c r="D25" s="32">
        <v>27</v>
      </c>
    </row>
    <row r="26" spans="1:4" x14ac:dyDescent="0.25">
      <c r="A26" s="12">
        <v>1020</v>
      </c>
      <c r="B26" s="32">
        <v>1</v>
      </c>
      <c r="C26" s="32">
        <v>26</v>
      </c>
      <c r="D26" s="32">
        <v>27</v>
      </c>
    </row>
    <row r="27" spans="1:4" x14ac:dyDescent="0.25">
      <c r="A27" s="12">
        <v>1021</v>
      </c>
      <c r="B27" s="32"/>
      <c r="C27" s="32">
        <v>27</v>
      </c>
      <c r="D27" s="32">
        <v>27</v>
      </c>
    </row>
    <row r="28" spans="1:4" x14ac:dyDescent="0.25">
      <c r="A28" s="12">
        <v>1022</v>
      </c>
      <c r="B28" s="32"/>
      <c r="C28" s="32">
        <v>27</v>
      </c>
      <c r="D28" s="32">
        <v>27</v>
      </c>
    </row>
    <row r="29" spans="1:4" x14ac:dyDescent="0.25">
      <c r="A29" s="12">
        <v>1023</v>
      </c>
      <c r="B29" s="32"/>
      <c r="C29" s="32">
        <v>27</v>
      </c>
      <c r="D29" s="32">
        <v>27</v>
      </c>
    </row>
    <row r="30" spans="1:4" x14ac:dyDescent="0.25">
      <c r="A30" s="12">
        <v>1024</v>
      </c>
      <c r="B30" s="32"/>
      <c r="C30" s="32">
        <v>27</v>
      </c>
      <c r="D30" s="32">
        <v>27</v>
      </c>
    </row>
    <row r="31" spans="1:4" x14ac:dyDescent="0.25">
      <c r="A31" s="12">
        <v>1025</v>
      </c>
      <c r="B31" s="32"/>
      <c r="C31" s="32">
        <v>27</v>
      </c>
      <c r="D31" s="32">
        <v>27</v>
      </c>
    </row>
    <row r="32" spans="1:4" x14ac:dyDescent="0.25">
      <c r="A32" s="12">
        <v>1026</v>
      </c>
      <c r="B32" s="32">
        <v>1</v>
      </c>
      <c r="C32" s="32">
        <v>26</v>
      </c>
      <c r="D32" s="32">
        <v>27</v>
      </c>
    </row>
    <row r="33" spans="1:4" x14ac:dyDescent="0.25">
      <c r="A33" s="12">
        <v>1027</v>
      </c>
      <c r="B33" s="32">
        <v>1</v>
      </c>
      <c r="C33" s="32">
        <v>26</v>
      </c>
      <c r="D33" s="32">
        <v>27</v>
      </c>
    </row>
    <row r="34" spans="1:4" x14ac:dyDescent="0.25">
      <c r="A34" s="12">
        <v>1028</v>
      </c>
      <c r="B34" s="32"/>
      <c r="C34" s="32">
        <v>27</v>
      </c>
      <c r="D34" s="32">
        <v>27</v>
      </c>
    </row>
    <row r="35" spans="1:4" x14ac:dyDescent="0.25">
      <c r="A35" s="12">
        <v>1029</v>
      </c>
      <c r="B35" s="32"/>
      <c r="C35" s="32">
        <v>27</v>
      </c>
      <c r="D35" s="32">
        <v>27</v>
      </c>
    </row>
    <row r="36" spans="1:4" x14ac:dyDescent="0.25">
      <c r="A36" s="12">
        <v>1030</v>
      </c>
      <c r="B36" s="32"/>
      <c r="C36" s="32">
        <v>27</v>
      </c>
      <c r="D36" s="32">
        <v>27</v>
      </c>
    </row>
    <row r="37" spans="1:4" x14ac:dyDescent="0.25">
      <c r="A37" s="12">
        <v>1031</v>
      </c>
      <c r="B37" s="32">
        <v>1</v>
      </c>
      <c r="C37" s="32">
        <v>26</v>
      </c>
      <c r="D37" s="32">
        <v>27</v>
      </c>
    </row>
    <row r="38" spans="1:4" x14ac:dyDescent="0.25">
      <c r="A38" s="12">
        <v>1032</v>
      </c>
      <c r="B38" s="32">
        <v>1</v>
      </c>
      <c r="C38" s="32">
        <v>26</v>
      </c>
      <c r="D38" s="32">
        <v>27</v>
      </c>
    </row>
    <row r="39" spans="1:4" x14ac:dyDescent="0.25">
      <c r="A39" s="12">
        <v>1033</v>
      </c>
      <c r="B39" s="32"/>
      <c r="C39" s="32">
        <v>27</v>
      </c>
      <c r="D39" s="32">
        <v>27</v>
      </c>
    </row>
    <row r="40" spans="1:4" x14ac:dyDescent="0.25">
      <c r="A40" s="12">
        <v>1034</v>
      </c>
      <c r="B40" s="32">
        <v>1</v>
      </c>
      <c r="C40" s="32">
        <v>26</v>
      </c>
      <c r="D40" s="32">
        <v>27</v>
      </c>
    </row>
    <row r="41" spans="1:4" x14ac:dyDescent="0.25">
      <c r="A41" s="12">
        <v>1035</v>
      </c>
      <c r="B41" s="32">
        <v>1</v>
      </c>
      <c r="C41" s="32">
        <v>26</v>
      </c>
      <c r="D41" s="32">
        <v>27</v>
      </c>
    </row>
    <row r="42" spans="1:4" x14ac:dyDescent="0.25">
      <c r="A42" s="12">
        <v>1036</v>
      </c>
      <c r="B42" s="32">
        <v>1</v>
      </c>
      <c r="C42" s="32">
        <v>26</v>
      </c>
      <c r="D42" s="32">
        <v>27</v>
      </c>
    </row>
    <row r="43" spans="1:4" x14ac:dyDescent="0.25">
      <c r="A43" s="12">
        <v>1037</v>
      </c>
      <c r="B43" s="32"/>
      <c r="C43" s="32">
        <v>27</v>
      </c>
      <c r="D43" s="32">
        <v>27</v>
      </c>
    </row>
    <row r="44" spans="1:4" x14ac:dyDescent="0.25">
      <c r="A44" s="12">
        <v>1038</v>
      </c>
      <c r="B44" s="32"/>
      <c r="C44" s="32">
        <v>27</v>
      </c>
      <c r="D44" s="32">
        <v>27</v>
      </c>
    </row>
    <row r="45" spans="1:4" x14ac:dyDescent="0.25">
      <c r="A45" s="12">
        <v>1039</v>
      </c>
      <c r="B45" s="32"/>
      <c r="C45" s="32">
        <v>20</v>
      </c>
      <c r="D45" s="32">
        <v>20</v>
      </c>
    </row>
    <row r="46" spans="1:4" x14ac:dyDescent="0.25">
      <c r="A46" s="12" t="s">
        <v>59</v>
      </c>
      <c r="B46" s="32">
        <v>20</v>
      </c>
      <c r="C46" s="32">
        <v>1061</v>
      </c>
      <c r="D46" s="32">
        <v>1081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742B4-22E9-4482-B3EE-DCC63542C6F1}">
  <sheetPr codeName="Sheet4"/>
  <dimension ref="A1:F1082"/>
  <sheetViews>
    <sheetView zoomScale="150" workbookViewId="0">
      <selection activeCell="C10" sqref="C10"/>
    </sheetView>
  </sheetViews>
  <sheetFormatPr defaultRowHeight="15" x14ac:dyDescent="0.25"/>
  <cols>
    <col min="2" max="2" width="14" customWidth="1"/>
    <col min="3" max="3" width="10.7109375" bestFit="1" customWidth="1"/>
  </cols>
  <sheetData>
    <row r="1" spans="1:6" x14ac:dyDescent="0.25">
      <c r="A1" t="s">
        <v>52</v>
      </c>
      <c r="B1" t="s">
        <v>53</v>
      </c>
      <c r="C1" t="s">
        <v>54</v>
      </c>
      <c r="D1" t="s">
        <v>55</v>
      </c>
      <c r="F1" t="s">
        <v>0</v>
      </c>
    </row>
    <row r="2" spans="1:6" x14ac:dyDescent="0.25">
      <c r="A2" t="s">
        <v>5</v>
      </c>
      <c r="B2">
        <v>1001</v>
      </c>
      <c r="C2" s="7">
        <v>46174</v>
      </c>
      <c r="D2" t="s">
        <v>65</v>
      </c>
    </row>
    <row r="3" spans="1:6" x14ac:dyDescent="0.25">
      <c r="A3" t="s">
        <v>5</v>
      </c>
      <c r="B3">
        <v>1001</v>
      </c>
      <c r="C3" s="7">
        <v>46176</v>
      </c>
      <c r="D3" t="s">
        <v>65</v>
      </c>
    </row>
    <row r="4" spans="1:6" x14ac:dyDescent="0.25">
      <c r="A4" t="s">
        <v>5</v>
      </c>
      <c r="B4">
        <v>1001</v>
      </c>
      <c r="C4" s="7">
        <v>46177</v>
      </c>
      <c r="D4" t="s">
        <v>65</v>
      </c>
    </row>
    <row r="5" spans="1:6" x14ac:dyDescent="0.25">
      <c r="A5" t="s">
        <v>5</v>
      </c>
      <c r="B5">
        <v>1001</v>
      </c>
      <c r="C5" s="7">
        <v>46178</v>
      </c>
      <c r="D5" t="s">
        <v>65</v>
      </c>
    </row>
    <row r="6" spans="1:6" x14ac:dyDescent="0.25">
      <c r="A6" t="s">
        <v>5</v>
      </c>
      <c r="B6">
        <v>1001</v>
      </c>
      <c r="C6" s="7">
        <v>46179</v>
      </c>
      <c r="D6" t="s">
        <v>65</v>
      </c>
    </row>
    <row r="7" spans="1:6" x14ac:dyDescent="0.25">
      <c r="A7" t="s">
        <v>5</v>
      </c>
      <c r="B7">
        <v>1039</v>
      </c>
      <c r="C7" s="7">
        <v>46174</v>
      </c>
      <c r="D7" t="s">
        <v>50</v>
      </c>
    </row>
    <row r="8" spans="1:6" x14ac:dyDescent="0.25">
      <c r="A8" t="s">
        <v>5</v>
      </c>
      <c r="B8">
        <v>1039</v>
      </c>
      <c r="C8" s="7">
        <v>46175</v>
      </c>
      <c r="D8" t="s">
        <v>50</v>
      </c>
    </row>
    <row r="9" spans="1:6" x14ac:dyDescent="0.25">
      <c r="A9" t="s">
        <v>5</v>
      </c>
      <c r="B9">
        <v>1039</v>
      </c>
      <c r="C9" s="7">
        <v>46176</v>
      </c>
      <c r="D9" t="s">
        <v>50</v>
      </c>
    </row>
    <row r="10" spans="1:6" x14ac:dyDescent="0.25">
      <c r="A10" t="s">
        <v>5</v>
      </c>
      <c r="B10">
        <v>1039</v>
      </c>
      <c r="C10" s="7">
        <v>46177</v>
      </c>
      <c r="D10" t="s">
        <v>50</v>
      </c>
    </row>
    <row r="11" spans="1:6" x14ac:dyDescent="0.25">
      <c r="A11" t="s">
        <v>5</v>
      </c>
      <c r="B11">
        <v>1039</v>
      </c>
      <c r="C11" s="7">
        <v>46178</v>
      </c>
      <c r="D11" t="s">
        <v>50</v>
      </c>
    </row>
    <row r="12" spans="1:6" x14ac:dyDescent="0.25">
      <c r="A12" t="s">
        <v>5</v>
      </c>
      <c r="B12">
        <v>1039</v>
      </c>
      <c r="C12" s="7">
        <v>46179</v>
      </c>
      <c r="D12" t="s">
        <v>50</v>
      </c>
    </row>
    <row r="13" spans="1:6" x14ac:dyDescent="0.25">
      <c r="A13" t="s">
        <v>3</v>
      </c>
      <c r="B13">
        <v>1001</v>
      </c>
      <c r="C13" s="7">
        <v>46113</v>
      </c>
      <c r="D13" t="s">
        <v>50</v>
      </c>
    </row>
    <row r="14" spans="1:6" x14ac:dyDescent="0.25">
      <c r="A14" t="s">
        <v>3</v>
      </c>
      <c r="B14">
        <v>1001</v>
      </c>
      <c r="C14" s="7">
        <v>46114</v>
      </c>
      <c r="D14" t="s">
        <v>50</v>
      </c>
    </row>
    <row r="15" spans="1:6" x14ac:dyDescent="0.25">
      <c r="A15" t="s">
        <v>3</v>
      </c>
      <c r="B15">
        <v>1001</v>
      </c>
      <c r="C15" s="7">
        <v>46115</v>
      </c>
      <c r="D15" t="s">
        <v>50</v>
      </c>
    </row>
    <row r="16" spans="1:6" x14ac:dyDescent="0.25">
      <c r="A16" t="s">
        <v>3</v>
      </c>
      <c r="B16">
        <v>1001</v>
      </c>
      <c r="C16" s="7">
        <v>46116</v>
      </c>
      <c r="D16" t="s">
        <v>50</v>
      </c>
    </row>
    <row r="17" spans="1:4" x14ac:dyDescent="0.25">
      <c r="A17" t="s">
        <v>4</v>
      </c>
      <c r="B17">
        <v>1001</v>
      </c>
      <c r="C17" s="7">
        <v>46143</v>
      </c>
      <c r="D17" t="s">
        <v>50</v>
      </c>
    </row>
    <row r="18" spans="1:4" x14ac:dyDescent="0.25">
      <c r="A18" t="s">
        <v>4</v>
      </c>
      <c r="B18">
        <v>1001</v>
      </c>
      <c r="C18" s="7">
        <v>46144</v>
      </c>
      <c r="D18" t="s">
        <v>50</v>
      </c>
    </row>
    <row r="19" spans="1:4" x14ac:dyDescent="0.25">
      <c r="A19" t="s">
        <v>4</v>
      </c>
      <c r="B19">
        <v>1001</v>
      </c>
      <c r="C19" s="7">
        <v>46146</v>
      </c>
      <c r="D19" t="s">
        <v>65</v>
      </c>
    </row>
    <row r="20" spans="1:4" x14ac:dyDescent="0.25">
      <c r="A20" t="s">
        <v>4</v>
      </c>
      <c r="B20">
        <v>1001</v>
      </c>
      <c r="C20" s="7">
        <v>46147</v>
      </c>
      <c r="D20" t="s">
        <v>65</v>
      </c>
    </row>
    <row r="21" spans="1:4" x14ac:dyDescent="0.25">
      <c r="A21" t="s">
        <v>4</v>
      </c>
      <c r="B21">
        <v>1001</v>
      </c>
      <c r="C21" s="7">
        <v>46148</v>
      </c>
      <c r="D21" t="s">
        <v>65</v>
      </c>
    </row>
    <row r="22" spans="1:4" x14ac:dyDescent="0.25">
      <c r="A22" t="s">
        <v>4</v>
      </c>
      <c r="B22">
        <v>1001</v>
      </c>
      <c r="C22" s="7">
        <v>46149</v>
      </c>
      <c r="D22" t="s">
        <v>65</v>
      </c>
    </row>
    <row r="23" spans="1:4" x14ac:dyDescent="0.25">
      <c r="A23" t="s">
        <v>4</v>
      </c>
      <c r="B23">
        <v>1001</v>
      </c>
      <c r="C23" s="7">
        <v>46150</v>
      </c>
      <c r="D23" t="s">
        <v>65</v>
      </c>
    </row>
    <row r="24" spans="1:4" x14ac:dyDescent="0.25">
      <c r="A24" t="s">
        <v>4</v>
      </c>
      <c r="B24">
        <v>1001</v>
      </c>
      <c r="C24" s="7">
        <v>46151</v>
      </c>
      <c r="D24" t="s">
        <v>65</v>
      </c>
    </row>
    <row r="25" spans="1:4" x14ac:dyDescent="0.25">
      <c r="A25" t="s">
        <v>6</v>
      </c>
      <c r="B25">
        <v>1001</v>
      </c>
      <c r="C25" s="7">
        <v>46204</v>
      </c>
      <c r="D25" t="s">
        <v>50</v>
      </c>
    </row>
    <row r="26" spans="1:4" x14ac:dyDescent="0.25">
      <c r="A26" t="s">
        <v>6</v>
      </c>
      <c r="B26">
        <v>1001</v>
      </c>
      <c r="C26" s="7">
        <v>46205</v>
      </c>
      <c r="D26" t="s">
        <v>50</v>
      </c>
    </row>
    <row r="27" spans="1:4" x14ac:dyDescent="0.25">
      <c r="A27" t="s">
        <v>6</v>
      </c>
      <c r="B27">
        <v>1001</v>
      </c>
      <c r="C27" s="7">
        <v>46206</v>
      </c>
      <c r="D27" t="s">
        <v>50</v>
      </c>
    </row>
    <row r="28" spans="1:4" x14ac:dyDescent="0.25">
      <c r="A28" t="s">
        <v>6</v>
      </c>
      <c r="B28">
        <v>1001</v>
      </c>
      <c r="C28" s="7">
        <v>46207</v>
      </c>
      <c r="D28" t="s">
        <v>50</v>
      </c>
    </row>
    <row r="29" spans="1:4" x14ac:dyDescent="0.25">
      <c r="A29" t="s">
        <v>10</v>
      </c>
      <c r="B29">
        <v>1001</v>
      </c>
      <c r="C29" s="7">
        <v>46328</v>
      </c>
      <c r="D29" t="s">
        <v>50</v>
      </c>
    </row>
    <row r="30" spans="1:4" x14ac:dyDescent="0.25">
      <c r="A30" t="s">
        <v>1</v>
      </c>
      <c r="B30">
        <v>1001</v>
      </c>
      <c r="C30" s="7">
        <v>46055</v>
      </c>
      <c r="D30" t="s">
        <v>50</v>
      </c>
    </row>
    <row r="31" spans="1:4" x14ac:dyDescent="0.25">
      <c r="A31" t="s">
        <v>1</v>
      </c>
      <c r="B31">
        <v>1001</v>
      </c>
      <c r="C31" s="7">
        <v>46056</v>
      </c>
      <c r="D31" t="s">
        <v>50</v>
      </c>
    </row>
    <row r="32" spans="1:4" x14ac:dyDescent="0.25">
      <c r="A32" t="s">
        <v>1</v>
      </c>
      <c r="B32">
        <v>1001</v>
      </c>
      <c r="C32" s="7">
        <v>46057</v>
      </c>
      <c r="D32" t="s">
        <v>50</v>
      </c>
    </row>
    <row r="33" spans="1:4" x14ac:dyDescent="0.25">
      <c r="A33" t="s">
        <v>1</v>
      </c>
      <c r="B33">
        <v>1001</v>
      </c>
      <c r="C33" s="7">
        <v>46058</v>
      </c>
      <c r="D33" t="s">
        <v>50</v>
      </c>
    </row>
    <row r="34" spans="1:4" x14ac:dyDescent="0.25">
      <c r="A34" t="s">
        <v>1</v>
      </c>
      <c r="B34">
        <v>1001</v>
      </c>
      <c r="C34" s="7">
        <v>46059</v>
      </c>
      <c r="D34" t="s">
        <v>50</v>
      </c>
    </row>
    <row r="35" spans="1:4" x14ac:dyDescent="0.25">
      <c r="A35" t="s">
        <v>1</v>
      </c>
      <c r="B35">
        <v>1001</v>
      </c>
      <c r="C35" s="7">
        <v>46060</v>
      </c>
      <c r="D35" t="s">
        <v>50</v>
      </c>
    </row>
    <row r="36" spans="1:4" x14ac:dyDescent="0.25">
      <c r="A36" t="s">
        <v>1</v>
      </c>
      <c r="B36">
        <v>1039</v>
      </c>
      <c r="C36" s="7">
        <v>46055</v>
      </c>
      <c r="D36" t="s">
        <v>50</v>
      </c>
    </row>
    <row r="37" spans="1:4" x14ac:dyDescent="0.25">
      <c r="A37" t="s">
        <v>1</v>
      </c>
      <c r="B37">
        <v>1039</v>
      </c>
      <c r="C37" s="7">
        <v>46056</v>
      </c>
      <c r="D37" t="s">
        <v>50</v>
      </c>
    </row>
    <row r="38" spans="1:4" x14ac:dyDescent="0.25">
      <c r="A38" t="s">
        <v>1</v>
      </c>
      <c r="B38">
        <v>1039</v>
      </c>
      <c r="C38" s="7">
        <v>46057</v>
      </c>
      <c r="D38" t="s">
        <v>50</v>
      </c>
    </row>
    <row r="39" spans="1:4" x14ac:dyDescent="0.25">
      <c r="A39" t="s">
        <v>1</v>
      </c>
      <c r="B39">
        <v>1039</v>
      </c>
      <c r="C39" s="7">
        <v>46058</v>
      </c>
      <c r="D39" t="s">
        <v>50</v>
      </c>
    </row>
    <row r="40" spans="1:4" x14ac:dyDescent="0.25">
      <c r="A40" t="s">
        <v>1</v>
      </c>
      <c r="B40">
        <v>1039</v>
      </c>
      <c r="C40" s="7">
        <v>46059</v>
      </c>
      <c r="D40" t="s">
        <v>50</v>
      </c>
    </row>
    <row r="41" spans="1:4" x14ac:dyDescent="0.25">
      <c r="A41" t="s">
        <v>1</v>
      </c>
      <c r="B41">
        <v>1039</v>
      </c>
      <c r="C41" s="7">
        <v>46060</v>
      </c>
      <c r="D41" t="s">
        <v>50</v>
      </c>
    </row>
    <row r="42" spans="1:4" x14ac:dyDescent="0.25">
      <c r="A42" t="s">
        <v>0</v>
      </c>
      <c r="B42">
        <v>1001</v>
      </c>
      <c r="C42" s="7">
        <v>46023</v>
      </c>
      <c r="D42" t="s">
        <v>50</v>
      </c>
    </row>
    <row r="43" spans="1:4" x14ac:dyDescent="0.25">
      <c r="A43" t="s">
        <v>0</v>
      </c>
      <c r="B43">
        <v>1001</v>
      </c>
      <c r="C43" s="7">
        <v>46024</v>
      </c>
      <c r="D43" t="s">
        <v>50</v>
      </c>
    </row>
    <row r="44" spans="1:4" x14ac:dyDescent="0.25">
      <c r="A44" t="s">
        <v>0</v>
      </c>
      <c r="B44">
        <v>1001</v>
      </c>
      <c r="C44" s="7">
        <v>46025</v>
      </c>
      <c r="D44" t="s">
        <v>50</v>
      </c>
    </row>
    <row r="45" spans="1:4" x14ac:dyDescent="0.25">
      <c r="A45" t="s">
        <v>0</v>
      </c>
      <c r="B45">
        <v>1001</v>
      </c>
      <c r="C45" s="7">
        <v>46027</v>
      </c>
      <c r="D45" t="s">
        <v>50</v>
      </c>
    </row>
    <row r="46" spans="1:4" x14ac:dyDescent="0.25">
      <c r="A46" t="s">
        <v>0</v>
      </c>
      <c r="B46">
        <v>1001</v>
      </c>
      <c r="C46" s="7">
        <v>46028</v>
      </c>
      <c r="D46" t="s">
        <v>50</v>
      </c>
    </row>
    <row r="47" spans="1:4" x14ac:dyDescent="0.25">
      <c r="A47" t="s">
        <v>0</v>
      </c>
      <c r="B47">
        <v>1001</v>
      </c>
      <c r="C47" s="7">
        <v>46029</v>
      </c>
      <c r="D47" t="s">
        <v>51</v>
      </c>
    </row>
    <row r="48" spans="1:4" x14ac:dyDescent="0.25">
      <c r="A48" t="s">
        <v>0</v>
      </c>
      <c r="B48">
        <v>1001</v>
      </c>
      <c r="C48" s="7">
        <v>46030</v>
      </c>
      <c r="D48" t="s">
        <v>50</v>
      </c>
    </row>
    <row r="49" spans="1:4" x14ac:dyDescent="0.25">
      <c r="A49" t="s">
        <v>0</v>
      </c>
      <c r="B49">
        <v>1001</v>
      </c>
      <c r="C49" s="7">
        <v>46031</v>
      </c>
      <c r="D49" t="s">
        <v>50</v>
      </c>
    </row>
    <row r="50" spans="1:4" x14ac:dyDescent="0.25">
      <c r="A50" t="s">
        <v>0</v>
      </c>
      <c r="B50">
        <v>1001</v>
      </c>
      <c r="C50" s="7">
        <v>46032</v>
      </c>
      <c r="D50" t="s">
        <v>50</v>
      </c>
    </row>
    <row r="51" spans="1:4" x14ac:dyDescent="0.25">
      <c r="A51" t="s">
        <v>0</v>
      </c>
      <c r="B51">
        <v>1001</v>
      </c>
      <c r="C51" s="7">
        <v>46034</v>
      </c>
      <c r="D51" t="s">
        <v>50</v>
      </c>
    </row>
    <row r="52" spans="1:4" x14ac:dyDescent="0.25">
      <c r="A52" t="s">
        <v>0</v>
      </c>
      <c r="B52">
        <v>1001</v>
      </c>
      <c r="C52" s="7">
        <v>46035</v>
      </c>
      <c r="D52" t="s">
        <v>50</v>
      </c>
    </row>
    <row r="53" spans="1:4" x14ac:dyDescent="0.25">
      <c r="A53" t="s">
        <v>0</v>
      </c>
      <c r="B53">
        <v>1001</v>
      </c>
      <c r="C53" s="7">
        <v>46036</v>
      </c>
      <c r="D53" t="s">
        <v>50</v>
      </c>
    </row>
    <row r="54" spans="1:4" x14ac:dyDescent="0.25">
      <c r="A54" t="s">
        <v>0</v>
      </c>
      <c r="B54">
        <v>1001</v>
      </c>
      <c r="C54" s="7">
        <v>46037</v>
      </c>
      <c r="D54" t="s">
        <v>50</v>
      </c>
    </row>
    <row r="55" spans="1:4" x14ac:dyDescent="0.25">
      <c r="A55" t="s">
        <v>0</v>
      </c>
      <c r="B55">
        <v>1001</v>
      </c>
      <c r="C55" s="7">
        <v>46038</v>
      </c>
      <c r="D55" t="s">
        <v>50</v>
      </c>
    </row>
    <row r="56" spans="1:4" x14ac:dyDescent="0.25">
      <c r="A56" t="s">
        <v>0</v>
      </c>
      <c r="B56">
        <v>1001</v>
      </c>
      <c r="C56" s="7">
        <v>46039</v>
      </c>
      <c r="D56" t="s">
        <v>50</v>
      </c>
    </row>
    <row r="57" spans="1:4" x14ac:dyDescent="0.25">
      <c r="A57" t="s">
        <v>0</v>
      </c>
      <c r="B57">
        <v>1001</v>
      </c>
      <c r="C57" s="7">
        <v>46041</v>
      </c>
      <c r="D57" t="s">
        <v>50</v>
      </c>
    </row>
    <row r="58" spans="1:4" x14ac:dyDescent="0.25">
      <c r="A58" t="s">
        <v>0</v>
      </c>
      <c r="B58">
        <v>1001</v>
      </c>
      <c r="C58" s="7">
        <v>46042</v>
      </c>
      <c r="D58" t="s">
        <v>50</v>
      </c>
    </row>
    <row r="59" spans="1:4" x14ac:dyDescent="0.25">
      <c r="A59" t="s">
        <v>0</v>
      </c>
      <c r="B59">
        <v>1001</v>
      </c>
      <c r="C59" s="7">
        <v>46043</v>
      </c>
      <c r="D59" t="s">
        <v>50</v>
      </c>
    </row>
    <row r="60" spans="1:4" x14ac:dyDescent="0.25">
      <c r="A60" t="s">
        <v>0</v>
      </c>
      <c r="B60">
        <v>1001</v>
      </c>
      <c r="C60" s="7">
        <v>46044</v>
      </c>
      <c r="D60" t="s">
        <v>50</v>
      </c>
    </row>
    <row r="61" spans="1:4" x14ac:dyDescent="0.25">
      <c r="A61" t="s">
        <v>0</v>
      </c>
      <c r="B61">
        <v>1001</v>
      </c>
      <c r="C61" s="7">
        <v>46045</v>
      </c>
      <c r="D61" t="s">
        <v>50</v>
      </c>
    </row>
    <row r="62" spans="1:4" x14ac:dyDescent="0.25">
      <c r="A62" t="s">
        <v>0</v>
      </c>
      <c r="B62">
        <v>1001</v>
      </c>
      <c r="C62" s="7">
        <v>46046</v>
      </c>
      <c r="D62" t="s">
        <v>50</v>
      </c>
    </row>
    <row r="63" spans="1:4" x14ac:dyDescent="0.25">
      <c r="A63" t="s">
        <v>0</v>
      </c>
      <c r="B63">
        <v>1001</v>
      </c>
      <c r="C63" s="7">
        <v>46048</v>
      </c>
      <c r="D63" t="s">
        <v>50</v>
      </c>
    </row>
    <row r="64" spans="1:4" x14ac:dyDescent="0.25">
      <c r="A64" t="s">
        <v>0</v>
      </c>
      <c r="B64">
        <v>1001</v>
      </c>
      <c r="C64" s="7">
        <v>46049</v>
      </c>
      <c r="D64" t="s">
        <v>50</v>
      </c>
    </row>
    <row r="65" spans="1:4" x14ac:dyDescent="0.25">
      <c r="A65" t="s">
        <v>0</v>
      </c>
      <c r="B65">
        <v>1001</v>
      </c>
      <c r="C65" s="7">
        <v>46050</v>
      </c>
      <c r="D65" t="s">
        <v>50</v>
      </c>
    </row>
    <row r="66" spans="1:4" x14ac:dyDescent="0.25">
      <c r="A66" t="s">
        <v>0</v>
      </c>
      <c r="B66">
        <v>1001</v>
      </c>
      <c r="C66" s="7">
        <v>46051</v>
      </c>
      <c r="D66" t="s">
        <v>50</v>
      </c>
    </row>
    <row r="67" spans="1:4" x14ac:dyDescent="0.25">
      <c r="A67" t="s">
        <v>0</v>
      </c>
      <c r="B67">
        <v>1001</v>
      </c>
      <c r="C67" s="7">
        <v>46052</v>
      </c>
      <c r="D67" t="s">
        <v>50</v>
      </c>
    </row>
    <row r="68" spans="1:4" x14ac:dyDescent="0.25">
      <c r="A68" t="s">
        <v>0</v>
      </c>
      <c r="B68">
        <v>1001</v>
      </c>
      <c r="C68" s="7">
        <v>46053</v>
      </c>
      <c r="D68" t="s">
        <v>50</v>
      </c>
    </row>
    <row r="69" spans="1:4" x14ac:dyDescent="0.25">
      <c r="A69" t="s">
        <v>0</v>
      </c>
      <c r="B69">
        <v>1002</v>
      </c>
      <c r="C69" s="7">
        <v>46023</v>
      </c>
      <c r="D69" t="s">
        <v>50</v>
      </c>
    </row>
    <row r="70" spans="1:4" x14ac:dyDescent="0.25">
      <c r="A70" t="s">
        <v>0</v>
      </c>
      <c r="B70">
        <v>1002</v>
      </c>
      <c r="C70" s="7">
        <v>46024</v>
      </c>
      <c r="D70" t="s">
        <v>50</v>
      </c>
    </row>
    <row r="71" spans="1:4" x14ac:dyDescent="0.25">
      <c r="A71" t="s">
        <v>0</v>
      </c>
      <c r="B71">
        <v>1002</v>
      </c>
      <c r="C71" s="7">
        <v>46025</v>
      </c>
      <c r="D71" t="s">
        <v>50</v>
      </c>
    </row>
    <row r="72" spans="1:4" x14ac:dyDescent="0.25">
      <c r="A72" t="s">
        <v>0</v>
      </c>
      <c r="B72">
        <v>1002</v>
      </c>
      <c r="C72" s="7">
        <v>46027</v>
      </c>
      <c r="D72" t="s">
        <v>50</v>
      </c>
    </row>
    <row r="73" spans="1:4" x14ac:dyDescent="0.25">
      <c r="A73" t="s">
        <v>0</v>
      </c>
      <c r="B73">
        <v>1002</v>
      </c>
      <c r="C73" s="7">
        <v>46028</v>
      </c>
      <c r="D73" t="s">
        <v>50</v>
      </c>
    </row>
    <row r="74" spans="1:4" x14ac:dyDescent="0.25">
      <c r="A74" t="s">
        <v>0</v>
      </c>
      <c r="B74">
        <v>1002</v>
      </c>
      <c r="C74" s="7">
        <v>46029</v>
      </c>
      <c r="D74" t="s">
        <v>50</v>
      </c>
    </row>
    <row r="75" spans="1:4" x14ac:dyDescent="0.25">
      <c r="A75" t="s">
        <v>0</v>
      </c>
      <c r="B75">
        <v>1002</v>
      </c>
      <c r="C75" s="7">
        <v>46030</v>
      </c>
      <c r="D75" t="s">
        <v>50</v>
      </c>
    </row>
    <row r="76" spans="1:4" x14ac:dyDescent="0.25">
      <c r="A76" t="s">
        <v>0</v>
      </c>
      <c r="B76">
        <v>1002</v>
      </c>
      <c r="C76" s="7">
        <v>46031</v>
      </c>
      <c r="D76" t="s">
        <v>50</v>
      </c>
    </row>
    <row r="77" spans="1:4" x14ac:dyDescent="0.25">
      <c r="A77" t="s">
        <v>0</v>
      </c>
      <c r="B77">
        <v>1002</v>
      </c>
      <c r="C77" s="7">
        <v>46032</v>
      </c>
      <c r="D77" t="s">
        <v>50</v>
      </c>
    </row>
    <row r="78" spans="1:4" x14ac:dyDescent="0.25">
      <c r="A78" t="s">
        <v>0</v>
      </c>
      <c r="B78">
        <v>1002</v>
      </c>
      <c r="C78" s="7">
        <v>46034</v>
      </c>
      <c r="D78" t="s">
        <v>50</v>
      </c>
    </row>
    <row r="79" spans="1:4" x14ac:dyDescent="0.25">
      <c r="A79" t="s">
        <v>0</v>
      </c>
      <c r="B79">
        <v>1002</v>
      </c>
      <c r="C79" s="7">
        <v>46035</v>
      </c>
      <c r="D79" t="s">
        <v>50</v>
      </c>
    </row>
    <row r="80" spans="1:4" x14ac:dyDescent="0.25">
      <c r="A80" t="s">
        <v>0</v>
      </c>
      <c r="B80">
        <v>1002</v>
      </c>
      <c r="C80" s="7">
        <v>46036</v>
      </c>
      <c r="D80" t="s">
        <v>50</v>
      </c>
    </row>
    <row r="81" spans="1:4" x14ac:dyDescent="0.25">
      <c r="A81" t="s">
        <v>0</v>
      </c>
      <c r="B81">
        <v>1002</v>
      </c>
      <c r="C81" s="7">
        <v>46037</v>
      </c>
      <c r="D81" t="s">
        <v>50</v>
      </c>
    </row>
    <row r="82" spans="1:4" x14ac:dyDescent="0.25">
      <c r="A82" t="s">
        <v>0</v>
      </c>
      <c r="B82">
        <v>1002</v>
      </c>
      <c r="C82" s="7">
        <v>46038</v>
      </c>
      <c r="D82" t="s">
        <v>50</v>
      </c>
    </row>
    <row r="83" spans="1:4" x14ac:dyDescent="0.25">
      <c r="A83" t="s">
        <v>0</v>
      </c>
      <c r="B83">
        <v>1002</v>
      </c>
      <c r="C83" s="7">
        <v>46039</v>
      </c>
      <c r="D83" t="s">
        <v>50</v>
      </c>
    </row>
    <row r="84" spans="1:4" x14ac:dyDescent="0.25">
      <c r="A84" t="s">
        <v>0</v>
      </c>
      <c r="B84">
        <v>1002</v>
      </c>
      <c r="C84" s="7">
        <v>46041</v>
      </c>
      <c r="D84" t="s">
        <v>50</v>
      </c>
    </row>
    <row r="85" spans="1:4" x14ac:dyDescent="0.25">
      <c r="A85" t="s">
        <v>0</v>
      </c>
      <c r="B85">
        <v>1002</v>
      </c>
      <c r="C85" s="7">
        <v>46042</v>
      </c>
      <c r="D85" t="s">
        <v>50</v>
      </c>
    </row>
    <row r="86" spans="1:4" x14ac:dyDescent="0.25">
      <c r="A86" t="s">
        <v>0</v>
      </c>
      <c r="B86">
        <v>1002</v>
      </c>
      <c r="C86" s="7">
        <v>46043</v>
      </c>
      <c r="D86" t="s">
        <v>50</v>
      </c>
    </row>
    <row r="87" spans="1:4" x14ac:dyDescent="0.25">
      <c r="A87" t="s">
        <v>0</v>
      </c>
      <c r="B87">
        <v>1002</v>
      </c>
      <c r="C87" s="7">
        <v>46044</v>
      </c>
      <c r="D87" t="s">
        <v>50</v>
      </c>
    </row>
    <row r="88" spans="1:4" x14ac:dyDescent="0.25">
      <c r="A88" t="s">
        <v>0</v>
      </c>
      <c r="B88">
        <v>1002</v>
      </c>
      <c r="C88" s="7">
        <v>46045</v>
      </c>
      <c r="D88" t="s">
        <v>50</v>
      </c>
    </row>
    <row r="89" spans="1:4" x14ac:dyDescent="0.25">
      <c r="A89" t="s">
        <v>0</v>
      </c>
      <c r="B89">
        <v>1002</v>
      </c>
      <c r="C89" s="7">
        <v>46046</v>
      </c>
      <c r="D89" t="s">
        <v>50</v>
      </c>
    </row>
    <row r="90" spans="1:4" x14ac:dyDescent="0.25">
      <c r="A90" t="s">
        <v>0</v>
      </c>
      <c r="B90">
        <v>1002</v>
      </c>
      <c r="C90" s="7">
        <v>46048</v>
      </c>
      <c r="D90" t="s">
        <v>50</v>
      </c>
    </row>
    <row r="91" spans="1:4" x14ac:dyDescent="0.25">
      <c r="A91" t="s">
        <v>0</v>
      </c>
      <c r="B91">
        <v>1002</v>
      </c>
      <c r="C91" s="7">
        <v>46049</v>
      </c>
      <c r="D91" t="s">
        <v>50</v>
      </c>
    </row>
    <row r="92" spans="1:4" x14ac:dyDescent="0.25">
      <c r="A92" t="s">
        <v>0</v>
      </c>
      <c r="B92">
        <v>1002</v>
      </c>
      <c r="C92" s="7">
        <v>46050</v>
      </c>
      <c r="D92" t="s">
        <v>50</v>
      </c>
    </row>
    <row r="93" spans="1:4" x14ac:dyDescent="0.25">
      <c r="A93" t="s">
        <v>0</v>
      </c>
      <c r="B93">
        <v>1002</v>
      </c>
      <c r="C93" s="7">
        <v>46051</v>
      </c>
      <c r="D93" t="s">
        <v>50</v>
      </c>
    </row>
    <row r="94" spans="1:4" x14ac:dyDescent="0.25">
      <c r="A94" t="s">
        <v>0</v>
      </c>
      <c r="B94">
        <v>1002</v>
      </c>
      <c r="C94" s="7">
        <v>46052</v>
      </c>
      <c r="D94" t="s">
        <v>50</v>
      </c>
    </row>
    <row r="95" spans="1:4" x14ac:dyDescent="0.25">
      <c r="A95" t="s">
        <v>0</v>
      </c>
      <c r="B95">
        <v>1002</v>
      </c>
      <c r="C95" s="7">
        <v>46053</v>
      </c>
      <c r="D95" t="s">
        <v>50</v>
      </c>
    </row>
    <row r="96" spans="1:4" x14ac:dyDescent="0.25">
      <c r="A96" t="s">
        <v>0</v>
      </c>
      <c r="B96">
        <v>1003</v>
      </c>
      <c r="C96" s="7">
        <v>46023</v>
      </c>
      <c r="D96" t="s">
        <v>50</v>
      </c>
    </row>
    <row r="97" spans="1:4" x14ac:dyDescent="0.25">
      <c r="A97" t="s">
        <v>0</v>
      </c>
      <c r="B97">
        <v>1003</v>
      </c>
      <c r="C97" s="7">
        <v>46024</v>
      </c>
      <c r="D97" t="s">
        <v>50</v>
      </c>
    </row>
    <row r="98" spans="1:4" x14ac:dyDescent="0.25">
      <c r="A98" t="s">
        <v>0</v>
      </c>
      <c r="B98">
        <v>1003</v>
      </c>
      <c r="C98" s="7">
        <v>46025</v>
      </c>
      <c r="D98" t="s">
        <v>50</v>
      </c>
    </row>
    <row r="99" spans="1:4" x14ac:dyDescent="0.25">
      <c r="A99" t="s">
        <v>0</v>
      </c>
      <c r="B99">
        <v>1003</v>
      </c>
      <c r="C99" s="7">
        <v>46027</v>
      </c>
      <c r="D99" t="s">
        <v>50</v>
      </c>
    </row>
    <row r="100" spans="1:4" x14ac:dyDescent="0.25">
      <c r="A100" t="s">
        <v>0</v>
      </c>
      <c r="B100">
        <v>1003</v>
      </c>
      <c r="C100" s="7">
        <v>46028</v>
      </c>
      <c r="D100" t="s">
        <v>50</v>
      </c>
    </row>
    <row r="101" spans="1:4" x14ac:dyDescent="0.25">
      <c r="A101" t="s">
        <v>0</v>
      </c>
      <c r="B101">
        <v>1003</v>
      </c>
      <c r="C101" s="7">
        <v>46029</v>
      </c>
      <c r="D101" t="s">
        <v>50</v>
      </c>
    </row>
    <row r="102" spans="1:4" x14ac:dyDescent="0.25">
      <c r="A102" t="s">
        <v>0</v>
      </c>
      <c r="B102">
        <v>1003</v>
      </c>
      <c r="C102" s="7">
        <v>46030</v>
      </c>
      <c r="D102" t="s">
        <v>50</v>
      </c>
    </row>
    <row r="103" spans="1:4" x14ac:dyDescent="0.25">
      <c r="A103" t="s">
        <v>0</v>
      </c>
      <c r="B103">
        <v>1003</v>
      </c>
      <c r="C103" s="7">
        <v>46031</v>
      </c>
      <c r="D103" t="s">
        <v>50</v>
      </c>
    </row>
    <row r="104" spans="1:4" x14ac:dyDescent="0.25">
      <c r="A104" t="s">
        <v>0</v>
      </c>
      <c r="B104">
        <v>1003</v>
      </c>
      <c r="C104" s="7">
        <v>46032</v>
      </c>
      <c r="D104" t="s">
        <v>50</v>
      </c>
    </row>
    <row r="105" spans="1:4" x14ac:dyDescent="0.25">
      <c r="A105" t="s">
        <v>0</v>
      </c>
      <c r="B105">
        <v>1003</v>
      </c>
      <c r="C105" s="7">
        <v>46034</v>
      </c>
      <c r="D105" t="s">
        <v>50</v>
      </c>
    </row>
    <row r="106" spans="1:4" x14ac:dyDescent="0.25">
      <c r="A106" t="s">
        <v>0</v>
      </c>
      <c r="B106">
        <v>1003</v>
      </c>
      <c r="C106" s="7">
        <v>46035</v>
      </c>
      <c r="D106" t="s">
        <v>50</v>
      </c>
    </row>
    <row r="107" spans="1:4" x14ac:dyDescent="0.25">
      <c r="A107" t="s">
        <v>0</v>
      </c>
      <c r="B107">
        <v>1003</v>
      </c>
      <c r="C107" s="7">
        <v>46036</v>
      </c>
      <c r="D107" t="s">
        <v>50</v>
      </c>
    </row>
    <row r="108" spans="1:4" x14ac:dyDescent="0.25">
      <c r="A108" t="s">
        <v>0</v>
      </c>
      <c r="B108">
        <v>1003</v>
      </c>
      <c r="C108" s="7">
        <v>46037</v>
      </c>
      <c r="D108" t="s">
        <v>50</v>
      </c>
    </row>
    <row r="109" spans="1:4" x14ac:dyDescent="0.25">
      <c r="A109" t="s">
        <v>0</v>
      </c>
      <c r="B109">
        <v>1003</v>
      </c>
      <c r="C109" s="7">
        <v>46038</v>
      </c>
      <c r="D109" t="s">
        <v>50</v>
      </c>
    </row>
    <row r="110" spans="1:4" x14ac:dyDescent="0.25">
      <c r="A110" t="s">
        <v>0</v>
      </c>
      <c r="B110">
        <v>1003</v>
      </c>
      <c r="C110" s="7">
        <v>46039</v>
      </c>
      <c r="D110" t="s">
        <v>50</v>
      </c>
    </row>
    <row r="111" spans="1:4" x14ac:dyDescent="0.25">
      <c r="A111" t="s">
        <v>0</v>
      </c>
      <c r="B111">
        <v>1003</v>
      </c>
      <c r="C111" s="7">
        <v>46041</v>
      </c>
      <c r="D111" t="s">
        <v>50</v>
      </c>
    </row>
    <row r="112" spans="1:4" x14ac:dyDescent="0.25">
      <c r="A112" t="s">
        <v>0</v>
      </c>
      <c r="B112">
        <v>1003</v>
      </c>
      <c r="C112" s="7">
        <v>46042</v>
      </c>
      <c r="D112" t="s">
        <v>50</v>
      </c>
    </row>
    <row r="113" spans="1:4" x14ac:dyDescent="0.25">
      <c r="A113" t="s">
        <v>0</v>
      </c>
      <c r="B113">
        <v>1003</v>
      </c>
      <c r="C113" s="7">
        <v>46043</v>
      </c>
      <c r="D113" t="s">
        <v>50</v>
      </c>
    </row>
    <row r="114" spans="1:4" x14ac:dyDescent="0.25">
      <c r="A114" t="s">
        <v>0</v>
      </c>
      <c r="B114">
        <v>1003</v>
      </c>
      <c r="C114" s="7">
        <v>46044</v>
      </c>
      <c r="D114" t="s">
        <v>50</v>
      </c>
    </row>
    <row r="115" spans="1:4" x14ac:dyDescent="0.25">
      <c r="A115" t="s">
        <v>0</v>
      </c>
      <c r="B115">
        <v>1003</v>
      </c>
      <c r="C115" s="7">
        <v>46045</v>
      </c>
      <c r="D115" t="s">
        <v>50</v>
      </c>
    </row>
    <row r="116" spans="1:4" x14ac:dyDescent="0.25">
      <c r="A116" t="s">
        <v>0</v>
      </c>
      <c r="B116">
        <v>1003</v>
      </c>
      <c r="C116" s="7">
        <v>46046</v>
      </c>
      <c r="D116" t="s">
        <v>50</v>
      </c>
    </row>
    <row r="117" spans="1:4" x14ac:dyDescent="0.25">
      <c r="A117" t="s">
        <v>0</v>
      </c>
      <c r="B117">
        <v>1003</v>
      </c>
      <c r="C117" s="7">
        <v>46048</v>
      </c>
      <c r="D117" t="s">
        <v>50</v>
      </c>
    </row>
    <row r="118" spans="1:4" x14ac:dyDescent="0.25">
      <c r="A118" t="s">
        <v>0</v>
      </c>
      <c r="B118">
        <v>1003</v>
      </c>
      <c r="C118" s="7">
        <v>46049</v>
      </c>
      <c r="D118" t="s">
        <v>50</v>
      </c>
    </row>
    <row r="119" spans="1:4" x14ac:dyDescent="0.25">
      <c r="A119" t="s">
        <v>0</v>
      </c>
      <c r="B119">
        <v>1003</v>
      </c>
      <c r="C119" s="7">
        <v>46050</v>
      </c>
      <c r="D119" t="s">
        <v>50</v>
      </c>
    </row>
    <row r="120" spans="1:4" x14ac:dyDescent="0.25">
      <c r="A120" t="s">
        <v>0</v>
      </c>
      <c r="B120">
        <v>1003</v>
      </c>
      <c r="C120" s="7">
        <v>46051</v>
      </c>
      <c r="D120" t="s">
        <v>50</v>
      </c>
    </row>
    <row r="121" spans="1:4" x14ac:dyDescent="0.25">
      <c r="A121" t="s">
        <v>0</v>
      </c>
      <c r="B121">
        <v>1003</v>
      </c>
      <c r="C121" s="7">
        <v>46052</v>
      </c>
      <c r="D121" t="s">
        <v>50</v>
      </c>
    </row>
    <row r="122" spans="1:4" x14ac:dyDescent="0.25">
      <c r="A122" t="s">
        <v>0</v>
      </c>
      <c r="B122">
        <v>1003</v>
      </c>
      <c r="C122" s="7">
        <v>46053</v>
      </c>
      <c r="D122" t="s">
        <v>50</v>
      </c>
    </row>
    <row r="123" spans="1:4" x14ac:dyDescent="0.25">
      <c r="A123" t="s">
        <v>0</v>
      </c>
      <c r="B123">
        <v>1004</v>
      </c>
      <c r="C123" s="7">
        <v>46023</v>
      </c>
      <c r="D123" t="s">
        <v>50</v>
      </c>
    </row>
    <row r="124" spans="1:4" x14ac:dyDescent="0.25">
      <c r="A124" t="s">
        <v>0</v>
      </c>
      <c r="B124">
        <v>1004</v>
      </c>
      <c r="C124" s="7">
        <v>46024</v>
      </c>
      <c r="D124" t="s">
        <v>50</v>
      </c>
    </row>
    <row r="125" spans="1:4" x14ac:dyDescent="0.25">
      <c r="A125" t="s">
        <v>0</v>
      </c>
      <c r="B125">
        <v>1004</v>
      </c>
      <c r="C125" s="7">
        <v>46025</v>
      </c>
      <c r="D125" t="s">
        <v>50</v>
      </c>
    </row>
    <row r="126" spans="1:4" x14ac:dyDescent="0.25">
      <c r="A126" t="s">
        <v>0</v>
      </c>
      <c r="B126">
        <v>1004</v>
      </c>
      <c r="C126" s="7">
        <v>46027</v>
      </c>
      <c r="D126" t="s">
        <v>50</v>
      </c>
    </row>
    <row r="127" spans="1:4" x14ac:dyDescent="0.25">
      <c r="A127" t="s">
        <v>0</v>
      </c>
      <c r="B127">
        <v>1004</v>
      </c>
      <c r="C127" s="7">
        <v>46028</v>
      </c>
      <c r="D127" t="s">
        <v>50</v>
      </c>
    </row>
    <row r="128" spans="1:4" x14ac:dyDescent="0.25">
      <c r="A128" t="s">
        <v>0</v>
      </c>
      <c r="B128">
        <v>1004</v>
      </c>
      <c r="C128" s="7">
        <v>46029</v>
      </c>
      <c r="D128" t="s">
        <v>50</v>
      </c>
    </row>
    <row r="129" spans="1:4" x14ac:dyDescent="0.25">
      <c r="A129" t="s">
        <v>0</v>
      </c>
      <c r="B129">
        <v>1004</v>
      </c>
      <c r="C129" s="7">
        <v>46030</v>
      </c>
      <c r="D129" t="s">
        <v>50</v>
      </c>
    </row>
    <row r="130" spans="1:4" x14ac:dyDescent="0.25">
      <c r="A130" t="s">
        <v>0</v>
      </c>
      <c r="B130">
        <v>1004</v>
      </c>
      <c r="C130" s="7">
        <v>46031</v>
      </c>
      <c r="D130" t="s">
        <v>50</v>
      </c>
    </row>
    <row r="131" spans="1:4" x14ac:dyDescent="0.25">
      <c r="A131" t="s">
        <v>0</v>
      </c>
      <c r="B131">
        <v>1004</v>
      </c>
      <c r="C131" s="7">
        <v>46032</v>
      </c>
      <c r="D131" t="s">
        <v>50</v>
      </c>
    </row>
    <row r="132" spans="1:4" x14ac:dyDescent="0.25">
      <c r="A132" t="s">
        <v>0</v>
      </c>
      <c r="B132">
        <v>1004</v>
      </c>
      <c r="C132" s="7">
        <v>46034</v>
      </c>
      <c r="D132" t="s">
        <v>50</v>
      </c>
    </row>
    <row r="133" spans="1:4" x14ac:dyDescent="0.25">
      <c r="A133" t="s">
        <v>0</v>
      </c>
      <c r="B133">
        <v>1004</v>
      </c>
      <c r="C133" s="7">
        <v>46035</v>
      </c>
      <c r="D133" t="s">
        <v>50</v>
      </c>
    </row>
    <row r="134" spans="1:4" x14ac:dyDescent="0.25">
      <c r="A134" t="s">
        <v>0</v>
      </c>
      <c r="B134">
        <v>1004</v>
      </c>
      <c r="C134" s="7">
        <v>46036</v>
      </c>
      <c r="D134" t="s">
        <v>50</v>
      </c>
    </row>
    <row r="135" spans="1:4" x14ac:dyDescent="0.25">
      <c r="A135" t="s">
        <v>0</v>
      </c>
      <c r="B135">
        <v>1004</v>
      </c>
      <c r="C135" s="7">
        <v>46037</v>
      </c>
      <c r="D135" t="s">
        <v>50</v>
      </c>
    </row>
    <row r="136" spans="1:4" x14ac:dyDescent="0.25">
      <c r="A136" t="s">
        <v>0</v>
      </c>
      <c r="B136">
        <v>1004</v>
      </c>
      <c r="C136" s="7">
        <v>46038</v>
      </c>
      <c r="D136" t="s">
        <v>50</v>
      </c>
    </row>
    <row r="137" spans="1:4" x14ac:dyDescent="0.25">
      <c r="A137" t="s">
        <v>0</v>
      </c>
      <c r="B137">
        <v>1004</v>
      </c>
      <c r="C137" s="7">
        <v>46039</v>
      </c>
      <c r="D137" t="s">
        <v>50</v>
      </c>
    </row>
    <row r="138" spans="1:4" x14ac:dyDescent="0.25">
      <c r="A138" t="s">
        <v>0</v>
      </c>
      <c r="B138">
        <v>1004</v>
      </c>
      <c r="C138" s="7">
        <v>46041</v>
      </c>
      <c r="D138" t="s">
        <v>50</v>
      </c>
    </row>
    <row r="139" spans="1:4" x14ac:dyDescent="0.25">
      <c r="A139" t="s">
        <v>0</v>
      </c>
      <c r="B139">
        <v>1004</v>
      </c>
      <c r="C139" s="7">
        <v>46042</v>
      </c>
      <c r="D139" t="s">
        <v>50</v>
      </c>
    </row>
    <row r="140" spans="1:4" x14ac:dyDescent="0.25">
      <c r="A140" t="s">
        <v>0</v>
      </c>
      <c r="B140">
        <v>1004</v>
      </c>
      <c r="C140" s="7">
        <v>46043</v>
      </c>
      <c r="D140" t="s">
        <v>50</v>
      </c>
    </row>
    <row r="141" spans="1:4" x14ac:dyDescent="0.25">
      <c r="A141" t="s">
        <v>0</v>
      </c>
      <c r="B141">
        <v>1004</v>
      </c>
      <c r="C141" s="7">
        <v>46044</v>
      </c>
      <c r="D141" t="s">
        <v>51</v>
      </c>
    </row>
    <row r="142" spans="1:4" x14ac:dyDescent="0.25">
      <c r="A142" t="s">
        <v>0</v>
      </c>
      <c r="B142">
        <v>1004</v>
      </c>
      <c r="C142" s="7">
        <v>46045</v>
      </c>
      <c r="D142" t="s">
        <v>50</v>
      </c>
    </row>
    <row r="143" spans="1:4" x14ac:dyDescent="0.25">
      <c r="A143" t="s">
        <v>0</v>
      </c>
      <c r="B143">
        <v>1004</v>
      </c>
      <c r="C143" s="7">
        <v>46046</v>
      </c>
      <c r="D143" t="s">
        <v>50</v>
      </c>
    </row>
    <row r="144" spans="1:4" x14ac:dyDescent="0.25">
      <c r="A144" t="s">
        <v>0</v>
      </c>
      <c r="B144">
        <v>1004</v>
      </c>
      <c r="C144" s="7">
        <v>46048</v>
      </c>
      <c r="D144" t="s">
        <v>50</v>
      </c>
    </row>
    <row r="145" spans="1:4" x14ac:dyDescent="0.25">
      <c r="A145" t="s">
        <v>0</v>
      </c>
      <c r="B145">
        <v>1004</v>
      </c>
      <c r="C145" s="7">
        <v>46049</v>
      </c>
      <c r="D145" t="s">
        <v>50</v>
      </c>
    </row>
    <row r="146" spans="1:4" x14ac:dyDescent="0.25">
      <c r="A146" t="s">
        <v>0</v>
      </c>
      <c r="B146">
        <v>1004</v>
      </c>
      <c r="C146" s="7">
        <v>46050</v>
      </c>
      <c r="D146" t="s">
        <v>50</v>
      </c>
    </row>
    <row r="147" spans="1:4" x14ac:dyDescent="0.25">
      <c r="A147" t="s">
        <v>0</v>
      </c>
      <c r="B147">
        <v>1004</v>
      </c>
      <c r="C147" s="7">
        <v>46051</v>
      </c>
      <c r="D147" t="s">
        <v>50</v>
      </c>
    </row>
    <row r="148" spans="1:4" x14ac:dyDescent="0.25">
      <c r="A148" t="s">
        <v>0</v>
      </c>
      <c r="B148">
        <v>1004</v>
      </c>
      <c r="C148" s="7">
        <v>46052</v>
      </c>
      <c r="D148" t="s">
        <v>50</v>
      </c>
    </row>
    <row r="149" spans="1:4" x14ac:dyDescent="0.25">
      <c r="A149" t="s">
        <v>0</v>
      </c>
      <c r="B149">
        <v>1004</v>
      </c>
      <c r="C149" s="7">
        <v>46053</v>
      </c>
      <c r="D149" t="s">
        <v>50</v>
      </c>
    </row>
    <row r="150" spans="1:4" x14ac:dyDescent="0.25">
      <c r="A150" t="s">
        <v>0</v>
      </c>
      <c r="B150">
        <v>1005</v>
      </c>
      <c r="C150" s="7">
        <v>46023</v>
      </c>
      <c r="D150" t="s">
        <v>50</v>
      </c>
    </row>
    <row r="151" spans="1:4" x14ac:dyDescent="0.25">
      <c r="A151" t="s">
        <v>0</v>
      </c>
      <c r="B151">
        <v>1005</v>
      </c>
      <c r="C151" s="7">
        <v>46024</v>
      </c>
      <c r="D151" t="s">
        <v>50</v>
      </c>
    </row>
    <row r="152" spans="1:4" x14ac:dyDescent="0.25">
      <c r="A152" t="s">
        <v>0</v>
      </c>
      <c r="B152">
        <v>1005</v>
      </c>
      <c r="C152" s="7">
        <v>46025</v>
      </c>
      <c r="D152" t="s">
        <v>50</v>
      </c>
    </row>
    <row r="153" spans="1:4" x14ac:dyDescent="0.25">
      <c r="A153" t="s">
        <v>0</v>
      </c>
      <c r="B153">
        <v>1005</v>
      </c>
      <c r="C153" s="7">
        <v>46027</v>
      </c>
      <c r="D153" t="s">
        <v>50</v>
      </c>
    </row>
    <row r="154" spans="1:4" x14ac:dyDescent="0.25">
      <c r="A154" t="s">
        <v>0</v>
      </c>
      <c r="B154">
        <v>1005</v>
      </c>
      <c r="C154" s="7">
        <v>46028</v>
      </c>
      <c r="D154" t="s">
        <v>50</v>
      </c>
    </row>
    <row r="155" spans="1:4" x14ac:dyDescent="0.25">
      <c r="A155" t="s">
        <v>0</v>
      </c>
      <c r="B155">
        <v>1005</v>
      </c>
      <c r="C155" s="7">
        <v>46029</v>
      </c>
      <c r="D155" t="s">
        <v>50</v>
      </c>
    </row>
    <row r="156" spans="1:4" x14ac:dyDescent="0.25">
      <c r="A156" t="s">
        <v>0</v>
      </c>
      <c r="B156">
        <v>1005</v>
      </c>
      <c r="C156" s="7">
        <v>46030</v>
      </c>
      <c r="D156" t="s">
        <v>51</v>
      </c>
    </row>
    <row r="157" spans="1:4" x14ac:dyDescent="0.25">
      <c r="A157" t="s">
        <v>0</v>
      </c>
      <c r="B157">
        <v>1005</v>
      </c>
      <c r="C157" s="7">
        <v>46031</v>
      </c>
      <c r="D157" t="s">
        <v>50</v>
      </c>
    </row>
    <row r="158" spans="1:4" x14ac:dyDescent="0.25">
      <c r="A158" t="s">
        <v>0</v>
      </c>
      <c r="B158">
        <v>1005</v>
      </c>
      <c r="C158" s="7">
        <v>46032</v>
      </c>
      <c r="D158" t="s">
        <v>50</v>
      </c>
    </row>
    <row r="159" spans="1:4" x14ac:dyDescent="0.25">
      <c r="A159" t="s">
        <v>0</v>
      </c>
      <c r="B159">
        <v>1005</v>
      </c>
      <c r="C159" s="7">
        <v>46034</v>
      </c>
      <c r="D159" t="s">
        <v>50</v>
      </c>
    </row>
    <row r="160" spans="1:4" x14ac:dyDescent="0.25">
      <c r="A160" t="s">
        <v>0</v>
      </c>
      <c r="B160">
        <v>1005</v>
      </c>
      <c r="C160" s="7">
        <v>46035</v>
      </c>
      <c r="D160" t="s">
        <v>50</v>
      </c>
    </row>
    <row r="161" spans="1:4" x14ac:dyDescent="0.25">
      <c r="A161" t="s">
        <v>0</v>
      </c>
      <c r="B161">
        <v>1005</v>
      </c>
      <c r="C161" s="7">
        <v>46036</v>
      </c>
      <c r="D161" t="s">
        <v>50</v>
      </c>
    </row>
    <row r="162" spans="1:4" x14ac:dyDescent="0.25">
      <c r="A162" t="s">
        <v>0</v>
      </c>
      <c r="B162">
        <v>1005</v>
      </c>
      <c r="C162" s="7">
        <v>46037</v>
      </c>
      <c r="D162" t="s">
        <v>50</v>
      </c>
    </row>
    <row r="163" spans="1:4" x14ac:dyDescent="0.25">
      <c r="A163" t="s">
        <v>0</v>
      </c>
      <c r="B163">
        <v>1005</v>
      </c>
      <c r="C163" s="7">
        <v>46038</v>
      </c>
      <c r="D163" t="s">
        <v>50</v>
      </c>
    </row>
    <row r="164" spans="1:4" x14ac:dyDescent="0.25">
      <c r="A164" t="s">
        <v>0</v>
      </c>
      <c r="B164">
        <v>1005</v>
      </c>
      <c r="C164" s="7">
        <v>46039</v>
      </c>
      <c r="D164" t="s">
        <v>50</v>
      </c>
    </row>
    <row r="165" spans="1:4" x14ac:dyDescent="0.25">
      <c r="A165" t="s">
        <v>0</v>
      </c>
      <c r="B165">
        <v>1005</v>
      </c>
      <c r="C165" s="7">
        <v>46041</v>
      </c>
      <c r="D165" t="s">
        <v>50</v>
      </c>
    </row>
    <row r="166" spans="1:4" x14ac:dyDescent="0.25">
      <c r="A166" t="s">
        <v>0</v>
      </c>
      <c r="B166">
        <v>1005</v>
      </c>
      <c r="C166" s="7">
        <v>46042</v>
      </c>
      <c r="D166" t="s">
        <v>50</v>
      </c>
    </row>
    <row r="167" spans="1:4" x14ac:dyDescent="0.25">
      <c r="A167" t="s">
        <v>0</v>
      </c>
      <c r="B167">
        <v>1005</v>
      </c>
      <c r="C167" s="7">
        <v>46043</v>
      </c>
      <c r="D167" t="s">
        <v>50</v>
      </c>
    </row>
    <row r="168" spans="1:4" x14ac:dyDescent="0.25">
      <c r="A168" t="s">
        <v>0</v>
      </c>
      <c r="B168">
        <v>1005</v>
      </c>
      <c r="C168" s="7">
        <v>46044</v>
      </c>
      <c r="D168" t="s">
        <v>51</v>
      </c>
    </row>
    <row r="169" spans="1:4" x14ac:dyDescent="0.25">
      <c r="A169" t="s">
        <v>0</v>
      </c>
      <c r="B169">
        <v>1005</v>
      </c>
      <c r="C169" s="7">
        <v>46045</v>
      </c>
      <c r="D169" t="s">
        <v>50</v>
      </c>
    </row>
    <row r="170" spans="1:4" x14ac:dyDescent="0.25">
      <c r="A170" t="s">
        <v>0</v>
      </c>
      <c r="B170">
        <v>1005</v>
      </c>
      <c r="C170" s="7">
        <v>46046</v>
      </c>
      <c r="D170" t="s">
        <v>50</v>
      </c>
    </row>
    <row r="171" spans="1:4" x14ac:dyDescent="0.25">
      <c r="A171" t="s">
        <v>0</v>
      </c>
      <c r="B171">
        <v>1005</v>
      </c>
      <c r="C171" s="7">
        <v>46048</v>
      </c>
      <c r="D171" t="s">
        <v>50</v>
      </c>
    </row>
    <row r="172" spans="1:4" x14ac:dyDescent="0.25">
      <c r="A172" t="s">
        <v>0</v>
      </c>
      <c r="B172">
        <v>1005</v>
      </c>
      <c r="C172" s="7">
        <v>46049</v>
      </c>
      <c r="D172" t="s">
        <v>50</v>
      </c>
    </row>
    <row r="173" spans="1:4" x14ac:dyDescent="0.25">
      <c r="A173" t="s">
        <v>0</v>
      </c>
      <c r="B173">
        <v>1005</v>
      </c>
      <c r="C173" s="7">
        <v>46050</v>
      </c>
      <c r="D173" t="s">
        <v>50</v>
      </c>
    </row>
    <row r="174" spans="1:4" x14ac:dyDescent="0.25">
      <c r="A174" t="s">
        <v>0</v>
      </c>
      <c r="B174">
        <v>1005</v>
      </c>
      <c r="C174" s="7">
        <v>46051</v>
      </c>
      <c r="D174" t="s">
        <v>50</v>
      </c>
    </row>
    <row r="175" spans="1:4" x14ac:dyDescent="0.25">
      <c r="A175" t="s">
        <v>0</v>
      </c>
      <c r="B175">
        <v>1005</v>
      </c>
      <c r="C175" s="7">
        <v>46052</v>
      </c>
      <c r="D175" t="s">
        <v>50</v>
      </c>
    </row>
    <row r="176" spans="1:4" x14ac:dyDescent="0.25">
      <c r="A176" t="s">
        <v>0</v>
      </c>
      <c r="B176">
        <v>1005</v>
      </c>
      <c r="C176" s="7">
        <v>46053</v>
      </c>
      <c r="D176" t="s">
        <v>50</v>
      </c>
    </row>
    <row r="177" spans="1:4" x14ac:dyDescent="0.25">
      <c r="A177" t="s">
        <v>0</v>
      </c>
      <c r="B177">
        <v>1006</v>
      </c>
      <c r="C177" s="7">
        <v>46023</v>
      </c>
      <c r="D177" t="s">
        <v>50</v>
      </c>
    </row>
    <row r="178" spans="1:4" x14ac:dyDescent="0.25">
      <c r="A178" t="s">
        <v>0</v>
      </c>
      <c r="B178">
        <v>1006</v>
      </c>
      <c r="C178" s="7">
        <v>46024</v>
      </c>
      <c r="D178" t="s">
        <v>50</v>
      </c>
    </row>
    <row r="179" spans="1:4" x14ac:dyDescent="0.25">
      <c r="A179" t="s">
        <v>0</v>
      </c>
      <c r="B179">
        <v>1006</v>
      </c>
      <c r="C179" s="7">
        <v>46025</v>
      </c>
      <c r="D179" t="s">
        <v>50</v>
      </c>
    </row>
    <row r="180" spans="1:4" x14ac:dyDescent="0.25">
      <c r="A180" t="s">
        <v>0</v>
      </c>
      <c r="B180">
        <v>1006</v>
      </c>
      <c r="C180" s="7">
        <v>46027</v>
      </c>
      <c r="D180" t="s">
        <v>50</v>
      </c>
    </row>
    <row r="181" spans="1:4" x14ac:dyDescent="0.25">
      <c r="A181" t="s">
        <v>0</v>
      </c>
      <c r="B181">
        <v>1006</v>
      </c>
      <c r="C181" s="7">
        <v>46028</v>
      </c>
      <c r="D181" t="s">
        <v>50</v>
      </c>
    </row>
    <row r="182" spans="1:4" x14ac:dyDescent="0.25">
      <c r="A182" t="s">
        <v>0</v>
      </c>
      <c r="B182">
        <v>1006</v>
      </c>
      <c r="C182" s="7">
        <v>46029</v>
      </c>
      <c r="D182" t="s">
        <v>50</v>
      </c>
    </row>
    <row r="183" spans="1:4" x14ac:dyDescent="0.25">
      <c r="A183" t="s">
        <v>0</v>
      </c>
      <c r="B183">
        <v>1006</v>
      </c>
      <c r="C183" s="7">
        <v>46030</v>
      </c>
      <c r="D183" t="s">
        <v>50</v>
      </c>
    </row>
    <row r="184" spans="1:4" x14ac:dyDescent="0.25">
      <c r="A184" t="s">
        <v>0</v>
      </c>
      <c r="B184">
        <v>1006</v>
      </c>
      <c r="C184" s="7">
        <v>46031</v>
      </c>
      <c r="D184" t="s">
        <v>50</v>
      </c>
    </row>
    <row r="185" spans="1:4" x14ac:dyDescent="0.25">
      <c r="A185" t="s">
        <v>0</v>
      </c>
      <c r="B185">
        <v>1006</v>
      </c>
      <c r="C185" s="7">
        <v>46032</v>
      </c>
      <c r="D185" t="s">
        <v>50</v>
      </c>
    </row>
    <row r="186" spans="1:4" x14ac:dyDescent="0.25">
      <c r="A186" t="s">
        <v>0</v>
      </c>
      <c r="B186">
        <v>1006</v>
      </c>
      <c r="C186" s="7">
        <v>46034</v>
      </c>
      <c r="D186" t="s">
        <v>50</v>
      </c>
    </row>
    <row r="187" spans="1:4" x14ac:dyDescent="0.25">
      <c r="A187" t="s">
        <v>0</v>
      </c>
      <c r="B187">
        <v>1006</v>
      </c>
      <c r="C187" s="7">
        <v>46035</v>
      </c>
      <c r="D187" t="s">
        <v>50</v>
      </c>
    </row>
    <row r="188" spans="1:4" x14ac:dyDescent="0.25">
      <c r="A188" t="s">
        <v>0</v>
      </c>
      <c r="B188">
        <v>1006</v>
      </c>
      <c r="C188" s="7">
        <v>46036</v>
      </c>
      <c r="D188" t="s">
        <v>50</v>
      </c>
    </row>
    <row r="189" spans="1:4" x14ac:dyDescent="0.25">
      <c r="A189" t="s">
        <v>0</v>
      </c>
      <c r="B189">
        <v>1006</v>
      </c>
      <c r="C189" s="7">
        <v>46037</v>
      </c>
      <c r="D189" t="s">
        <v>50</v>
      </c>
    </row>
    <row r="190" spans="1:4" x14ac:dyDescent="0.25">
      <c r="A190" t="s">
        <v>0</v>
      </c>
      <c r="B190">
        <v>1006</v>
      </c>
      <c r="C190" s="7">
        <v>46038</v>
      </c>
      <c r="D190" t="s">
        <v>50</v>
      </c>
    </row>
    <row r="191" spans="1:4" x14ac:dyDescent="0.25">
      <c r="A191" t="s">
        <v>0</v>
      </c>
      <c r="B191">
        <v>1006</v>
      </c>
      <c r="C191" s="7">
        <v>46039</v>
      </c>
      <c r="D191" t="s">
        <v>50</v>
      </c>
    </row>
    <row r="192" spans="1:4" x14ac:dyDescent="0.25">
      <c r="A192" t="s">
        <v>0</v>
      </c>
      <c r="B192">
        <v>1006</v>
      </c>
      <c r="C192" s="7">
        <v>46041</v>
      </c>
      <c r="D192" t="s">
        <v>50</v>
      </c>
    </row>
    <row r="193" spans="1:4" x14ac:dyDescent="0.25">
      <c r="A193" t="s">
        <v>0</v>
      </c>
      <c r="B193">
        <v>1006</v>
      </c>
      <c r="C193" s="7">
        <v>46042</v>
      </c>
      <c r="D193" t="s">
        <v>50</v>
      </c>
    </row>
    <row r="194" spans="1:4" x14ac:dyDescent="0.25">
      <c r="A194" t="s">
        <v>0</v>
      </c>
      <c r="B194">
        <v>1006</v>
      </c>
      <c r="C194" s="7">
        <v>46043</v>
      </c>
      <c r="D194" t="s">
        <v>50</v>
      </c>
    </row>
    <row r="195" spans="1:4" x14ac:dyDescent="0.25">
      <c r="A195" t="s">
        <v>0</v>
      </c>
      <c r="B195">
        <v>1006</v>
      </c>
      <c r="C195" s="7">
        <v>46044</v>
      </c>
      <c r="D195" t="s">
        <v>50</v>
      </c>
    </row>
    <row r="196" spans="1:4" x14ac:dyDescent="0.25">
      <c r="A196" t="s">
        <v>0</v>
      </c>
      <c r="B196">
        <v>1006</v>
      </c>
      <c r="C196" s="7">
        <v>46045</v>
      </c>
      <c r="D196" t="s">
        <v>50</v>
      </c>
    </row>
    <row r="197" spans="1:4" x14ac:dyDescent="0.25">
      <c r="A197" t="s">
        <v>0</v>
      </c>
      <c r="B197">
        <v>1006</v>
      </c>
      <c r="C197" s="7">
        <v>46046</v>
      </c>
      <c r="D197" t="s">
        <v>50</v>
      </c>
    </row>
    <row r="198" spans="1:4" x14ac:dyDescent="0.25">
      <c r="A198" t="s">
        <v>0</v>
      </c>
      <c r="B198">
        <v>1006</v>
      </c>
      <c r="C198" s="7">
        <v>46048</v>
      </c>
      <c r="D198" t="s">
        <v>50</v>
      </c>
    </row>
    <row r="199" spans="1:4" x14ac:dyDescent="0.25">
      <c r="A199" t="s">
        <v>0</v>
      </c>
      <c r="B199">
        <v>1006</v>
      </c>
      <c r="C199" s="7">
        <v>46049</v>
      </c>
      <c r="D199" t="s">
        <v>50</v>
      </c>
    </row>
    <row r="200" spans="1:4" x14ac:dyDescent="0.25">
      <c r="A200" t="s">
        <v>0</v>
      </c>
      <c r="B200">
        <v>1006</v>
      </c>
      <c r="C200" s="7">
        <v>46050</v>
      </c>
      <c r="D200" t="s">
        <v>50</v>
      </c>
    </row>
    <row r="201" spans="1:4" x14ac:dyDescent="0.25">
      <c r="A201" t="s">
        <v>0</v>
      </c>
      <c r="B201">
        <v>1006</v>
      </c>
      <c r="C201" s="7">
        <v>46051</v>
      </c>
      <c r="D201" t="s">
        <v>50</v>
      </c>
    </row>
    <row r="202" spans="1:4" x14ac:dyDescent="0.25">
      <c r="A202" t="s">
        <v>0</v>
      </c>
      <c r="B202">
        <v>1006</v>
      </c>
      <c r="C202" s="7">
        <v>46052</v>
      </c>
      <c r="D202" t="s">
        <v>50</v>
      </c>
    </row>
    <row r="203" spans="1:4" x14ac:dyDescent="0.25">
      <c r="A203" t="s">
        <v>0</v>
      </c>
      <c r="B203">
        <v>1006</v>
      </c>
      <c r="C203" s="7">
        <v>46053</v>
      </c>
      <c r="D203" t="s">
        <v>50</v>
      </c>
    </row>
    <row r="204" spans="1:4" x14ac:dyDescent="0.25">
      <c r="A204" t="s">
        <v>0</v>
      </c>
      <c r="B204">
        <v>1007</v>
      </c>
      <c r="C204" s="7">
        <v>46023</v>
      </c>
      <c r="D204" t="s">
        <v>50</v>
      </c>
    </row>
    <row r="205" spans="1:4" x14ac:dyDescent="0.25">
      <c r="A205" t="s">
        <v>0</v>
      </c>
      <c r="B205">
        <v>1007</v>
      </c>
      <c r="C205" s="7">
        <v>46024</v>
      </c>
      <c r="D205" t="s">
        <v>50</v>
      </c>
    </row>
    <row r="206" spans="1:4" x14ac:dyDescent="0.25">
      <c r="A206" t="s">
        <v>0</v>
      </c>
      <c r="B206">
        <v>1007</v>
      </c>
      <c r="C206" s="7">
        <v>46025</v>
      </c>
      <c r="D206" t="s">
        <v>50</v>
      </c>
    </row>
    <row r="207" spans="1:4" x14ac:dyDescent="0.25">
      <c r="A207" t="s">
        <v>0</v>
      </c>
      <c r="B207">
        <v>1007</v>
      </c>
      <c r="C207" s="7">
        <v>46027</v>
      </c>
      <c r="D207" t="s">
        <v>50</v>
      </c>
    </row>
    <row r="208" spans="1:4" x14ac:dyDescent="0.25">
      <c r="A208" t="s">
        <v>0</v>
      </c>
      <c r="B208">
        <v>1007</v>
      </c>
      <c r="C208" s="7">
        <v>46028</v>
      </c>
      <c r="D208" t="s">
        <v>50</v>
      </c>
    </row>
    <row r="209" spans="1:4" x14ac:dyDescent="0.25">
      <c r="A209" t="s">
        <v>0</v>
      </c>
      <c r="B209">
        <v>1007</v>
      </c>
      <c r="C209" s="7">
        <v>46029</v>
      </c>
      <c r="D209" t="s">
        <v>50</v>
      </c>
    </row>
    <row r="210" spans="1:4" x14ac:dyDescent="0.25">
      <c r="A210" t="s">
        <v>0</v>
      </c>
      <c r="B210">
        <v>1007</v>
      </c>
      <c r="C210" s="7">
        <v>46030</v>
      </c>
      <c r="D210" t="s">
        <v>50</v>
      </c>
    </row>
    <row r="211" spans="1:4" x14ac:dyDescent="0.25">
      <c r="A211" t="s">
        <v>0</v>
      </c>
      <c r="B211">
        <v>1007</v>
      </c>
      <c r="C211" s="7">
        <v>46031</v>
      </c>
      <c r="D211" t="s">
        <v>50</v>
      </c>
    </row>
    <row r="212" spans="1:4" x14ac:dyDescent="0.25">
      <c r="A212" t="s">
        <v>0</v>
      </c>
      <c r="B212">
        <v>1007</v>
      </c>
      <c r="C212" s="7">
        <v>46032</v>
      </c>
      <c r="D212" t="s">
        <v>50</v>
      </c>
    </row>
    <row r="213" spans="1:4" x14ac:dyDescent="0.25">
      <c r="A213" t="s">
        <v>0</v>
      </c>
      <c r="B213">
        <v>1007</v>
      </c>
      <c r="C213" s="7">
        <v>46034</v>
      </c>
      <c r="D213" t="s">
        <v>50</v>
      </c>
    </row>
    <row r="214" spans="1:4" x14ac:dyDescent="0.25">
      <c r="A214" t="s">
        <v>0</v>
      </c>
      <c r="B214">
        <v>1007</v>
      </c>
      <c r="C214" s="7">
        <v>46035</v>
      </c>
      <c r="D214" t="s">
        <v>50</v>
      </c>
    </row>
    <row r="215" spans="1:4" x14ac:dyDescent="0.25">
      <c r="A215" t="s">
        <v>0</v>
      </c>
      <c r="B215">
        <v>1007</v>
      </c>
      <c r="C215" s="7">
        <v>46036</v>
      </c>
      <c r="D215" t="s">
        <v>50</v>
      </c>
    </row>
    <row r="216" spans="1:4" x14ac:dyDescent="0.25">
      <c r="A216" t="s">
        <v>0</v>
      </c>
      <c r="B216">
        <v>1007</v>
      </c>
      <c r="C216" s="7">
        <v>46037</v>
      </c>
      <c r="D216" t="s">
        <v>50</v>
      </c>
    </row>
    <row r="217" spans="1:4" x14ac:dyDescent="0.25">
      <c r="A217" t="s">
        <v>0</v>
      </c>
      <c r="B217">
        <v>1007</v>
      </c>
      <c r="C217" s="7">
        <v>46038</v>
      </c>
      <c r="D217" t="s">
        <v>50</v>
      </c>
    </row>
    <row r="218" spans="1:4" x14ac:dyDescent="0.25">
      <c r="A218" t="s">
        <v>0</v>
      </c>
      <c r="B218">
        <v>1007</v>
      </c>
      <c r="C218" s="7">
        <v>46039</v>
      </c>
      <c r="D218" t="s">
        <v>50</v>
      </c>
    </row>
    <row r="219" spans="1:4" x14ac:dyDescent="0.25">
      <c r="A219" t="s">
        <v>0</v>
      </c>
      <c r="B219">
        <v>1007</v>
      </c>
      <c r="C219" s="7">
        <v>46041</v>
      </c>
      <c r="D219" t="s">
        <v>50</v>
      </c>
    </row>
    <row r="220" spans="1:4" x14ac:dyDescent="0.25">
      <c r="A220" t="s">
        <v>0</v>
      </c>
      <c r="B220">
        <v>1007</v>
      </c>
      <c r="C220" s="7">
        <v>46042</v>
      </c>
      <c r="D220" t="s">
        <v>50</v>
      </c>
    </row>
    <row r="221" spans="1:4" x14ac:dyDescent="0.25">
      <c r="A221" t="s">
        <v>0</v>
      </c>
      <c r="B221">
        <v>1007</v>
      </c>
      <c r="C221" s="7">
        <v>46043</v>
      </c>
      <c r="D221" t="s">
        <v>50</v>
      </c>
    </row>
    <row r="222" spans="1:4" x14ac:dyDescent="0.25">
      <c r="A222" t="s">
        <v>0</v>
      </c>
      <c r="B222">
        <v>1007</v>
      </c>
      <c r="C222" s="7">
        <v>46044</v>
      </c>
      <c r="D222" t="s">
        <v>51</v>
      </c>
    </row>
    <row r="223" spans="1:4" x14ac:dyDescent="0.25">
      <c r="A223" t="s">
        <v>0</v>
      </c>
      <c r="B223">
        <v>1007</v>
      </c>
      <c r="C223" s="7">
        <v>46045</v>
      </c>
      <c r="D223" t="s">
        <v>50</v>
      </c>
    </row>
    <row r="224" spans="1:4" x14ac:dyDescent="0.25">
      <c r="A224" t="s">
        <v>0</v>
      </c>
      <c r="B224">
        <v>1007</v>
      </c>
      <c r="C224" s="7">
        <v>46046</v>
      </c>
      <c r="D224" t="s">
        <v>50</v>
      </c>
    </row>
    <row r="225" spans="1:4" x14ac:dyDescent="0.25">
      <c r="A225" t="s">
        <v>0</v>
      </c>
      <c r="B225">
        <v>1007</v>
      </c>
      <c r="C225" s="7">
        <v>46048</v>
      </c>
      <c r="D225" t="s">
        <v>50</v>
      </c>
    </row>
    <row r="226" spans="1:4" x14ac:dyDescent="0.25">
      <c r="A226" t="s">
        <v>0</v>
      </c>
      <c r="B226">
        <v>1007</v>
      </c>
      <c r="C226" s="7">
        <v>46049</v>
      </c>
      <c r="D226" t="s">
        <v>50</v>
      </c>
    </row>
    <row r="227" spans="1:4" x14ac:dyDescent="0.25">
      <c r="A227" t="s">
        <v>0</v>
      </c>
      <c r="B227">
        <v>1007</v>
      </c>
      <c r="C227" s="7">
        <v>46050</v>
      </c>
      <c r="D227" t="s">
        <v>51</v>
      </c>
    </row>
    <row r="228" spans="1:4" x14ac:dyDescent="0.25">
      <c r="A228" t="s">
        <v>0</v>
      </c>
      <c r="B228">
        <v>1007</v>
      </c>
      <c r="C228" s="7">
        <v>46051</v>
      </c>
      <c r="D228" t="s">
        <v>50</v>
      </c>
    </row>
    <row r="229" spans="1:4" x14ac:dyDescent="0.25">
      <c r="A229" t="s">
        <v>0</v>
      </c>
      <c r="B229">
        <v>1007</v>
      </c>
      <c r="C229" s="7">
        <v>46052</v>
      </c>
      <c r="D229" t="s">
        <v>50</v>
      </c>
    </row>
    <row r="230" spans="1:4" x14ac:dyDescent="0.25">
      <c r="A230" t="s">
        <v>0</v>
      </c>
      <c r="B230">
        <v>1007</v>
      </c>
      <c r="C230" s="7">
        <v>46053</v>
      </c>
      <c r="D230" t="s">
        <v>50</v>
      </c>
    </row>
    <row r="231" spans="1:4" x14ac:dyDescent="0.25">
      <c r="A231" t="s">
        <v>0</v>
      </c>
      <c r="B231">
        <v>1008</v>
      </c>
      <c r="C231" s="7">
        <v>46023</v>
      </c>
      <c r="D231" t="s">
        <v>50</v>
      </c>
    </row>
    <row r="232" spans="1:4" x14ac:dyDescent="0.25">
      <c r="A232" t="s">
        <v>0</v>
      </c>
      <c r="B232">
        <v>1008</v>
      </c>
      <c r="C232" s="7">
        <v>46024</v>
      </c>
      <c r="D232" t="s">
        <v>50</v>
      </c>
    </row>
    <row r="233" spans="1:4" x14ac:dyDescent="0.25">
      <c r="A233" t="s">
        <v>0</v>
      </c>
      <c r="B233">
        <v>1008</v>
      </c>
      <c r="C233" s="7">
        <v>46025</v>
      </c>
      <c r="D233" t="s">
        <v>50</v>
      </c>
    </row>
    <row r="234" spans="1:4" x14ac:dyDescent="0.25">
      <c r="A234" t="s">
        <v>0</v>
      </c>
      <c r="B234">
        <v>1008</v>
      </c>
      <c r="C234" s="7">
        <v>46027</v>
      </c>
      <c r="D234" t="s">
        <v>50</v>
      </c>
    </row>
    <row r="235" spans="1:4" x14ac:dyDescent="0.25">
      <c r="A235" t="s">
        <v>0</v>
      </c>
      <c r="B235">
        <v>1008</v>
      </c>
      <c r="C235" s="7">
        <v>46028</v>
      </c>
      <c r="D235" t="s">
        <v>50</v>
      </c>
    </row>
    <row r="236" spans="1:4" x14ac:dyDescent="0.25">
      <c r="A236" t="s">
        <v>0</v>
      </c>
      <c r="B236">
        <v>1008</v>
      </c>
      <c r="C236" s="7">
        <v>46029</v>
      </c>
      <c r="D236" t="s">
        <v>50</v>
      </c>
    </row>
    <row r="237" spans="1:4" x14ac:dyDescent="0.25">
      <c r="A237" t="s">
        <v>0</v>
      </c>
      <c r="B237">
        <v>1008</v>
      </c>
      <c r="C237" s="7">
        <v>46030</v>
      </c>
      <c r="D237" t="s">
        <v>50</v>
      </c>
    </row>
    <row r="238" spans="1:4" x14ac:dyDescent="0.25">
      <c r="A238" t="s">
        <v>0</v>
      </c>
      <c r="B238">
        <v>1008</v>
      </c>
      <c r="C238" s="7">
        <v>46031</v>
      </c>
      <c r="D238" t="s">
        <v>50</v>
      </c>
    </row>
    <row r="239" spans="1:4" x14ac:dyDescent="0.25">
      <c r="A239" t="s">
        <v>0</v>
      </c>
      <c r="B239">
        <v>1008</v>
      </c>
      <c r="C239" s="7">
        <v>46032</v>
      </c>
      <c r="D239" t="s">
        <v>50</v>
      </c>
    </row>
    <row r="240" spans="1:4" x14ac:dyDescent="0.25">
      <c r="A240" t="s">
        <v>0</v>
      </c>
      <c r="B240">
        <v>1008</v>
      </c>
      <c r="C240" s="7">
        <v>46034</v>
      </c>
      <c r="D240" t="s">
        <v>50</v>
      </c>
    </row>
    <row r="241" spans="1:4" x14ac:dyDescent="0.25">
      <c r="A241" t="s">
        <v>0</v>
      </c>
      <c r="B241">
        <v>1008</v>
      </c>
      <c r="C241" s="7">
        <v>46035</v>
      </c>
      <c r="D241" t="s">
        <v>50</v>
      </c>
    </row>
    <row r="242" spans="1:4" x14ac:dyDescent="0.25">
      <c r="A242" t="s">
        <v>0</v>
      </c>
      <c r="B242">
        <v>1008</v>
      </c>
      <c r="C242" s="7">
        <v>46036</v>
      </c>
      <c r="D242" t="s">
        <v>50</v>
      </c>
    </row>
    <row r="243" spans="1:4" x14ac:dyDescent="0.25">
      <c r="A243" t="s">
        <v>0</v>
      </c>
      <c r="B243">
        <v>1008</v>
      </c>
      <c r="C243" s="7">
        <v>46037</v>
      </c>
      <c r="D243" t="s">
        <v>50</v>
      </c>
    </row>
    <row r="244" spans="1:4" x14ac:dyDescent="0.25">
      <c r="A244" t="s">
        <v>0</v>
      </c>
      <c r="B244">
        <v>1008</v>
      </c>
      <c r="C244" s="7">
        <v>46038</v>
      </c>
      <c r="D244" t="s">
        <v>50</v>
      </c>
    </row>
    <row r="245" spans="1:4" x14ac:dyDescent="0.25">
      <c r="A245" t="s">
        <v>0</v>
      </c>
      <c r="B245">
        <v>1008</v>
      </c>
      <c r="C245" s="7">
        <v>46039</v>
      </c>
      <c r="D245" t="s">
        <v>50</v>
      </c>
    </row>
    <row r="246" spans="1:4" x14ac:dyDescent="0.25">
      <c r="A246" t="s">
        <v>0</v>
      </c>
      <c r="B246">
        <v>1008</v>
      </c>
      <c r="C246" s="7">
        <v>46041</v>
      </c>
      <c r="D246" t="s">
        <v>50</v>
      </c>
    </row>
    <row r="247" spans="1:4" x14ac:dyDescent="0.25">
      <c r="A247" t="s">
        <v>0</v>
      </c>
      <c r="B247">
        <v>1008</v>
      </c>
      <c r="C247" s="7">
        <v>46042</v>
      </c>
      <c r="D247" t="s">
        <v>50</v>
      </c>
    </row>
    <row r="248" spans="1:4" x14ac:dyDescent="0.25">
      <c r="A248" t="s">
        <v>0</v>
      </c>
      <c r="B248">
        <v>1008</v>
      </c>
      <c r="C248" s="7">
        <v>46043</v>
      </c>
      <c r="D248" t="s">
        <v>50</v>
      </c>
    </row>
    <row r="249" spans="1:4" x14ac:dyDescent="0.25">
      <c r="A249" t="s">
        <v>0</v>
      </c>
      <c r="B249">
        <v>1008</v>
      </c>
      <c r="C249" s="7">
        <v>46044</v>
      </c>
      <c r="D249" t="s">
        <v>50</v>
      </c>
    </row>
    <row r="250" spans="1:4" x14ac:dyDescent="0.25">
      <c r="A250" t="s">
        <v>0</v>
      </c>
      <c r="B250">
        <v>1008</v>
      </c>
      <c r="C250" s="7">
        <v>46045</v>
      </c>
      <c r="D250" t="s">
        <v>50</v>
      </c>
    </row>
    <row r="251" spans="1:4" x14ac:dyDescent="0.25">
      <c r="A251" t="s">
        <v>0</v>
      </c>
      <c r="B251">
        <v>1008</v>
      </c>
      <c r="C251" s="7">
        <v>46046</v>
      </c>
      <c r="D251" t="s">
        <v>50</v>
      </c>
    </row>
    <row r="252" spans="1:4" x14ac:dyDescent="0.25">
      <c r="A252" t="s">
        <v>0</v>
      </c>
      <c r="B252">
        <v>1008</v>
      </c>
      <c r="C252" s="7">
        <v>46048</v>
      </c>
      <c r="D252" t="s">
        <v>50</v>
      </c>
    </row>
    <row r="253" spans="1:4" x14ac:dyDescent="0.25">
      <c r="A253" t="s">
        <v>0</v>
      </c>
      <c r="B253">
        <v>1008</v>
      </c>
      <c r="C253" s="7">
        <v>46049</v>
      </c>
      <c r="D253" t="s">
        <v>50</v>
      </c>
    </row>
    <row r="254" spans="1:4" x14ac:dyDescent="0.25">
      <c r="A254" t="s">
        <v>0</v>
      </c>
      <c r="B254">
        <v>1008</v>
      </c>
      <c r="C254" s="7">
        <v>46050</v>
      </c>
      <c r="D254" t="s">
        <v>50</v>
      </c>
    </row>
    <row r="255" spans="1:4" x14ac:dyDescent="0.25">
      <c r="A255" t="s">
        <v>0</v>
      </c>
      <c r="B255">
        <v>1008</v>
      </c>
      <c r="C255" s="7">
        <v>46051</v>
      </c>
      <c r="D255" t="s">
        <v>50</v>
      </c>
    </row>
    <row r="256" spans="1:4" x14ac:dyDescent="0.25">
      <c r="A256" t="s">
        <v>0</v>
      </c>
      <c r="B256">
        <v>1008</v>
      </c>
      <c r="C256" s="7">
        <v>46052</v>
      </c>
      <c r="D256" t="s">
        <v>50</v>
      </c>
    </row>
    <row r="257" spans="1:4" x14ac:dyDescent="0.25">
      <c r="A257" t="s">
        <v>0</v>
      </c>
      <c r="B257">
        <v>1008</v>
      </c>
      <c r="C257" s="7">
        <v>46053</v>
      </c>
      <c r="D257" t="s">
        <v>50</v>
      </c>
    </row>
    <row r="258" spans="1:4" x14ac:dyDescent="0.25">
      <c r="A258" t="s">
        <v>0</v>
      </c>
      <c r="B258">
        <v>1009</v>
      </c>
      <c r="C258" s="7">
        <v>46023</v>
      </c>
      <c r="D258" t="s">
        <v>51</v>
      </c>
    </row>
    <row r="259" spans="1:4" x14ac:dyDescent="0.25">
      <c r="A259" t="s">
        <v>0</v>
      </c>
      <c r="B259">
        <v>1009</v>
      </c>
      <c r="C259" s="7">
        <v>46024</v>
      </c>
      <c r="D259" t="s">
        <v>50</v>
      </c>
    </row>
    <row r="260" spans="1:4" x14ac:dyDescent="0.25">
      <c r="A260" t="s">
        <v>0</v>
      </c>
      <c r="B260">
        <v>1009</v>
      </c>
      <c r="C260" s="7">
        <v>46025</v>
      </c>
      <c r="D260" t="s">
        <v>50</v>
      </c>
    </row>
    <row r="261" spans="1:4" x14ac:dyDescent="0.25">
      <c r="A261" t="s">
        <v>0</v>
      </c>
      <c r="B261">
        <v>1009</v>
      </c>
      <c r="C261" s="7">
        <v>46027</v>
      </c>
      <c r="D261" t="s">
        <v>50</v>
      </c>
    </row>
    <row r="262" spans="1:4" x14ac:dyDescent="0.25">
      <c r="A262" t="s">
        <v>0</v>
      </c>
      <c r="B262">
        <v>1009</v>
      </c>
      <c r="C262" s="7">
        <v>46028</v>
      </c>
      <c r="D262" t="s">
        <v>50</v>
      </c>
    </row>
    <row r="263" spans="1:4" x14ac:dyDescent="0.25">
      <c r="A263" t="s">
        <v>0</v>
      </c>
      <c r="B263">
        <v>1009</v>
      </c>
      <c r="C263" s="7">
        <v>46029</v>
      </c>
      <c r="D263" t="s">
        <v>50</v>
      </c>
    </row>
    <row r="264" spans="1:4" x14ac:dyDescent="0.25">
      <c r="A264" t="s">
        <v>0</v>
      </c>
      <c r="B264">
        <v>1009</v>
      </c>
      <c r="C264" s="7">
        <v>46030</v>
      </c>
      <c r="D264" t="s">
        <v>50</v>
      </c>
    </row>
    <row r="265" spans="1:4" x14ac:dyDescent="0.25">
      <c r="A265" t="s">
        <v>0</v>
      </c>
      <c r="B265">
        <v>1009</v>
      </c>
      <c r="C265" s="7">
        <v>46031</v>
      </c>
      <c r="D265" t="s">
        <v>50</v>
      </c>
    </row>
    <row r="266" spans="1:4" x14ac:dyDescent="0.25">
      <c r="A266" t="s">
        <v>0</v>
      </c>
      <c r="B266">
        <v>1009</v>
      </c>
      <c r="C266" s="7">
        <v>46032</v>
      </c>
      <c r="D266" t="s">
        <v>50</v>
      </c>
    </row>
    <row r="267" spans="1:4" x14ac:dyDescent="0.25">
      <c r="A267" t="s">
        <v>0</v>
      </c>
      <c r="B267">
        <v>1009</v>
      </c>
      <c r="C267" s="7">
        <v>46034</v>
      </c>
      <c r="D267" t="s">
        <v>50</v>
      </c>
    </row>
    <row r="268" spans="1:4" x14ac:dyDescent="0.25">
      <c r="A268" t="s">
        <v>0</v>
      </c>
      <c r="B268">
        <v>1009</v>
      </c>
      <c r="C268" s="7">
        <v>46035</v>
      </c>
      <c r="D268" t="s">
        <v>50</v>
      </c>
    </row>
    <row r="269" spans="1:4" x14ac:dyDescent="0.25">
      <c r="A269" t="s">
        <v>0</v>
      </c>
      <c r="B269">
        <v>1009</v>
      </c>
      <c r="C269" s="7">
        <v>46036</v>
      </c>
      <c r="D269" t="s">
        <v>50</v>
      </c>
    </row>
    <row r="270" spans="1:4" x14ac:dyDescent="0.25">
      <c r="A270" t="s">
        <v>0</v>
      </c>
      <c r="B270">
        <v>1009</v>
      </c>
      <c r="C270" s="7">
        <v>46037</v>
      </c>
      <c r="D270" t="s">
        <v>50</v>
      </c>
    </row>
    <row r="271" spans="1:4" x14ac:dyDescent="0.25">
      <c r="A271" t="s">
        <v>0</v>
      </c>
      <c r="B271">
        <v>1009</v>
      </c>
      <c r="C271" s="7">
        <v>46038</v>
      </c>
      <c r="D271" t="s">
        <v>50</v>
      </c>
    </row>
    <row r="272" spans="1:4" x14ac:dyDescent="0.25">
      <c r="A272" t="s">
        <v>0</v>
      </c>
      <c r="B272">
        <v>1009</v>
      </c>
      <c r="C272" s="7">
        <v>46039</v>
      </c>
      <c r="D272" t="s">
        <v>50</v>
      </c>
    </row>
    <row r="273" spans="1:4" x14ac:dyDescent="0.25">
      <c r="A273" t="s">
        <v>0</v>
      </c>
      <c r="B273">
        <v>1009</v>
      </c>
      <c r="C273" s="7">
        <v>46041</v>
      </c>
      <c r="D273" t="s">
        <v>50</v>
      </c>
    </row>
    <row r="274" spans="1:4" x14ac:dyDescent="0.25">
      <c r="A274" t="s">
        <v>0</v>
      </c>
      <c r="B274">
        <v>1009</v>
      </c>
      <c r="C274" s="7">
        <v>46042</v>
      </c>
      <c r="D274" t="s">
        <v>50</v>
      </c>
    </row>
    <row r="275" spans="1:4" x14ac:dyDescent="0.25">
      <c r="A275" t="s">
        <v>0</v>
      </c>
      <c r="B275">
        <v>1009</v>
      </c>
      <c r="C275" s="7">
        <v>46043</v>
      </c>
      <c r="D275" t="s">
        <v>50</v>
      </c>
    </row>
    <row r="276" spans="1:4" x14ac:dyDescent="0.25">
      <c r="A276" t="s">
        <v>0</v>
      </c>
      <c r="B276">
        <v>1009</v>
      </c>
      <c r="C276" s="7">
        <v>46044</v>
      </c>
      <c r="D276" t="s">
        <v>50</v>
      </c>
    </row>
    <row r="277" spans="1:4" x14ac:dyDescent="0.25">
      <c r="A277" t="s">
        <v>0</v>
      </c>
      <c r="B277">
        <v>1009</v>
      </c>
      <c r="C277" s="7">
        <v>46045</v>
      </c>
      <c r="D277" t="s">
        <v>50</v>
      </c>
    </row>
    <row r="278" spans="1:4" x14ac:dyDescent="0.25">
      <c r="A278" t="s">
        <v>0</v>
      </c>
      <c r="B278">
        <v>1009</v>
      </c>
      <c r="C278" s="7">
        <v>46046</v>
      </c>
      <c r="D278" t="s">
        <v>50</v>
      </c>
    </row>
    <row r="279" spans="1:4" x14ac:dyDescent="0.25">
      <c r="A279" t="s">
        <v>0</v>
      </c>
      <c r="B279">
        <v>1009</v>
      </c>
      <c r="C279" s="7">
        <v>46048</v>
      </c>
      <c r="D279" t="s">
        <v>50</v>
      </c>
    </row>
    <row r="280" spans="1:4" x14ac:dyDescent="0.25">
      <c r="A280" t="s">
        <v>0</v>
      </c>
      <c r="B280">
        <v>1009</v>
      </c>
      <c r="C280" s="7">
        <v>46049</v>
      </c>
      <c r="D280" t="s">
        <v>50</v>
      </c>
    </row>
    <row r="281" spans="1:4" x14ac:dyDescent="0.25">
      <c r="A281" t="s">
        <v>0</v>
      </c>
      <c r="B281">
        <v>1009</v>
      </c>
      <c r="C281" s="7">
        <v>46050</v>
      </c>
      <c r="D281" t="s">
        <v>50</v>
      </c>
    </row>
    <row r="282" spans="1:4" x14ac:dyDescent="0.25">
      <c r="A282" t="s">
        <v>0</v>
      </c>
      <c r="B282">
        <v>1009</v>
      </c>
      <c r="C282" s="7">
        <v>46051</v>
      </c>
      <c r="D282" t="s">
        <v>50</v>
      </c>
    </row>
    <row r="283" spans="1:4" x14ac:dyDescent="0.25">
      <c r="A283" t="s">
        <v>0</v>
      </c>
      <c r="B283">
        <v>1009</v>
      </c>
      <c r="C283" s="7">
        <v>46052</v>
      </c>
      <c r="D283" t="s">
        <v>50</v>
      </c>
    </row>
    <row r="284" spans="1:4" x14ac:dyDescent="0.25">
      <c r="A284" t="s">
        <v>0</v>
      </c>
      <c r="B284">
        <v>1009</v>
      </c>
      <c r="C284" s="7">
        <v>46053</v>
      </c>
      <c r="D284" t="s">
        <v>50</v>
      </c>
    </row>
    <row r="285" spans="1:4" x14ac:dyDescent="0.25">
      <c r="A285" t="s">
        <v>0</v>
      </c>
      <c r="B285">
        <v>1010</v>
      </c>
      <c r="C285" s="7">
        <v>46023</v>
      </c>
      <c r="D285" t="s">
        <v>50</v>
      </c>
    </row>
    <row r="286" spans="1:4" x14ac:dyDescent="0.25">
      <c r="A286" t="s">
        <v>0</v>
      </c>
      <c r="B286">
        <v>1010</v>
      </c>
      <c r="C286" s="7">
        <v>46024</v>
      </c>
      <c r="D286" t="s">
        <v>50</v>
      </c>
    </row>
    <row r="287" spans="1:4" x14ac:dyDescent="0.25">
      <c r="A287" t="s">
        <v>0</v>
      </c>
      <c r="B287">
        <v>1010</v>
      </c>
      <c r="C287" s="7">
        <v>46025</v>
      </c>
      <c r="D287" t="s">
        <v>50</v>
      </c>
    </row>
    <row r="288" spans="1:4" x14ac:dyDescent="0.25">
      <c r="A288" t="s">
        <v>0</v>
      </c>
      <c r="B288">
        <v>1010</v>
      </c>
      <c r="C288" s="7">
        <v>46027</v>
      </c>
      <c r="D288" t="s">
        <v>50</v>
      </c>
    </row>
    <row r="289" spans="1:4" x14ac:dyDescent="0.25">
      <c r="A289" t="s">
        <v>0</v>
      </c>
      <c r="B289">
        <v>1010</v>
      </c>
      <c r="C289" s="7">
        <v>46028</v>
      </c>
      <c r="D289" t="s">
        <v>50</v>
      </c>
    </row>
    <row r="290" spans="1:4" x14ac:dyDescent="0.25">
      <c r="A290" t="s">
        <v>0</v>
      </c>
      <c r="B290">
        <v>1010</v>
      </c>
      <c r="C290" s="7">
        <v>46029</v>
      </c>
      <c r="D290" t="s">
        <v>50</v>
      </c>
    </row>
    <row r="291" spans="1:4" x14ac:dyDescent="0.25">
      <c r="A291" t="s">
        <v>0</v>
      </c>
      <c r="B291">
        <v>1010</v>
      </c>
      <c r="C291" s="7">
        <v>46030</v>
      </c>
      <c r="D291" t="s">
        <v>50</v>
      </c>
    </row>
    <row r="292" spans="1:4" x14ac:dyDescent="0.25">
      <c r="A292" t="s">
        <v>0</v>
      </c>
      <c r="B292">
        <v>1010</v>
      </c>
      <c r="C292" s="7">
        <v>46031</v>
      </c>
      <c r="D292" t="s">
        <v>50</v>
      </c>
    </row>
    <row r="293" spans="1:4" x14ac:dyDescent="0.25">
      <c r="A293" t="s">
        <v>0</v>
      </c>
      <c r="B293">
        <v>1010</v>
      </c>
      <c r="C293" s="7">
        <v>46032</v>
      </c>
      <c r="D293" t="s">
        <v>50</v>
      </c>
    </row>
    <row r="294" spans="1:4" x14ac:dyDescent="0.25">
      <c r="A294" t="s">
        <v>0</v>
      </c>
      <c r="B294">
        <v>1010</v>
      </c>
      <c r="C294" s="7">
        <v>46034</v>
      </c>
      <c r="D294" t="s">
        <v>50</v>
      </c>
    </row>
    <row r="295" spans="1:4" x14ac:dyDescent="0.25">
      <c r="A295" t="s">
        <v>0</v>
      </c>
      <c r="B295">
        <v>1010</v>
      </c>
      <c r="C295" s="7">
        <v>46035</v>
      </c>
      <c r="D295" t="s">
        <v>50</v>
      </c>
    </row>
    <row r="296" spans="1:4" x14ac:dyDescent="0.25">
      <c r="A296" t="s">
        <v>0</v>
      </c>
      <c r="B296">
        <v>1010</v>
      </c>
      <c r="C296" s="7">
        <v>46036</v>
      </c>
      <c r="D296" t="s">
        <v>50</v>
      </c>
    </row>
    <row r="297" spans="1:4" x14ac:dyDescent="0.25">
      <c r="A297" t="s">
        <v>0</v>
      </c>
      <c r="B297">
        <v>1010</v>
      </c>
      <c r="C297" s="7">
        <v>46037</v>
      </c>
      <c r="D297" t="s">
        <v>50</v>
      </c>
    </row>
    <row r="298" spans="1:4" x14ac:dyDescent="0.25">
      <c r="A298" t="s">
        <v>0</v>
      </c>
      <c r="B298">
        <v>1010</v>
      </c>
      <c r="C298" s="7">
        <v>46038</v>
      </c>
      <c r="D298" t="s">
        <v>50</v>
      </c>
    </row>
    <row r="299" spans="1:4" x14ac:dyDescent="0.25">
      <c r="A299" t="s">
        <v>0</v>
      </c>
      <c r="B299">
        <v>1010</v>
      </c>
      <c r="C299" s="7">
        <v>46039</v>
      </c>
      <c r="D299" t="s">
        <v>50</v>
      </c>
    </row>
    <row r="300" spans="1:4" x14ac:dyDescent="0.25">
      <c r="A300" t="s">
        <v>0</v>
      </c>
      <c r="B300">
        <v>1010</v>
      </c>
      <c r="C300" s="7">
        <v>46041</v>
      </c>
      <c r="D300" t="s">
        <v>50</v>
      </c>
    </row>
    <row r="301" spans="1:4" x14ac:dyDescent="0.25">
      <c r="A301" t="s">
        <v>0</v>
      </c>
      <c r="B301">
        <v>1010</v>
      </c>
      <c r="C301" s="7">
        <v>46042</v>
      </c>
      <c r="D301" t="s">
        <v>50</v>
      </c>
    </row>
    <row r="302" spans="1:4" x14ac:dyDescent="0.25">
      <c r="A302" t="s">
        <v>0</v>
      </c>
      <c r="B302">
        <v>1010</v>
      </c>
      <c r="C302" s="7">
        <v>46043</v>
      </c>
      <c r="D302" t="s">
        <v>50</v>
      </c>
    </row>
    <row r="303" spans="1:4" x14ac:dyDescent="0.25">
      <c r="A303" t="s">
        <v>0</v>
      </c>
      <c r="B303">
        <v>1010</v>
      </c>
      <c r="C303" s="7">
        <v>46044</v>
      </c>
      <c r="D303" t="s">
        <v>50</v>
      </c>
    </row>
    <row r="304" spans="1:4" x14ac:dyDescent="0.25">
      <c r="A304" t="s">
        <v>0</v>
      </c>
      <c r="B304">
        <v>1010</v>
      </c>
      <c r="C304" s="7">
        <v>46045</v>
      </c>
      <c r="D304" t="s">
        <v>50</v>
      </c>
    </row>
    <row r="305" spans="1:4" x14ac:dyDescent="0.25">
      <c r="A305" t="s">
        <v>0</v>
      </c>
      <c r="B305">
        <v>1010</v>
      </c>
      <c r="C305" s="7">
        <v>46046</v>
      </c>
      <c r="D305" t="s">
        <v>50</v>
      </c>
    </row>
    <row r="306" spans="1:4" x14ac:dyDescent="0.25">
      <c r="A306" t="s">
        <v>0</v>
      </c>
      <c r="B306">
        <v>1010</v>
      </c>
      <c r="C306" s="7">
        <v>46048</v>
      </c>
      <c r="D306" t="s">
        <v>50</v>
      </c>
    </row>
    <row r="307" spans="1:4" x14ac:dyDescent="0.25">
      <c r="A307" t="s">
        <v>0</v>
      </c>
      <c r="B307">
        <v>1010</v>
      </c>
      <c r="C307" s="7">
        <v>46049</v>
      </c>
      <c r="D307" t="s">
        <v>50</v>
      </c>
    </row>
    <row r="308" spans="1:4" x14ac:dyDescent="0.25">
      <c r="A308" t="s">
        <v>0</v>
      </c>
      <c r="B308">
        <v>1010</v>
      </c>
      <c r="C308" s="7">
        <v>46050</v>
      </c>
      <c r="D308" t="s">
        <v>50</v>
      </c>
    </row>
    <row r="309" spans="1:4" x14ac:dyDescent="0.25">
      <c r="A309" t="s">
        <v>0</v>
      </c>
      <c r="B309">
        <v>1010</v>
      </c>
      <c r="C309" s="7">
        <v>46051</v>
      </c>
      <c r="D309" t="s">
        <v>50</v>
      </c>
    </row>
    <row r="310" spans="1:4" x14ac:dyDescent="0.25">
      <c r="A310" t="s">
        <v>0</v>
      </c>
      <c r="B310">
        <v>1010</v>
      </c>
      <c r="C310" s="7">
        <v>46052</v>
      </c>
      <c r="D310" t="s">
        <v>50</v>
      </c>
    </row>
    <row r="311" spans="1:4" x14ac:dyDescent="0.25">
      <c r="A311" t="s">
        <v>0</v>
      </c>
      <c r="B311">
        <v>1010</v>
      </c>
      <c r="C311" s="7">
        <v>46053</v>
      </c>
      <c r="D311" t="s">
        <v>50</v>
      </c>
    </row>
    <row r="312" spans="1:4" x14ac:dyDescent="0.25">
      <c r="A312" t="s">
        <v>0</v>
      </c>
      <c r="B312">
        <v>1011</v>
      </c>
      <c r="C312" s="7">
        <v>46023</v>
      </c>
      <c r="D312" t="s">
        <v>50</v>
      </c>
    </row>
    <row r="313" spans="1:4" x14ac:dyDescent="0.25">
      <c r="A313" t="s">
        <v>0</v>
      </c>
      <c r="B313">
        <v>1011</v>
      </c>
      <c r="C313" s="7">
        <v>46024</v>
      </c>
      <c r="D313" t="s">
        <v>50</v>
      </c>
    </row>
    <row r="314" spans="1:4" x14ac:dyDescent="0.25">
      <c r="A314" t="s">
        <v>0</v>
      </c>
      <c r="B314">
        <v>1011</v>
      </c>
      <c r="C314" s="7">
        <v>46025</v>
      </c>
      <c r="D314" t="s">
        <v>50</v>
      </c>
    </row>
    <row r="315" spans="1:4" x14ac:dyDescent="0.25">
      <c r="A315" t="s">
        <v>0</v>
      </c>
      <c r="B315">
        <v>1011</v>
      </c>
      <c r="C315" s="7">
        <v>46027</v>
      </c>
      <c r="D315" t="s">
        <v>50</v>
      </c>
    </row>
    <row r="316" spans="1:4" x14ac:dyDescent="0.25">
      <c r="A316" t="s">
        <v>0</v>
      </c>
      <c r="B316">
        <v>1011</v>
      </c>
      <c r="C316" s="7">
        <v>46028</v>
      </c>
      <c r="D316" t="s">
        <v>50</v>
      </c>
    </row>
    <row r="317" spans="1:4" x14ac:dyDescent="0.25">
      <c r="A317" t="s">
        <v>0</v>
      </c>
      <c r="B317">
        <v>1011</v>
      </c>
      <c r="C317" s="7">
        <v>46029</v>
      </c>
      <c r="D317" t="s">
        <v>50</v>
      </c>
    </row>
    <row r="318" spans="1:4" x14ac:dyDescent="0.25">
      <c r="A318" t="s">
        <v>0</v>
      </c>
      <c r="B318">
        <v>1011</v>
      </c>
      <c r="C318" s="7">
        <v>46030</v>
      </c>
      <c r="D318" t="s">
        <v>50</v>
      </c>
    </row>
    <row r="319" spans="1:4" x14ac:dyDescent="0.25">
      <c r="A319" t="s">
        <v>0</v>
      </c>
      <c r="B319">
        <v>1011</v>
      </c>
      <c r="C319" s="7">
        <v>46031</v>
      </c>
      <c r="D319" t="s">
        <v>50</v>
      </c>
    </row>
    <row r="320" spans="1:4" x14ac:dyDescent="0.25">
      <c r="A320" t="s">
        <v>0</v>
      </c>
      <c r="B320">
        <v>1011</v>
      </c>
      <c r="C320" s="7">
        <v>46032</v>
      </c>
      <c r="D320" t="s">
        <v>50</v>
      </c>
    </row>
    <row r="321" spans="1:4" x14ac:dyDescent="0.25">
      <c r="A321" t="s">
        <v>0</v>
      </c>
      <c r="B321">
        <v>1011</v>
      </c>
      <c r="C321" s="7">
        <v>46034</v>
      </c>
      <c r="D321" t="s">
        <v>50</v>
      </c>
    </row>
    <row r="322" spans="1:4" x14ac:dyDescent="0.25">
      <c r="A322" t="s">
        <v>0</v>
      </c>
      <c r="B322">
        <v>1011</v>
      </c>
      <c r="C322" s="7">
        <v>46035</v>
      </c>
      <c r="D322" t="s">
        <v>50</v>
      </c>
    </row>
    <row r="323" spans="1:4" x14ac:dyDescent="0.25">
      <c r="A323" t="s">
        <v>0</v>
      </c>
      <c r="B323">
        <v>1011</v>
      </c>
      <c r="C323" s="7">
        <v>46036</v>
      </c>
      <c r="D323" t="s">
        <v>50</v>
      </c>
    </row>
    <row r="324" spans="1:4" x14ac:dyDescent="0.25">
      <c r="A324" t="s">
        <v>0</v>
      </c>
      <c r="B324">
        <v>1011</v>
      </c>
      <c r="C324" s="7">
        <v>46037</v>
      </c>
      <c r="D324" t="s">
        <v>50</v>
      </c>
    </row>
    <row r="325" spans="1:4" x14ac:dyDescent="0.25">
      <c r="A325" t="s">
        <v>0</v>
      </c>
      <c r="B325">
        <v>1011</v>
      </c>
      <c r="C325" s="7">
        <v>46038</v>
      </c>
      <c r="D325" t="s">
        <v>50</v>
      </c>
    </row>
    <row r="326" spans="1:4" x14ac:dyDescent="0.25">
      <c r="A326" t="s">
        <v>0</v>
      </c>
      <c r="B326">
        <v>1011</v>
      </c>
      <c r="C326" s="7">
        <v>46039</v>
      </c>
      <c r="D326" t="s">
        <v>50</v>
      </c>
    </row>
    <row r="327" spans="1:4" x14ac:dyDescent="0.25">
      <c r="A327" t="s">
        <v>0</v>
      </c>
      <c r="B327">
        <v>1011</v>
      </c>
      <c r="C327" s="7">
        <v>46041</v>
      </c>
      <c r="D327" t="s">
        <v>50</v>
      </c>
    </row>
    <row r="328" spans="1:4" x14ac:dyDescent="0.25">
      <c r="A328" t="s">
        <v>0</v>
      </c>
      <c r="B328">
        <v>1011</v>
      </c>
      <c r="C328" s="7">
        <v>46042</v>
      </c>
      <c r="D328" t="s">
        <v>50</v>
      </c>
    </row>
    <row r="329" spans="1:4" x14ac:dyDescent="0.25">
      <c r="A329" t="s">
        <v>0</v>
      </c>
      <c r="B329">
        <v>1011</v>
      </c>
      <c r="C329" s="7">
        <v>46043</v>
      </c>
      <c r="D329" t="s">
        <v>51</v>
      </c>
    </row>
    <row r="330" spans="1:4" x14ac:dyDescent="0.25">
      <c r="A330" t="s">
        <v>0</v>
      </c>
      <c r="B330">
        <v>1011</v>
      </c>
      <c r="C330" s="7">
        <v>46044</v>
      </c>
      <c r="D330" t="s">
        <v>50</v>
      </c>
    </row>
    <row r="331" spans="1:4" x14ac:dyDescent="0.25">
      <c r="A331" t="s">
        <v>0</v>
      </c>
      <c r="B331">
        <v>1011</v>
      </c>
      <c r="C331" s="7">
        <v>46045</v>
      </c>
      <c r="D331" t="s">
        <v>50</v>
      </c>
    </row>
    <row r="332" spans="1:4" x14ac:dyDescent="0.25">
      <c r="A332" t="s">
        <v>0</v>
      </c>
      <c r="B332">
        <v>1011</v>
      </c>
      <c r="C332" s="7">
        <v>46046</v>
      </c>
      <c r="D332" t="s">
        <v>50</v>
      </c>
    </row>
    <row r="333" spans="1:4" x14ac:dyDescent="0.25">
      <c r="A333" t="s">
        <v>0</v>
      </c>
      <c r="B333">
        <v>1011</v>
      </c>
      <c r="C333" s="7">
        <v>46048</v>
      </c>
      <c r="D333" t="s">
        <v>50</v>
      </c>
    </row>
    <row r="334" spans="1:4" x14ac:dyDescent="0.25">
      <c r="A334" t="s">
        <v>0</v>
      </c>
      <c r="B334">
        <v>1011</v>
      </c>
      <c r="C334" s="7">
        <v>46049</v>
      </c>
      <c r="D334" t="s">
        <v>50</v>
      </c>
    </row>
    <row r="335" spans="1:4" x14ac:dyDescent="0.25">
      <c r="A335" t="s">
        <v>0</v>
      </c>
      <c r="B335">
        <v>1011</v>
      </c>
      <c r="C335" s="7">
        <v>46050</v>
      </c>
      <c r="D335" t="s">
        <v>50</v>
      </c>
    </row>
    <row r="336" spans="1:4" x14ac:dyDescent="0.25">
      <c r="A336" t="s">
        <v>0</v>
      </c>
      <c r="B336">
        <v>1011</v>
      </c>
      <c r="C336" s="7">
        <v>46051</v>
      </c>
      <c r="D336" t="s">
        <v>50</v>
      </c>
    </row>
    <row r="337" spans="1:4" x14ac:dyDescent="0.25">
      <c r="A337" t="s">
        <v>0</v>
      </c>
      <c r="B337">
        <v>1011</v>
      </c>
      <c r="C337" s="7">
        <v>46052</v>
      </c>
      <c r="D337" t="s">
        <v>50</v>
      </c>
    </row>
    <row r="338" spans="1:4" x14ac:dyDescent="0.25">
      <c r="A338" t="s">
        <v>0</v>
      </c>
      <c r="B338">
        <v>1011</v>
      </c>
      <c r="C338" s="7">
        <v>46053</v>
      </c>
      <c r="D338" t="s">
        <v>50</v>
      </c>
    </row>
    <row r="339" spans="1:4" x14ac:dyDescent="0.25">
      <c r="A339" t="s">
        <v>0</v>
      </c>
      <c r="B339">
        <v>1012</v>
      </c>
      <c r="C339" s="7">
        <v>46023</v>
      </c>
      <c r="D339" t="s">
        <v>50</v>
      </c>
    </row>
    <row r="340" spans="1:4" x14ac:dyDescent="0.25">
      <c r="A340" t="s">
        <v>0</v>
      </c>
      <c r="B340">
        <v>1012</v>
      </c>
      <c r="C340" s="7">
        <v>46024</v>
      </c>
      <c r="D340" t="s">
        <v>50</v>
      </c>
    </row>
    <row r="341" spans="1:4" x14ac:dyDescent="0.25">
      <c r="A341" t="s">
        <v>0</v>
      </c>
      <c r="B341">
        <v>1012</v>
      </c>
      <c r="C341" s="7">
        <v>46025</v>
      </c>
      <c r="D341" t="s">
        <v>50</v>
      </c>
    </row>
    <row r="342" spans="1:4" x14ac:dyDescent="0.25">
      <c r="A342" t="s">
        <v>0</v>
      </c>
      <c r="B342">
        <v>1012</v>
      </c>
      <c r="C342" s="7">
        <v>46027</v>
      </c>
      <c r="D342" t="s">
        <v>50</v>
      </c>
    </row>
    <row r="343" spans="1:4" x14ac:dyDescent="0.25">
      <c r="A343" t="s">
        <v>0</v>
      </c>
      <c r="B343">
        <v>1012</v>
      </c>
      <c r="C343" s="7">
        <v>46028</v>
      </c>
      <c r="D343" t="s">
        <v>50</v>
      </c>
    </row>
    <row r="344" spans="1:4" x14ac:dyDescent="0.25">
      <c r="A344" t="s">
        <v>0</v>
      </c>
      <c r="B344">
        <v>1012</v>
      </c>
      <c r="C344" s="7">
        <v>46029</v>
      </c>
      <c r="D344" t="s">
        <v>50</v>
      </c>
    </row>
    <row r="345" spans="1:4" x14ac:dyDescent="0.25">
      <c r="A345" t="s">
        <v>0</v>
      </c>
      <c r="B345">
        <v>1012</v>
      </c>
      <c r="C345" s="7">
        <v>46030</v>
      </c>
      <c r="D345" t="s">
        <v>50</v>
      </c>
    </row>
    <row r="346" spans="1:4" x14ac:dyDescent="0.25">
      <c r="A346" t="s">
        <v>0</v>
      </c>
      <c r="B346">
        <v>1012</v>
      </c>
      <c r="C346" s="7">
        <v>46031</v>
      </c>
      <c r="D346" t="s">
        <v>50</v>
      </c>
    </row>
    <row r="347" spans="1:4" x14ac:dyDescent="0.25">
      <c r="A347" t="s">
        <v>0</v>
      </c>
      <c r="B347">
        <v>1012</v>
      </c>
      <c r="C347" s="7">
        <v>46032</v>
      </c>
      <c r="D347" t="s">
        <v>50</v>
      </c>
    </row>
    <row r="348" spans="1:4" x14ac:dyDescent="0.25">
      <c r="A348" t="s">
        <v>0</v>
      </c>
      <c r="B348">
        <v>1012</v>
      </c>
      <c r="C348" s="7">
        <v>46034</v>
      </c>
      <c r="D348" t="s">
        <v>50</v>
      </c>
    </row>
    <row r="349" spans="1:4" x14ac:dyDescent="0.25">
      <c r="A349" t="s">
        <v>0</v>
      </c>
      <c r="B349">
        <v>1012</v>
      </c>
      <c r="C349" s="7">
        <v>46035</v>
      </c>
      <c r="D349" t="s">
        <v>50</v>
      </c>
    </row>
    <row r="350" spans="1:4" x14ac:dyDescent="0.25">
      <c r="A350" t="s">
        <v>0</v>
      </c>
      <c r="B350">
        <v>1012</v>
      </c>
      <c r="C350" s="7">
        <v>46036</v>
      </c>
      <c r="D350" t="s">
        <v>50</v>
      </c>
    </row>
    <row r="351" spans="1:4" x14ac:dyDescent="0.25">
      <c r="A351" t="s">
        <v>0</v>
      </c>
      <c r="B351">
        <v>1012</v>
      </c>
      <c r="C351" s="7">
        <v>46037</v>
      </c>
      <c r="D351" t="s">
        <v>50</v>
      </c>
    </row>
    <row r="352" spans="1:4" x14ac:dyDescent="0.25">
      <c r="A352" t="s">
        <v>0</v>
      </c>
      <c r="B352">
        <v>1012</v>
      </c>
      <c r="C352" s="7">
        <v>46038</v>
      </c>
      <c r="D352" t="s">
        <v>50</v>
      </c>
    </row>
    <row r="353" spans="1:4" x14ac:dyDescent="0.25">
      <c r="A353" t="s">
        <v>0</v>
      </c>
      <c r="B353">
        <v>1012</v>
      </c>
      <c r="C353" s="7">
        <v>46039</v>
      </c>
      <c r="D353" t="s">
        <v>50</v>
      </c>
    </row>
    <row r="354" spans="1:4" x14ac:dyDescent="0.25">
      <c r="A354" t="s">
        <v>0</v>
      </c>
      <c r="B354">
        <v>1012</v>
      </c>
      <c r="C354" s="7">
        <v>46041</v>
      </c>
      <c r="D354" t="s">
        <v>50</v>
      </c>
    </row>
    <row r="355" spans="1:4" x14ac:dyDescent="0.25">
      <c r="A355" t="s">
        <v>0</v>
      </c>
      <c r="B355">
        <v>1012</v>
      </c>
      <c r="C355" s="7">
        <v>46042</v>
      </c>
      <c r="D355" t="s">
        <v>50</v>
      </c>
    </row>
    <row r="356" spans="1:4" x14ac:dyDescent="0.25">
      <c r="A356" t="s">
        <v>0</v>
      </c>
      <c r="B356">
        <v>1012</v>
      </c>
      <c r="C356" s="7">
        <v>46043</v>
      </c>
      <c r="D356" t="s">
        <v>50</v>
      </c>
    </row>
    <row r="357" spans="1:4" x14ac:dyDescent="0.25">
      <c r="A357" t="s">
        <v>0</v>
      </c>
      <c r="B357">
        <v>1012</v>
      </c>
      <c r="C357" s="7">
        <v>46044</v>
      </c>
      <c r="D357" t="s">
        <v>50</v>
      </c>
    </row>
    <row r="358" spans="1:4" x14ac:dyDescent="0.25">
      <c r="A358" t="s">
        <v>0</v>
      </c>
      <c r="B358">
        <v>1012</v>
      </c>
      <c r="C358" s="7">
        <v>46045</v>
      </c>
      <c r="D358" t="s">
        <v>50</v>
      </c>
    </row>
    <row r="359" spans="1:4" x14ac:dyDescent="0.25">
      <c r="A359" t="s">
        <v>0</v>
      </c>
      <c r="B359">
        <v>1012</v>
      </c>
      <c r="C359" s="7">
        <v>46046</v>
      </c>
      <c r="D359" t="s">
        <v>50</v>
      </c>
    </row>
    <row r="360" spans="1:4" x14ac:dyDescent="0.25">
      <c r="A360" t="s">
        <v>0</v>
      </c>
      <c r="B360">
        <v>1012</v>
      </c>
      <c r="C360" s="7">
        <v>46048</v>
      </c>
      <c r="D360" t="s">
        <v>50</v>
      </c>
    </row>
    <row r="361" spans="1:4" x14ac:dyDescent="0.25">
      <c r="A361" t="s">
        <v>0</v>
      </c>
      <c r="B361">
        <v>1012</v>
      </c>
      <c r="C361" s="7">
        <v>46049</v>
      </c>
      <c r="D361" t="s">
        <v>50</v>
      </c>
    </row>
    <row r="362" spans="1:4" x14ac:dyDescent="0.25">
      <c r="A362" t="s">
        <v>0</v>
      </c>
      <c r="B362">
        <v>1012</v>
      </c>
      <c r="C362" s="7">
        <v>46050</v>
      </c>
      <c r="D362" t="s">
        <v>50</v>
      </c>
    </row>
    <row r="363" spans="1:4" x14ac:dyDescent="0.25">
      <c r="A363" t="s">
        <v>0</v>
      </c>
      <c r="B363">
        <v>1012</v>
      </c>
      <c r="C363" s="7">
        <v>46051</v>
      </c>
      <c r="D363" t="s">
        <v>50</v>
      </c>
    </row>
    <row r="364" spans="1:4" x14ac:dyDescent="0.25">
      <c r="A364" t="s">
        <v>0</v>
      </c>
      <c r="B364">
        <v>1012</v>
      </c>
      <c r="C364" s="7">
        <v>46052</v>
      </c>
      <c r="D364" t="s">
        <v>50</v>
      </c>
    </row>
    <row r="365" spans="1:4" x14ac:dyDescent="0.25">
      <c r="A365" t="s">
        <v>0</v>
      </c>
      <c r="B365">
        <v>1012</v>
      </c>
      <c r="C365" s="7">
        <v>46053</v>
      </c>
      <c r="D365" t="s">
        <v>50</v>
      </c>
    </row>
    <row r="366" spans="1:4" x14ac:dyDescent="0.25">
      <c r="A366" t="s">
        <v>0</v>
      </c>
      <c r="B366">
        <v>1013</v>
      </c>
      <c r="C366" s="7">
        <v>46023</v>
      </c>
      <c r="D366" t="s">
        <v>50</v>
      </c>
    </row>
    <row r="367" spans="1:4" x14ac:dyDescent="0.25">
      <c r="A367" t="s">
        <v>0</v>
      </c>
      <c r="B367">
        <v>1013</v>
      </c>
      <c r="C367" s="7">
        <v>46024</v>
      </c>
      <c r="D367" t="s">
        <v>50</v>
      </c>
    </row>
    <row r="368" spans="1:4" x14ac:dyDescent="0.25">
      <c r="A368" t="s">
        <v>0</v>
      </c>
      <c r="B368">
        <v>1013</v>
      </c>
      <c r="C368" s="7">
        <v>46025</v>
      </c>
      <c r="D368" t="s">
        <v>50</v>
      </c>
    </row>
    <row r="369" spans="1:4" x14ac:dyDescent="0.25">
      <c r="A369" t="s">
        <v>0</v>
      </c>
      <c r="B369">
        <v>1013</v>
      </c>
      <c r="C369" s="7">
        <v>46027</v>
      </c>
      <c r="D369" t="s">
        <v>50</v>
      </c>
    </row>
    <row r="370" spans="1:4" x14ac:dyDescent="0.25">
      <c r="A370" t="s">
        <v>0</v>
      </c>
      <c r="B370">
        <v>1013</v>
      </c>
      <c r="C370" s="7">
        <v>46028</v>
      </c>
      <c r="D370" t="s">
        <v>50</v>
      </c>
    </row>
    <row r="371" spans="1:4" x14ac:dyDescent="0.25">
      <c r="A371" t="s">
        <v>0</v>
      </c>
      <c r="B371">
        <v>1013</v>
      </c>
      <c r="C371" s="7">
        <v>46029</v>
      </c>
      <c r="D371" t="s">
        <v>50</v>
      </c>
    </row>
    <row r="372" spans="1:4" x14ac:dyDescent="0.25">
      <c r="A372" t="s">
        <v>0</v>
      </c>
      <c r="B372">
        <v>1013</v>
      </c>
      <c r="C372" s="7">
        <v>46030</v>
      </c>
      <c r="D372" t="s">
        <v>50</v>
      </c>
    </row>
    <row r="373" spans="1:4" x14ac:dyDescent="0.25">
      <c r="A373" t="s">
        <v>0</v>
      </c>
      <c r="B373">
        <v>1013</v>
      </c>
      <c r="C373" s="7">
        <v>46031</v>
      </c>
      <c r="D373" t="s">
        <v>50</v>
      </c>
    </row>
    <row r="374" spans="1:4" x14ac:dyDescent="0.25">
      <c r="A374" t="s">
        <v>0</v>
      </c>
      <c r="B374">
        <v>1013</v>
      </c>
      <c r="C374" s="7">
        <v>46032</v>
      </c>
      <c r="D374" t="s">
        <v>50</v>
      </c>
    </row>
    <row r="375" spans="1:4" x14ac:dyDescent="0.25">
      <c r="A375" t="s">
        <v>0</v>
      </c>
      <c r="B375">
        <v>1013</v>
      </c>
      <c r="C375" s="7">
        <v>46034</v>
      </c>
      <c r="D375" t="s">
        <v>50</v>
      </c>
    </row>
    <row r="376" spans="1:4" x14ac:dyDescent="0.25">
      <c r="A376" t="s">
        <v>0</v>
      </c>
      <c r="B376">
        <v>1013</v>
      </c>
      <c r="C376" s="7">
        <v>46035</v>
      </c>
      <c r="D376" t="s">
        <v>50</v>
      </c>
    </row>
    <row r="377" spans="1:4" x14ac:dyDescent="0.25">
      <c r="A377" t="s">
        <v>0</v>
      </c>
      <c r="B377">
        <v>1013</v>
      </c>
      <c r="C377" s="7">
        <v>46036</v>
      </c>
      <c r="D377" t="s">
        <v>50</v>
      </c>
    </row>
    <row r="378" spans="1:4" x14ac:dyDescent="0.25">
      <c r="A378" t="s">
        <v>0</v>
      </c>
      <c r="B378">
        <v>1013</v>
      </c>
      <c r="C378" s="7">
        <v>46037</v>
      </c>
      <c r="D378" t="s">
        <v>50</v>
      </c>
    </row>
    <row r="379" spans="1:4" x14ac:dyDescent="0.25">
      <c r="A379" t="s">
        <v>0</v>
      </c>
      <c r="B379">
        <v>1013</v>
      </c>
      <c r="C379" s="7">
        <v>46038</v>
      </c>
      <c r="D379" t="s">
        <v>50</v>
      </c>
    </row>
    <row r="380" spans="1:4" x14ac:dyDescent="0.25">
      <c r="A380" t="s">
        <v>0</v>
      </c>
      <c r="B380">
        <v>1013</v>
      </c>
      <c r="C380" s="7">
        <v>46039</v>
      </c>
      <c r="D380" t="s">
        <v>50</v>
      </c>
    </row>
    <row r="381" spans="1:4" x14ac:dyDescent="0.25">
      <c r="A381" t="s">
        <v>0</v>
      </c>
      <c r="B381">
        <v>1013</v>
      </c>
      <c r="C381" s="7">
        <v>46041</v>
      </c>
      <c r="D381" t="s">
        <v>50</v>
      </c>
    </row>
    <row r="382" spans="1:4" x14ac:dyDescent="0.25">
      <c r="A382" t="s">
        <v>0</v>
      </c>
      <c r="B382">
        <v>1013</v>
      </c>
      <c r="C382" s="7">
        <v>46042</v>
      </c>
      <c r="D382" t="s">
        <v>50</v>
      </c>
    </row>
    <row r="383" spans="1:4" x14ac:dyDescent="0.25">
      <c r="A383" t="s">
        <v>0</v>
      </c>
      <c r="B383">
        <v>1013</v>
      </c>
      <c r="C383" s="7">
        <v>46043</v>
      </c>
      <c r="D383" t="s">
        <v>50</v>
      </c>
    </row>
    <row r="384" spans="1:4" x14ac:dyDescent="0.25">
      <c r="A384" t="s">
        <v>0</v>
      </c>
      <c r="B384">
        <v>1013</v>
      </c>
      <c r="C384" s="7">
        <v>46044</v>
      </c>
      <c r="D384" t="s">
        <v>50</v>
      </c>
    </row>
    <row r="385" spans="1:4" x14ac:dyDescent="0.25">
      <c r="A385" t="s">
        <v>0</v>
      </c>
      <c r="B385">
        <v>1013</v>
      </c>
      <c r="C385" s="7">
        <v>46045</v>
      </c>
      <c r="D385" t="s">
        <v>50</v>
      </c>
    </row>
    <row r="386" spans="1:4" x14ac:dyDescent="0.25">
      <c r="A386" t="s">
        <v>0</v>
      </c>
      <c r="B386">
        <v>1013</v>
      </c>
      <c r="C386" s="7">
        <v>46046</v>
      </c>
      <c r="D386" t="s">
        <v>50</v>
      </c>
    </row>
    <row r="387" spans="1:4" x14ac:dyDescent="0.25">
      <c r="A387" t="s">
        <v>0</v>
      </c>
      <c r="B387">
        <v>1013</v>
      </c>
      <c r="C387" s="7">
        <v>46048</v>
      </c>
      <c r="D387" t="s">
        <v>50</v>
      </c>
    </row>
    <row r="388" spans="1:4" x14ac:dyDescent="0.25">
      <c r="A388" t="s">
        <v>0</v>
      </c>
      <c r="B388">
        <v>1013</v>
      </c>
      <c r="C388" s="7">
        <v>46049</v>
      </c>
      <c r="D388" t="s">
        <v>50</v>
      </c>
    </row>
    <row r="389" spans="1:4" x14ac:dyDescent="0.25">
      <c r="A389" t="s">
        <v>0</v>
      </c>
      <c r="B389">
        <v>1013</v>
      </c>
      <c r="C389" s="7">
        <v>46050</v>
      </c>
      <c r="D389" t="s">
        <v>50</v>
      </c>
    </row>
    <row r="390" spans="1:4" x14ac:dyDescent="0.25">
      <c r="A390" t="s">
        <v>0</v>
      </c>
      <c r="B390">
        <v>1013</v>
      </c>
      <c r="C390" s="7">
        <v>46051</v>
      </c>
      <c r="D390" t="s">
        <v>50</v>
      </c>
    </row>
    <row r="391" spans="1:4" x14ac:dyDescent="0.25">
      <c r="A391" t="s">
        <v>0</v>
      </c>
      <c r="B391">
        <v>1013</v>
      </c>
      <c r="C391" s="7">
        <v>46052</v>
      </c>
      <c r="D391" t="s">
        <v>50</v>
      </c>
    </row>
    <row r="392" spans="1:4" x14ac:dyDescent="0.25">
      <c r="A392" t="s">
        <v>0</v>
      </c>
      <c r="B392">
        <v>1013</v>
      </c>
      <c r="C392" s="7">
        <v>46053</v>
      </c>
      <c r="D392" t="s">
        <v>50</v>
      </c>
    </row>
    <row r="393" spans="1:4" x14ac:dyDescent="0.25">
      <c r="A393" t="s">
        <v>0</v>
      </c>
      <c r="B393">
        <v>1014</v>
      </c>
      <c r="C393" s="7">
        <v>46023</v>
      </c>
      <c r="D393" t="s">
        <v>50</v>
      </c>
    </row>
    <row r="394" spans="1:4" x14ac:dyDescent="0.25">
      <c r="A394" t="s">
        <v>0</v>
      </c>
      <c r="B394">
        <v>1014</v>
      </c>
      <c r="C394" s="7">
        <v>46024</v>
      </c>
      <c r="D394" t="s">
        <v>50</v>
      </c>
    </row>
    <row r="395" spans="1:4" x14ac:dyDescent="0.25">
      <c r="A395" t="s">
        <v>0</v>
      </c>
      <c r="B395">
        <v>1014</v>
      </c>
      <c r="C395" s="7">
        <v>46025</v>
      </c>
      <c r="D395" t="s">
        <v>50</v>
      </c>
    </row>
    <row r="396" spans="1:4" x14ac:dyDescent="0.25">
      <c r="A396" t="s">
        <v>0</v>
      </c>
      <c r="B396">
        <v>1014</v>
      </c>
      <c r="C396" s="7">
        <v>46027</v>
      </c>
      <c r="D396" t="s">
        <v>50</v>
      </c>
    </row>
    <row r="397" spans="1:4" x14ac:dyDescent="0.25">
      <c r="A397" t="s">
        <v>0</v>
      </c>
      <c r="B397">
        <v>1014</v>
      </c>
      <c r="C397" s="7">
        <v>46028</v>
      </c>
      <c r="D397" t="s">
        <v>50</v>
      </c>
    </row>
    <row r="398" spans="1:4" x14ac:dyDescent="0.25">
      <c r="A398" t="s">
        <v>0</v>
      </c>
      <c r="B398">
        <v>1014</v>
      </c>
      <c r="C398" s="7">
        <v>46029</v>
      </c>
      <c r="D398" t="s">
        <v>51</v>
      </c>
    </row>
    <row r="399" spans="1:4" x14ac:dyDescent="0.25">
      <c r="A399" t="s">
        <v>0</v>
      </c>
      <c r="B399">
        <v>1014</v>
      </c>
      <c r="C399" s="7">
        <v>46030</v>
      </c>
      <c r="D399" t="s">
        <v>50</v>
      </c>
    </row>
    <row r="400" spans="1:4" x14ac:dyDescent="0.25">
      <c r="A400" t="s">
        <v>0</v>
      </c>
      <c r="B400">
        <v>1014</v>
      </c>
      <c r="C400" s="7">
        <v>46031</v>
      </c>
      <c r="D400" t="s">
        <v>50</v>
      </c>
    </row>
    <row r="401" spans="1:4" x14ac:dyDescent="0.25">
      <c r="A401" t="s">
        <v>0</v>
      </c>
      <c r="B401">
        <v>1014</v>
      </c>
      <c r="C401" s="7">
        <v>46032</v>
      </c>
      <c r="D401" t="s">
        <v>50</v>
      </c>
    </row>
    <row r="402" spans="1:4" x14ac:dyDescent="0.25">
      <c r="A402" t="s">
        <v>0</v>
      </c>
      <c r="B402">
        <v>1014</v>
      </c>
      <c r="C402" s="7">
        <v>46034</v>
      </c>
      <c r="D402" t="s">
        <v>50</v>
      </c>
    </row>
    <row r="403" spans="1:4" x14ac:dyDescent="0.25">
      <c r="A403" t="s">
        <v>0</v>
      </c>
      <c r="B403">
        <v>1014</v>
      </c>
      <c r="C403" s="7">
        <v>46035</v>
      </c>
      <c r="D403" t="s">
        <v>50</v>
      </c>
    </row>
    <row r="404" spans="1:4" x14ac:dyDescent="0.25">
      <c r="A404" t="s">
        <v>0</v>
      </c>
      <c r="B404">
        <v>1014</v>
      </c>
      <c r="C404" s="7">
        <v>46036</v>
      </c>
      <c r="D404" t="s">
        <v>50</v>
      </c>
    </row>
    <row r="405" spans="1:4" x14ac:dyDescent="0.25">
      <c r="A405" t="s">
        <v>0</v>
      </c>
      <c r="B405">
        <v>1014</v>
      </c>
      <c r="C405" s="7">
        <v>46037</v>
      </c>
      <c r="D405" t="s">
        <v>50</v>
      </c>
    </row>
    <row r="406" spans="1:4" x14ac:dyDescent="0.25">
      <c r="A406" t="s">
        <v>0</v>
      </c>
      <c r="B406">
        <v>1014</v>
      </c>
      <c r="C406" s="7">
        <v>46038</v>
      </c>
      <c r="D406" t="s">
        <v>50</v>
      </c>
    </row>
    <row r="407" spans="1:4" x14ac:dyDescent="0.25">
      <c r="A407" t="s">
        <v>0</v>
      </c>
      <c r="B407">
        <v>1014</v>
      </c>
      <c r="C407" s="7">
        <v>46039</v>
      </c>
      <c r="D407" t="s">
        <v>50</v>
      </c>
    </row>
    <row r="408" spans="1:4" x14ac:dyDescent="0.25">
      <c r="A408" t="s">
        <v>0</v>
      </c>
      <c r="B408">
        <v>1014</v>
      </c>
      <c r="C408" s="7">
        <v>46041</v>
      </c>
      <c r="D408" t="s">
        <v>50</v>
      </c>
    </row>
    <row r="409" spans="1:4" x14ac:dyDescent="0.25">
      <c r="A409" t="s">
        <v>0</v>
      </c>
      <c r="B409">
        <v>1014</v>
      </c>
      <c r="C409" s="7">
        <v>46042</v>
      </c>
      <c r="D409" t="s">
        <v>50</v>
      </c>
    </row>
    <row r="410" spans="1:4" x14ac:dyDescent="0.25">
      <c r="A410" t="s">
        <v>0</v>
      </c>
      <c r="B410">
        <v>1014</v>
      </c>
      <c r="C410" s="7">
        <v>46043</v>
      </c>
      <c r="D410" t="s">
        <v>50</v>
      </c>
    </row>
    <row r="411" spans="1:4" x14ac:dyDescent="0.25">
      <c r="A411" t="s">
        <v>0</v>
      </c>
      <c r="B411">
        <v>1014</v>
      </c>
      <c r="C411" s="7">
        <v>46044</v>
      </c>
      <c r="D411" t="s">
        <v>50</v>
      </c>
    </row>
    <row r="412" spans="1:4" x14ac:dyDescent="0.25">
      <c r="A412" t="s">
        <v>0</v>
      </c>
      <c r="B412">
        <v>1014</v>
      </c>
      <c r="C412" s="7">
        <v>46045</v>
      </c>
      <c r="D412" t="s">
        <v>50</v>
      </c>
    </row>
    <row r="413" spans="1:4" x14ac:dyDescent="0.25">
      <c r="A413" t="s">
        <v>0</v>
      </c>
      <c r="B413">
        <v>1014</v>
      </c>
      <c r="C413" s="7">
        <v>46046</v>
      </c>
      <c r="D413" t="s">
        <v>50</v>
      </c>
    </row>
    <row r="414" spans="1:4" x14ac:dyDescent="0.25">
      <c r="A414" t="s">
        <v>0</v>
      </c>
      <c r="B414">
        <v>1014</v>
      </c>
      <c r="C414" s="7">
        <v>46048</v>
      </c>
      <c r="D414" t="s">
        <v>50</v>
      </c>
    </row>
    <row r="415" spans="1:4" x14ac:dyDescent="0.25">
      <c r="A415" t="s">
        <v>0</v>
      </c>
      <c r="B415">
        <v>1014</v>
      </c>
      <c r="C415" s="7">
        <v>46049</v>
      </c>
      <c r="D415" t="s">
        <v>50</v>
      </c>
    </row>
    <row r="416" spans="1:4" x14ac:dyDescent="0.25">
      <c r="A416" t="s">
        <v>0</v>
      </c>
      <c r="B416">
        <v>1014</v>
      </c>
      <c r="C416" s="7">
        <v>46050</v>
      </c>
      <c r="D416" t="s">
        <v>50</v>
      </c>
    </row>
    <row r="417" spans="1:4" x14ac:dyDescent="0.25">
      <c r="A417" t="s">
        <v>0</v>
      </c>
      <c r="B417">
        <v>1014</v>
      </c>
      <c r="C417" s="7">
        <v>46051</v>
      </c>
      <c r="D417" t="s">
        <v>50</v>
      </c>
    </row>
    <row r="418" spans="1:4" x14ac:dyDescent="0.25">
      <c r="A418" t="s">
        <v>0</v>
      </c>
      <c r="B418">
        <v>1014</v>
      </c>
      <c r="C418" s="7">
        <v>46052</v>
      </c>
      <c r="D418" t="s">
        <v>50</v>
      </c>
    </row>
    <row r="419" spans="1:4" x14ac:dyDescent="0.25">
      <c r="A419" t="s">
        <v>0</v>
      </c>
      <c r="B419">
        <v>1014</v>
      </c>
      <c r="C419" s="7">
        <v>46053</v>
      </c>
      <c r="D419" t="s">
        <v>50</v>
      </c>
    </row>
    <row r="420" spans="1:4" x14ac:dyDescent="0.25">
      <c r="A420" t="s">
        <v>0</v>
      </c>
      <c r="B420">
        <v>1015</v>
      </c>
      <c r="C420" s="7">
        <v>46023</v>
      </c>
      <c r="D420" t="s">
        <v>50</v>
      </c>
    </row>
    <row r="421" spans="1:4" x14ac:dyDescent="0.25">
      <c r="A421" t="s">
        <v>0</v>
      </c>
      <c r="B421">
        <v>1015</v>
      </c>
      <c r="C421" s="7">
        <v>46024</v>
      </c>
      <c r="D421" t="s">
        <v>50</v>
      </c>
    </row>
    <row r="422" spans="1:4" x14ac:dyDescent="0.25">
      <c r="A422" t="s">
        <v>0</v>
      </c>
      <c r="B422">
        <v>1015</v>
      </c>
      <c r="C422" s="7">
        <v>46025</v>
      </c>
      <c r="D422" t="s">
        <v>50</v>
      </c>
    </row>
    <row r="423" spans="1:4" x14ac:dyDescent="0.25">
      <c r="A423" t="s">
        <v>0</v>
      </c>
      <c r="B423">
        <v>1015</v>
      </c>
      <c r="C423" s="7">
        <v>46027</v>
      </c>
      <c r="D423" t="s">
        <v>50</v>
      </c>
    </row>
    <row r="424" spans="1:4" x14ac:dyDescent="0.25">
      <c r="A424" t="s">
        <v>0</v>
      </c>
      <c r="B424">
        <v>1015</v>
      </c>
      <c r="C424" s="7">
        <v>46028</v>
      </c>
      <c r="D424" t="s">
        <v>50</v>
      </c>
    </row>
    <row r="425" spans="1:4" x14ac:dyDescent="0.25">
      <c r="A425" t="s">
        <v>0</v>
      </c>
      <c r="B425">
        <v>1015</v>
      </c>
      <c r="C425" s="7">
        <v>46029</v>
      </c>
      <c r="D425" t="s">
        <v>50</v>
      </c>
    </row>
    <row r="426" spans="1:4" x14ac:dyDescent="0.25">
      <c r="A426" t="s">
        <v>0</v>
      </c>
      <c r="B426">
        <v>1015</v>
      </c>
      <c r="C426" s="7">
        <v>46030</v>
      </c>
      <c r="D426" t="s">
        <v>50</v>
      </c>
    </row>
    <row r="427" spans="1:4" x14ac:dyDescent="0.25">
      <c r="A427" t="s">
        <v>0</v>
      </c>
      <c r="B427">
        <v>1015</v>
      </c>
      <c r="C427" s="7">
        <v>46031</v>
      </c>
      <c r="D427" t="s">
        <v>50</v>
      </c>
    </row>
    <row r="428" spans="1:4" x14ac:dyDescent="0.25">
      <c r="A428" t="s">
        <v>0</v>
      </c>
      <c r="B428">
        <v>1015</v>
      </c>
      <c r="C428" s="7">
        <v>46032</v>
      </c>
      <c r="D428" t="s">
        <v>50</v>
      </c>
    </row>
    <row r="429" spans="1:4" x14ac:dyDescent="0.25">
      <c r="A429" t="s">
        <v>0</v>
      </c>
      <c r="B429">
        <v>1015</v>
      </c>
      <c r="C429" s="7">
        <v>46034</v>
      </c>
      <c r="D429" t="s">
        <v>50</v>
      </c>
    </row>
    <row r="430" spans="1:4" x14ac:dyDescent="0.25">
      <c r="A430" t="s">
        <v>0</v>
      </c>
      <c r="B430">
        <v>1015</v>
      </c>
      <c r="C430" s="7">
        <v>46035</v>
      </c>
      <c r="D430" t="s">
        <v>50</v>
      </c>
    </row>
    <row r="431" spans="1:4" x14ac:dyDescent="0.25">
      <c r="A431" t="s">
        <v>0</v>
      </c>
      <c r="B431">
        <v>1015</v>
      </c>
      <c r="C431" s="7">
        <v>46036</v>
      </c>
      <c r="D431" t="s">
        <v>51</v>
      </c>
    </row>
    <row r="432" spans="1:4" x14ac:dyDescent="0.25">
      <c r="A432" t="s">
        <v>0</v>
      </c>
      <c r="B432">
        <v>1015</v>
      </c>
      <c r="C432" s="7">
        <v>46037</v>
      </c>
      <c r="D432" t="s">
        <v>50</v>
      </c>
    </row>
    <row r="433" spans="1:4" x14ac:dyDescent="0.25">
      <c r="A433" t="s">
        <v>0</v>
      </c>
      <c r="B433">
        <v>1015</v>
      </c>
      <c r="C433" s="7">
        <v>46038</v>
      </c>
      <c r="D433" t="s">
        <v>50</v>
      </c>
    </row>
    <row r="434" spans="1:4" x14ac:dyDescent="0.25">
      <c r="A434" t="s">
        <v>0</v>
      </c>
      <c r="B434">
        <v>1015</v>
      </c>
      <c r="C434" s="7">
        <v>46039</v>
      </c>
      <c r="D434" t="s">
        <v>50</v>
      </c>
    </row>
    <row r="435" spans="1:4" x14ac:dyDescent="0.25">
      <c r="A435" t="s">
        <v>0</v>
      </c>
      <c r="B435">
        <v>1015</v>
      </c>
      <c r="C435" s="7">
        <v>46041</v>
      </c>
      <c r="D435" t="s">
        <v>50</v>
      </c>
    </row>
    <row r="436" spans="1:4" x14ac:dyDescent="0.25">
      <c r="A436" t="s">
        <v>0</v>
      </c>
      <c r="B436">
        <v>1015</v>
      </c>
      <c r="C436" s="7">
        <v>46042</v>
      </c>
      <c r="D436" t="s">
        <v>50</v>
      </c>
    </row>
    <row r="437" spans="1:4" x14ac:dyDescent="0.25">
      <c r="A437" t="s">
        <v>0</v>
      </c>
      <c r="B437">
        <v>1015</v>
      </c>
      <c r="C437" s="7">
        <v>46043</v>
      </c>
      <c r="D437" t="s">
        <v>50</v>
      </c>
    </row>
    <row r="438" spans="1:4" x14ac:dyDescent="0.25">
      <c r="A438" t="s">
        <v>0</v>
      </c>
      <c r="B438">
        <v>1015</v>
      </c>
      <c r="C438" s="7">
        <v>46044</v>
      </c>
      <c r="D438" t="s">
        <v>50</v>
      </c>
    </row>
    <row r="439" spans="1:4" x14ac:dyDescent="0.25">
      <c r="A439" t="s">
        <v>0</v>
      </c>
      <c r="B439">
        <v>1015</v>
      </c>
      <c r="C439" s="7">
        <v>46045</v>
      </c>
      <c r="D439" t="s">
        <v>50</v>
      </c>
    </row>
    <row r="440" spans="1:4" x14ac:dyDescent="0.25">
      <c r="A440" t="s">
        <v>0</v>
      </c>
      <c r="B440">
        <v>1015</v>
      </c>
      <c r="C440" s="7">
        <v>46046</v>
      </c>
      <c r="D440" t="s">
        <v>50</v>
      </c>
    </row>
    <row r="441" spans="1:4" x14ac:dyDescent="0.25">
      <c r="A441" t="s">
        <v>0</v>
      </c>
      <c r="B441">
        <v>1015</v>
      </c>
      <c r="C441" s="7">
        <v>46048</v>
      </c>
      <c r="D441" t="s">
        <v>50</v>
      </c>
    </row>
    <row r="442" spans="1:4" x14ac:dyDescent="0.25">
      <c r="A442" t="s">
        <v>0</v>
      </c>
      <c r="B442">
        <v>1015</v>
      </c>
      <c r="C442" s="7">
        <v>46049</v>
      </c>
      <c r="D442" t="s">
        <v>50</v>
      </c>
    </row>
    <row r="443" spans="1:4" x14ac:dyDescent="0.25">
      <c r="A443" t="s">
        <v>0</v>
      </c>
      <c r="B443">
        <v>1015</v>
      </c>
      <c r="C443" s="7">
        <v>46050</v>
      </c>
      <c r="D443" t="s">
        <v>50</v>
      </c>
    </row>
    <row r="444" spans="1:4" x14ac:dyDescent="0.25">
      <c r="A444" t="s">
        <v>0</v>
      </c>
      <c r="B444">
        <v>1015</v>
      </c>
      <c r="C444" s="7">
        <v>46051</v>
      </c>
      <c r="D444" t="s">
        <v>51</v>
      </c>
    </row>
    <row r="445" spans="1:4" x14ac:dyDescent="0.25">
      <c r="A445" t="s">
        <v>0</v>
      </c>
      <c r="B445">
        <v>1015</v>
      </c>
      <c r="C445" s="7">
        <v>46052</v>
      </c>
      <c r="D445" t="s">
        <v>50</v>
      </c>
    </row>
    <row r="446" spans="1:4" x14ac:dyDescent="0.25">
      <c r="A446" t="s">
        <v>0</v>
      </c>
      <c r="B446">
        <v>1015</v>
      </c>
      <c r="C446" s="7">
        <v>46053</v>
      </c>
      <c r="D446" t="s">
        <v>50</v>
      </c>
    </row>
    <row r="447" spans="1:4" x14ac:dyDescent="0.25">
      <c r="A447" t="s">
        <v>0</v>
      </c>
      <c r="B447">
        <v>1016</v>
      </c>
      <c r="C447" s="7">
        <v>46023</v>
      </c>
      <c r="D447" t="s">
        <v>50</v>
      </c>
    </row>
    <row r="448" spans="1:4" x14ac:dyDescent="0.25">
      <c r="A448" t="s">
        <v>0</v>
      </c>
      <c r="B448">
        <v>1016</v>
      </c>
      <c r="C448" s="7">
        <v>46024</v>
      </c>
      <c r="D448" t="s">
        <v>50</v>
      </c>
    </row>
    <row r="449" spans="1:4" x14ac:dyDescent="0.25">
      <c r="A449" t="s">
        <v>0</v>
      </c>
      <c r="B449">
        <v>1016</v>
      </c>
      <c r="C449" s="7">
        <v>46025</v>
      </c>
      <c r="D449" t="s">
        <v>50</v>
      </c>
    </row>
    <row r="450" spans="1:4" x14ac:dyDescent="0.25">
      <c r="A450" t="s">
        <v>0</v>
      </c>
      <c r="B450">
        <v>1016</v>
      </c>
      <c r="C450" s="7">
        <v>46027</v>
      </c>
      <c r="D450" t="s">
        <v>50</v>
      </c>
    </row>
    <row r="451" spans="1:4" x14ac:dyDescent="0.25">
      <c r="A451" t="s">
        <v>0</v>
      </c>
      <c r="B451">
        <v>1016</v>
      </c>
      <c r="C451" s="7">
        <v>46028</v>
      </c>
      <c r="D451" t="s">
        <v>50</v>
      </c>
    </row>
    <row r="452" spans="1:4" x14ac:dyDescent="0.25">
      <c r="A452" t="s">
        <v>0</v>
      </c>
      <c r="B452">
        <v>1016</v>
      </c>
      <c r="C452" s="7">
        <v>46029</v>
      </c>
      <c r="D452" t="s">
        <v>50</v>
      </c>
    </row>
    <row r="453" spans="1:4" x14ac:dyDescent="0.25">
      <c r="A453" t="s">
        <v>0</v>
      </c>
      <c r="B453">
        <v>1016</v>
      </c>
      <c r="C453" s="7">
        <v>46030</v>
      </c>
      <c r="D453" t="s">
        <v>50</v>
      </c>
    </row>
    <row r="454" spans="1:4" x14ac:dyDescent="0.25">
      <c r="A454" t="s">
        <v>0</v>
      </c>
      <c r="B454">
        <v>1016</v>
      </c>
      <c r="C454" s="7">
        <v>46031</v>
      </c>
      <c r="D454" t="s">
        <v>50</v>
      </c>
    </row>
    <row r="455" spans="1:4" x14ac:dyDescent="0.25">
      <c r="A455" t="s">
        <v>0</v>
      </c>
      <c r="B455">
        <v>1016</v>
      </c>
      <c r="C455" s="7">
        <v>46032</v>
      </c>
      <c r="D455" t="s">
        <v>50</v>
      </c>
    </row>
    <row r="456" spans="1:4" x14ac:dyDescent="0.25">
      <c r="A456" t="s">
        <v>0</v>
      </c>
      <c r="B456">
        <v>1016</v>
      </c>
      <c r="C456" s="7">
        <v>46034</v>
      </c>
      <c r="D456" t="s">
        <v>50</v>
      </c>
    </row>
    <row r="457" spans="1:4" x14ac:dyDescent="0.25">
      <c r="A457" t="s">
        <v>0</v>
      </c>
      <c r="B457">
        <v>1016</v>
      </c>
      <c r="C457" s="7">
        <v>46035</v>
      </c>
      <c r="D457" t="s">
        <v>50</v>
      </c>
    </row>
    <row r="458" spans="1:4" x14ac:dyDescent="0.25">
      <c r="A458" t="s">
        <v>0</v>
      </c>
      <c r="B458">
        <v>1016</v>
      </c>
      <c r="C458" s="7">
        <v>46036</v>
      </c>
      <c r="D458" t="s">
        <v>50</v>
      </c>
    </row>
    <row r="459" spans="1:4" x14ac:dyDescent="0.25">
      <c r="A459" t="s">
        <v>0</v>
      </c>
      <c r="B459">
        <v>1016</v>
      </c>
      <c r="C459" s="7">
        <v>46037</v>
      </c>
      <c r="D459" t="s">
        <v>50</v>
      </c>
    </row>
    <row r="460" spans="1:4" x14ac:dyDescent="0.25">
      <c r="A460" t="s">
        <v>0</v>
      </c>
      <c r="B460">
        <v>1016</v>
      </c>
      <c r="C460" s="7">
        <v>46038</v>
      </c>
      <c r="D460" t="s">
        <v>50</v>
      </c>
    </row>
    <row r="461" spans="1:4" x14ac:dyDescent="0.25">
      <c r="A461" t="s">
        <v>0</v>
      </c>
      <c r="B461">
        <v>1016</v>
      </c>
      <c r="C461" s="7">
        <v>46039</v>
      </c>
      <c r="D461" t="s">
        <v>50</v>
      </c>
    </row>
    <row r="462" spans="1:4" x14ac:dyDescent="0.25">
      <c r="A462" t="s">
        <v>0</v>
      </c>
      <c r="B462">
        <v>1016</v>
      </c>
      <c r="C462" s="7">
        <v>46041</v>
      </c>
      <c r="D462" t="s">
        <v>50</v>
      </c>
    </row>
    <row r="463" spans="1:4" x14ac:dyDescent="0.25">
      <c r="A463" t="s">
        <v>0</v>
      </c>
      <c r="B463">
        <v>1016</v>
      </c>
      <c r="C463" s="7">
        <v>46042</v>
      </c>
      <c r="D463" t="s">
        <v>50</v>
      </c>
    </row>
    <row r="464" spans="1:4" x14ac:dyDescent="0.25">
      <c r="A464" t="s">
        <v>0</v>
      </c>
      <c r="B464">
        <v>1016</v>
      </c>
      <c r="C464" s="7">
        <v>46043</v>
      </c>
      <c r="D464" t="s">
        <v>50</v>
      </c>
    </row>
    <row r="465" spans="1:4" x14ac:dyDescent="0.25">
      <c r="A465" t="s">
        <v>0</v>
      </c>
      <c r="B465">
        <v>1016</v>
      </c>
      <c r="C465" s="7">
        <v>46044</v>
      </c>
      <c r="D465" t="s">
        <v>50</v>
      </c>
    </row>
    <row r="466" spans="1:4" x14ac:dyDescent="0.25">
      <c r="A466" t="s">
        <v>0</v>
      </c>
      <c r="B466">
        <v>1016</v>
      </c>
      <c r="C466" s="7">
        <v>46045</v>
      </c>
      <c r="D466" t="s">
        <v>50</v>
      </c>
    </row>
    <row r="467" spans="1:4" x14ac:dyDescent="0.25">
      <c r="A467" t="s">
        <v>0</v>
      </c>
      <c r="B467">
        <v>1016</v>
      </c>
      <c r="C467" s="7">
        <v>46046</v>
      </c>
      <c r="D467" t="s">
        <v>50</v>
      </c>
    </row>
    <row r="468" spans="1:4" x14ac:dyDescent="0.25">
      <c r="A468" t="s">
        <v>0</v>
      </c>
      <c r="B468">
        <v>1016</v>
      </c>
      <c r="C468" s="7">
        <v>46048</v>
      </c>
      <c r="D468" t="s">
        <v>50</v>
      </c>
    </row>
    <row r="469" spans="1:4" x14ac:dyDescent="0.25">
      <c r="A469" t="s">
        <v>0</v>
      </c>
      <c r="B469">
        <v>1016</v>
      </c>
      <c r="C469" s="7">
        <v>46049</v>
      </c>
      <c r="D469" t="s">
        <v>50</v>
      </c>
    </row>
    <row r="470" spans="1:4" x14ac:dyDescent="0.25">
      <c r="A470" t="s">
        <v>0</v>
      </c>
      <c r="B470">
        <v>1016</v>
      </c>
      <c r="C470" s="7">
        <v>46050</v>
      </c>
      <c r="D470" t="s">
        <v>50</v>
      </c>
    </row>
    <row r="471" spans="1:4" x14ac:dyDescent="0.25">
      <c r="A471" t="s">
        <v>0</v>
      </c>
      <c r="B471">
        <v>1016</v>
      </c>
      <c r="C471" s="7">
        <v>46051</v>
      </c>
      <c r="D471" t="s">
        <v>50</v>
      </c>
    </row>
    <row r="472" spans="1:4" x14ac:dyDescent="0.25">
      <c r="A472" t="s">
        <v>0</v>
      </c>
      <c r="B472">
        <v>1016</v>
      </c>
      <c r="C472" s="7">
        <v>46052</v>
      </c>
      <c r="D472" t="s">
        <v>50</v>
      </c>
    </row>
    <row r="473" spans="1:4" x14ac:dyDescent="0.25">
      <c r="A473" t="s">
        <v>0</v>
      </c>
      <c r="B473">
        <v>1016</v>
      </c>
      <c r="C473" s="7">
        <v>46053</v>
      </c>
      <c r="D473" t="s">
        <v>50</v>
      </c>
    </row>
    <row r="474" spans="1:4" x14ac:dyDescent="0.25">
      <c r="A474" t="s">
        <v>0</v>
      </c>
      <c r="B474">
        <v>1017</v>
      </c>
      <c r="C474" s="7">
        <v>46023</v>
      </c>
      <c r="D474" t="s">
        <v>50</v>
      </c>
    </row>
    <row r="475" spans="1:4" x14ac:dyDescent="0.25">
      <c r="A475" t="s">
        <v>0</v>
      </c>
      <c r="B475">
        <v>1017</v>
      </c>
      <c r="C475" s="7">
        <v>46024</v>
      </c>
      <c r="D475" t="s">
        <v>50</v>
      </c>
    </row>
    <row r="476" spans="1:4" x14ac:dyDescent="0.25">
      <c r="A476" t="s">
        <v>0</v>
      </c>
      <c r="B476">
        <v>1017</v>
      </c>
      <c r="C476" s="7">
        <v>46025</v>
      </c>
      <c r="D476" t="s">
        <v>50</v>
      </c>
    </row>
    <row r="477" spans="1:4" x14ac:dyDescent="0.25">
      <c r="A477" t="s">
        <v>0</v>
      </c>
      <c r="B477">
        <v>1017</v>
      </c>
      <c r="C477" s="7">
        <v>46027</v>
      </c>
      <c r="D477" t="s">
        <v>50</v>
      </c>
    </row>
    <row r="478" spans="1:4" x14ac:dyDescent="0.25">
      <c r="A478" t="s">
        <v>0</v>
      </c>
      <c r="B478">
        <v>1017</v>
      </c>
      <c r="C478" s="7">
        <v>46028</v>
      </c>
      <c r="D478" t="s">
        <v>50</v>
      </c>
    </row>
    <row r="479" spans="1:4" x14ac:dyDescent="0.25">
      <c r="A479" t="s">
        <v>0</v>
      </c>
      <c r="B479">
        <v>1017</v>
      </c>
      <c r="C479" s="7">
        <v>46029</v>
      </c>
      <c r="D479" t="s">
        <v>50</v>
      </c>
    </row>
    <row r="480" spans="1:4" x14ac:dyDescent="0.25">
      <c r="A480" t="s">
        <v>0</v>
      </c>
      <c r="B480">
        <v>1017</v>
      </c>
      <c r="C480" s="7">
        <v>46030</v>
      </c>
      <c r="D480" t="s">
        <v>50</v>
      </c>
    </row>
    <row r="481" spans="1:4" x14ac:dyDescent="0.25">
      <c r="A481" t="s">
        <v>0</v>
      </c>
      <c r="B481">
        <v>1017</v>
      </c>
      <c r="C481" s="7">
        <v>46031</v>
      </c>
      <c r="D481" t="s">
        <v>50</v>
      </c>
    </row>
    <row r="482" spans="1:4" x14ac:dyDescent="0.25">
      <c r="A482" t="s">
        <v>0</v>
      </c>
      <c r="B482">
        <v>1017</v>
      </c>
      <c r="C482" s="7">
        <v>46032</v>
      </c>
      <c r="D482" t="s">
        <v>50</v>
      </c>
    </row>
    <row r="483" spans="1:4" x14ac:dyDescent="0.25">
      <c r="A483" t="s">
        <v>0</v>
      </c>
      <c r="B483">
        <v>1017</v>
      </c>
      <c r="C483" s="7">
        <v>46034</v>
      </c>
      <c r="D483" t="s">
        <v>50</v>
      </c>
    </row>
    <row r="484" spans="1:4" x14ac:dyDescent="0.25">
      <c r="A484" t="s">
        <v>0</v>
      </c>
      <c r="B484">
        <v>1017</v>
      </c>
      <c r="C484" s="7">
        <v>46035</v>
      </c>
      <c r="D484" t="s">
        <v>50</v>
      </c>
    </row>
    <row r="485" spans="1:4" x14ac:dyDescent="0.25">
      <c r="A485" t="s">
        <v>0</v>
      </c>
      <c r="B485">
        <v>1017</v>
      </c>
      <c r="C485" s="7">
        <v>46036</v>
      </c>
      <c r="D485" t="s">
        <v>50</v>
      </c>
    </row>
    <row r="486" spans="1:4" x14ac:dyDescent="0.25">
      <c r="A486" t="s">
        <v>0</v>
      </c>
      <c r="B486">
        <v>1017</v>
      </c>
      <c r="C486" s="7">
        <v>46037</v>
      </c>
      <c r="D486" t="s">
        <v>50</v>
      </c>
    </row>
    <row r="487" spans="1:4" x14ac:dyDescent="0.25">
      <c r="A487" t="s">
        <v>0</v>
      </c>
      <c r="B487">
        <v>1017</v>
      </c>
      <c r="C487" s="7">
        <v>46038</v>
      </c>
      <c r="D487" t="s">
        <v>50</v>
      </c>
    </row>
    <row r="488" spans="1:4" x14ac:dyDescent="0.25">
      <c r="A488" t="s">
        <v>0</v>
      </c>
      <c r="B488">
        <v>1017</v>
      </c>
      <c r="C488" s="7">
        <v>46039</v>
      </c>
      <c r="D488" t="s">
        <v>50</v>
      </c>
    </row>
    <row r="489" spans="1:4" x14ac:dyDescent="0.25">
      <c r="A489" t="s">
        <v>0</v>
      </c>
      <c r="B489">
        <v>1017</v>
      </c>
      <c r="C489" s="7">
        <v>46041</v>
      </c>
      <c r="D489" t="s">
        <v>50</v>
      </c>
    </row>
    <row r="490" spans="1:4" x14ac:dyDescent="0.25">
      <c r="A490" t="s">
        <v>0</v>
      </c>
      <c r="B490">
        <v>1017</v>
      </c>
      <c r="C490" s="7">
        <v>46042</v>
      </c>
      <c r="D490" t="s">
        <v>50</v>
      </c>
    </row>
    <row r="491" spans="1:4" x14ac:dyDescent="0.25">
      <c r="A491" t="s">
        <v>0</v>
      </c>
      <c r="B491">
        <v>1017</v>
      </c>
      <c r="C491" s="7">
        <v>46043</v>
      </c>
      <c r="D491" t="s">
        <v>50</v>
      </c>
    </row>
    <row r="492" spans="1:4" x14ac:dyDescent="0.25">
      <c r="A492" t="s">
        <v>0</v>
      </c>
      <c r="B492">
        <v>1017</v>
      </c>
      <c r="C492" s="7">
        <v>46044</v>
      </c>
      <c r="D492" t="s">
        <v>50</v>
      </c>
    </row>
    <row r="493" spans="1:4" x14ac:dyDescent="0.25">
      <c r="A493" t="s">
        <v>0</v>
      </c>
      <c r="B493">
        <v>1017</v>
      </c>
      <c r="C493" s="7">
        <v>46045</v>
      </c>
      <c r="D493" t="s">
        <v>50</v>
      </c>
    </row>
    <row r="494" spans="1:4" x14ac:dyDescent="0.25">
      <c r="A494" t="s">
        <v>0</v>
      </c>
      <c r="B494">
        <v>1017</v>
      </c>
      <c r="C494" s="7">
        <v>46046</v>
      </c>
      <c r="D494" t="s">
        <v>50</v>
      </c>
    </row>
    <row r="495" spans="1:4" x14ac:dyDescent="0.25">
      <c r="A495" t="s">
        <v>0</v>
      </c>
      <c r="B495">
        <v>1017</v>
      </c>
      <c r="C495" s="7">
        <v>46048</v>
      </c>
      <c r="D495" t="s">
        <v>50</v>
      </c>
    </row>
    <row r="496" spans="1:4" x14ac:dyDescent="0.25">
      <c r="A496" t="s">
        <v>0</v>
      </c>
      <c r="B496">
        <v>1017</v>
      </c>
      <c r="C496" s="7">
        <v>46049</v>
      </c>
      <c r="D496" t="s">
        <v>50</v>
      </c>
    </row>
    <row r="497" spans="1:4" x14ac:dyDescent="0.25">
      <c r="A497" t="s">
        <v>0</v>
      </c>
      <c r="B497">
        <v>1017</v>
      </c>
      <c r="C497" s="7">
        <v>46050</v>
      </c>
      <c r="D497" t="s">
        <v>50</v>
      </c>
    </row>
    <row r="498" spans="1:4" x14ac:dyDescent="0.25">
      <c r="A498" t="s">
        <v>0</v>
      </c>
      <c r="B498">
        <v>1017</v>
      </c>
      <c r="C498" s="7">
        <v>46051</v>
      </c>
      <c r="D498" t="s">
        <v>50</v>
      </c>
    </row>
    <row r="499" spans="1:4" x14ac:dyDescent="0.25">
      <c r="A499" t="s">
        <v>0</v>
      </c>
      <c r="B499">
        <v>1017</v>
      </c>
      <c r="C499" s="7">
        <v>46052</v>
      </c>
      <c r="D499" t="s">
        <v>50</v>
      </c>
    </row>
    <row r="500" spans="1:4" x14ac:dyDescent="0.25">
      <c r="A500" t="s">
        <v>0</v>
      </c>
      <c r="B500">
        <v>1017</v>
      </c>
      <c r="C500" s="7">
        <v>46053</v>
      </c>
      <c r="D500" t="s">
        <v>50</v>
      </c>
    </row>
    <row r="501" spans="1:4" x14ac:dyDescent="0.25">
      <c r="A501" t="s">
        <v>0</v>
      </c>
      <c r="B501">
        <v>1018</v>
      </c>
      <c r="C501" s="7">
        <v>46023</v>
      </c>
      <c r="D501" t="s">
        <v>50</v>
      </c>
    </row>
    <row r="502" spans="1:4" x14ac:dyDescent="0.25">
      <c r="A502" t="s">
        <v>0</v>
      </c>
      <c r="B502">
        <v>1018</v>
      </c>
      <c r="C502" s="7">
        <v>46024</v>
      </c>
      <c r="D502" t="s">
        <v>50</v>
      </c>
    </row>
    <row r="503" spans="1:4" x14ac:dyDescent="0.25">
      <c r="A503" t="s">
        <v>0</v>
      </c>
      <c r="B503">
        <v>1018</v>
      </c>
      <c r="C503" s="7">
        <v>46025</v>
      </c>
      <c r="D503" t="s">
        <v>50</v>
      </c>
    </row>
    <row r="504" spans="1:4" x14ac:dyDescent="0.25">
      <c r="A504" t="s">
        <v>0</v>
      </c>
      <c r="B504">
        <v>1018</v>
      </c>
      <c r="C504" s="7">
        <v>46027</v>
      </c>
      <c r="D504" t="s">
        <v>50</v>
      </c>
    </row>
    <row r="505" spans="1:4" x14ac:dyDescent="0.25">
      <c r="A505" t="s">
        <v>0</v>
      </c>
      <c r="B505">
        <v>1018</v>
      </c>
      <c r="C505" s="7">
        <v>46028</v>
      </c>
      <c r="D505" t="s">
        <v>50</v>
      </c>
    </row>
    <row r="506" spans="1:4" x14ac:dyDescent="0.25">
      <c r="A506" t="s">
        <v>0</v>
      </c>
      <c r="B506">
        <v>1018</v>
      </c>
      <c r="C506" s="7">
        <v>46029</v>
      </c>
      <c r="D506" t="s">
        <v>50</v>
      </c>
    </row>
    <row r="507" spans="1:4" x14ac:dyDescent="0.25">
      <c r="A507" t="s">
        <v>0</v>
      </c>
      <c r="B507">
        <v>1018</v>
      </c>
      <c r="C507" s="7">
        <v>46030</v>
      </c>
      <c r="D507" t="s">
        <v>50</v>
      </c>
    </row>
    <row r="508" spans="1:4" x14ac:dyDescent="0.25">
      <c r="A508" t="s">
        <v>0</v>
      </c>
      <c r="B508">
        <v>1018</v>
      </c>
      <c r="C508" s="7">
        <v>46031</v>
      </c>
      <c r="D508" t="s">
        <v>50</v>
      </c>
    </row>
    <row r="509" spans="1:4" x14ac:dyDescent="0.25">
      <c r="A509" t="s">
        <v>0</v>
      </c>
      <c r="B509">
        <v>1018</v>
      </c>
      <c r="C509" s="7">
        <v>46032</v>
      </c>
      <c r="D509" t="s">
        <v>50</v>
      </c>
    </row>
    <row r="510" spans="1:4" x14ac:dyDescent="0.25">
      <c r="A510" t="s">
        <v>0</v>
      </c>
      <c r="B510">
        <v>1018</v>
      </c>
      <c r="C510" s="7">
        <v>46034</v>
      </c>
      <c r="D510" t="s">
        <v>50</v>
      </c>
    </row>
    <row r="511" spans="1:4" x14ac:dyDescent="0.25">
      <c r="A511" t="s">
        <v>0</v>
      </c>
      <c r="B511">
        <v>1018</v>
      </c>
      <c r="C511" s="7">
        <v>46035</v>
      </c>
      <c r="D511" t="s">
        <v>50</v>
      </c>
    </row>
    <row r="512" spans="1:4" x14ac:dyDescent="0.25">
      <c r="A512" t="s">
        <v>0</v>
      </c>
      <c r="B512">
        <v>1018</v>
      </c>
      <c r="C512" s="7">
        <v>46036</v>
      </c>
      <c r="D512" t="s">
        <v>50</v>
      </c>
    </row>
    <row r="513" spans="1:4" x14ac:dyDescent="0.25">
      <c r="A513" t="s">
        <v>0</v>
      </c>
      <c r="B513">
        <v>1018</v>
      </c>
      <c r="C513" s="7">
        <v>46037</v>
      </c>
      <c r="D513" t="s">
        <v>50</v>
      </c>
    </row>
    <row r="514" spans="1:4" x14ac:dyDescent="0.25">
      <c r="A514" t="s">
        <v>0</v>
      </c>
      <c r="B514">
        <v>1018</v>
      </c>
      <c r="C514" s="7">
        <v>46038</v>
      </c>
      <c r="D514" t="s">
        <v>50</v>
      </c>
    </row>
    <row r="515" spans="1:4" x14ac:dyDescent="0.25">
      <c r="A515" t="s">
        <v>0</v>
      </c>
      <c r="B515">
        <v>1018</v>
      </c>
      <c r="C515" s="7">
        <v>46039</v>
      </c>
      <c r="D515" t="s">
        <v>50</v>
      </c>
    </row>
    <row r="516" spans="1:4" x14ac:dyDescent="0.25">
      <c r="A516" t="s">
        <v>0</v>
      </c>
      <c r="B516">
        <v>1018</v>
      </c>
      <c r="C516" s="7">
        <v>46041</v>
      </c>
      <c r="D516" t="s">
        <v>50</v>
      </c>
    </row>
    <row r="517" spans="1:4" x14ac:dyDescent="0.25">
      <c r="A517" t="s">
        <v>0</v>
      </c>
      <c r="B517">
        <v>1018</v>
      </c>
      <c r="C517" s="7">
        <v>46042</v>
      </c>
      <c r="D517" t="s">
        <v>50</v>
      </c>
    </row>
    <row r="518" spans="1:4" x14ac:dyDescent="0.25">
      <c r="A518" t="s">
        <v>0</v>
      </c>
      <c r="B518">
        <v>1018</v>
      </c>
      <c r="C518" s="7">
        <v>46043</v>
      </c>
      <c r="D518" t="s">
        <v>51</v>
      </c>
    </row>
    <row r="519" spans="1:4" x14ac:dyDescent="0.25">
      <c r="A519" t="s">
        <v>0</v>
      </c>
      <c r="B519">
        <v>1018</v>
      </c>
      <c r="C519" s="7">
        <v>46044</v>
      </c>
      <c r="D519" t="s">
        <v>50</v>
      </c>
    </row>
    <row r="520" spans="1:4" x14ac:dyDescent="0.25">
      <c r="A520" t="s">
        <v>0</v>
      </c>
      <c r="B520">
        <v>1018</v>
      </c>
      <c r="C520" s="7">
        <v>46045</v>
      </c>
      <c r="D520" t="s">
        <v>50</v>
      </c>
    </row>
    <row r="521" spans="1:4" x14ac:dyDescent="0.25">
      <c r="A521" t="s">
        <v>0</v>
      </c>
      <c r="B521">
        <v>1018</v>
      </c>
      <c r="C521" s="7">
        <v>46046</v>
      </c>
      <c r="D521" t="s">
        <v>50</v>
      </c>
    </row>
    <row r="522" spans="1:4" x14ac:dyDescent="0.25">
      <c r="A522" t="s">
        <v>0</v>
      </c>
      <c r="B522">
        <v>1018</v>
      </c>
      <c r="C522" s="7">
        <v>46048</v>
      </c>
      <c r="D522" t="s">
        <v>50</v>
      </c>
    </row>
    <row r="523" spans="1:4" x14ac:dyDescent="0.25">
      <c r="A523" t="s">
        <v>0</v>
      </c>
      <c r="B523">
        <v>1018</v>
      </c>
      <c r="C523" s="7">
        <v>46049</v>
      </c>
      <c r="D523" t="s">
        <v>50</v>
      </c>
    </row>
    <row r="524" spans="1:4" x14ac:dyDescent="0.25">
      <c r="A524" t="s">
        <v>0</v>
      </c>
      <c r="B524">
        <v>1018</v>
      </c>
      <c r="C524" s="7">
        <v>46050</v>
      </c>
      <c r="D524" t="s">
        <v>50</v>
      </c>
    </row>
    <row r="525" spans="1:4" x14ac:dyDescent="0.25">
      <c r="A525" t="s">
        <v>0</v>
      </c>
      <c r="B525">
        <v>1018</v>
      </c>
      <c r="C525" s="7">
        <v>46051</v>
      </c>
      <c r="D525" t="s">
        <v>50</v>
      </c>
    </row>
    <row r="526" spans="1:4" x14ac:dyDescent="0.25">
      <c r="A526" t="s">
        <v>0</v>
      </c>
      <c r="B526">
        <v>1018</v>
      </c>
      <c r="C526" s="7">
        <v>46052</v>
      </c>
      <c r="D526" t="s">
        <v>50</v>
      </c>
    </row>
    <row r="527" spans="1:4" x14ac:dyDescent="0.25">
      <c r="A527" t="s">
        <v>0</v>
      </c>
      <c r="B527">
        <v>1018</v>
      </c>
      <c r="C527" s="7">
        <v>46053</v>
      </c>
      <c r="D527" t="s">
        <v>50</v>
      </c>
    </row>
    <row r="528" spans="1:4" x14ac:dyDescent="0.25">
      <c r="A528" t="s">
        <v>0</v>
      </c>
      <c r="B528">
        <v>1019</v>
      </c>
      <c r="C528" s="7">
        <v>46023</v>
      </c>
      <c r="D528" t="s">
        <v>50</v>
      </c>
    </row>
    <row r="529" spans="1:4" x14ac:dyDescent="0.25">
      <c r="A529" t="s">
        <v>0</v>
      </c>
      <c r="B529">
        <v>1019</v>
      </c>
      <c r="C529" s="7">
        <v>46024</v>
      </c>
      <c r="D529" t="s">
        <v>50</v>
      </c>
    </row>
    <row r="530" spans="1:4" x14ac:dyDescent="0.25">
      <c r="A530" t="s">
        <v>0</v>
      </c>
      <c r="B530">
        <v>1019</v>
      </c>
      <c r="C530" s="7">
        <v>46025</v>
      </c>
      <c r="D530" t="s">
        <v>50</v>
      </c>
    </row>
    <row r="531" spans="1:4" x14ac:dyDescent="0.25">
      <c r="A531" t="s">
        <v>0</v>
      </c>
      <c r="B531">
        <v>1019</v>
      </c>
      <c r="C531" s="7">
        <v>46027</v>
      </c>
      <c r="D531" t="s">
        <v>50</v>
      </c>
    </row>
    <row r="532" spans="1:4" x14ac:dyDescent="0.25">
      <c r="A532" t="s">
        <v>0</v>
      </c>
      <c r="B532">
        <v>1019</v>
      </c>
      <c r="C532" s="7">
        <v>46028</v>
      </c>
      <c r="D532" t="s">
        <v>50</v>
      </c>
    </row>
    <row r="533" spans="1:4" x14ac:dyDescent="0.25">
      <c r="A533" t="s">
        <v>0</v>
      </c>
      <c r="B533">
        <v>1019</v>
      </c>
      <c r="C533" s="7">
        <v>46029</v>
      </c>
      <c r="D533" t="s">
        <v>50</v>
      </c>
    </row>
    <row r="534" spans="1:4" x14ac:dyDescent="0.25">
      <c r="A534" t="s">
        <v>0</v>
      </c>
      <c r="B534">
        <v>1019</v>
      </c>
      <c r="C534" s="7">
        <v>46030</v>
      </c>
      <c r="D534" t="s">
        <v>50</v>
      </c>
    </row>
    <row r="535" spans="1:4" x14ac:dyDescent="0.25">
      <c r="A535" t="s">
        <v>0</v>
      </c>
      <c r="B535">
        <v>1019</v>
      </c>
      <c r="C535" s="7">
        <v>46031</v>
      </c>
      <c r="D535" t="s">
        <v>50</v>
      </c>
    </row>
    <row r="536" spans="1:4" x14ac:dyDescent="0.25">
      <c r="A536" t="s">
        <v>0</v>
      </c>
      <c r="B536">
        <v>1019</v>
      </c>
      <c r="C536" s="7">
        <v>46032</v>
      </c>
      <c r="D536" t="s">
        <v>50</v>
      </c>
    </row>
    <row r="537" spans="1:4" x14ac:dyDescent="0.25">
      <c r="A537" t="s">
        <v>0</v>
      </c>
      <c r="B537">
        <v>1019</v>
      </c>
      <c r="C537" s="7">
        <v>46034</v>
      </c>
      <c r="D537" t="s">
        <v>50</v>
      </c>
    </row>
    <row r="538" spans="1:4" x14ac:dyDescent="0.25">
      <c r="A538" t="s">
        <v>0</v>
      </c>
      <c r="B538">
        <v>1019</v>
      </c>
      <c r="C538" s="7">
        <v>46035</v>
      </c>
      <c r="D538" t="s">
        <v>50</v>
      </c>
    </row>
    <row r="539" spans="1:4" x14ac:dyDescent="0.25">
      <c r="A539" t="s">
        <v>0</v>
      </c>
      <c r="B539">
        <v>1019</v>
      </c>
      <c r="C539" s="7">
        <v>46036</v>
      </c>
      <c r="D539" t="s">
        <v>50</v>
      </c>
    </row>
    <row r="540" spans="1:4" x14ac:dyDescent="0.25">
      <c r="A540" t="s">
        <v>0</v>
      </c>
      <c r="B540">
        <v>1019</v>
      </c>
      <c r="C540" s="7">
        <v>46037</v>
      </c>
      <c r="D540" t="s">
        <v>50</v>
      </c>
    </row>
    <row r="541" spans="1:4" x14ac:dyDescent="0.25">
      <c r="A541" t="s">
        <v>0</v>
      </c>
      <c r="B541">
        <v>1019</v>
      </c>
      <c r="C541" s="7">
        <v>46038</v>
      </c>
      <c r="D541" t="s">
        <v>50</v>
      </c>
    </row>
    <row r="542" spans="1:4" x14ac:dyDescent="0.25">
      <c r="A542" t="s">
        <v>0</v>
      </c>
      <c r="B542">
        <v>1019</v>
      </c>
      <c r="C542" s="7">
        <v>46039</v>
      </c>
      <c r="D542" t="s">
        <v>50</v>
      </c>
    </row>
    <row r="543" spans="1:4" x14ac:dyDescent="0.25">
      <c r="A543" t="s">
        <v>0</v>
      </c>
      <c r="B543">
        <v>1019</v>
      </c>
      <c r="C543" s="7">
        <v>46041</v>
      </c>
      <c r="D543" t="s">
        <v>50</v>
      </c>
    </row>
    <row r="544" spans="1:4" x14ac:dyDescent="0.25">
      <c r="A544" t="s">
        <v>0</v>
      </c>
      <c r="B544">
        <v>1019</v>
      </c>
      <c r="C544" s="7">
        <v>46042</v>
      </c>
      <c r="D544" t="s">
        <v>50</v>
      </c>
    </row>
    <row r="545" spans="1:4" x14ac:dyDescent="0.25">
      <c r="A545" t="s">
        <v>0</v>
      </c>
      <c r="B545">
        <v>1019</v>
      </c>
      <c r="C545" s="7">
        <v>46043</v>
      </c>
      <c r="D545" t="s">
        <v>50</v>
      </c>
    </row>
    <row r="546" spans="1:4" x14ac:dyDescent="0.25">
      <c r="A546" t="s">
        <v>0</v>
      </c>
      <c r="B546">
        <v>1019</v>
      </c>
      <c r="C546" s="7">
        <v>46044</v>
      </c>
      <c r="D546" t="s">
        <v>50</v>
      </c>
    </row>
    <row r="547" spans="1:4" x14ac:dyDescent="0.25">
      <c r="A547" t="s">
        <v>0</v>
      </c>
      <c r="B547">
        <v>1019</v>
      </c>
      <c r="C547" s="7">
        <v>46045</v>
      </c>
      <c r="D547" t="s">
        <v>50</v>
      </c>
    </row>
    <row r="548" spans="1:4" x14ac:dyDescent="0.25">
      <c r="A548" t="s">
        <v>0</v>
      </c>
      <c r="B548">
        <v>1019</v>
      </c>
      <c r="C548" s="7">
        <v>46046</v>
      </c>
      <c r="D548" t="s">
        <v>50</v>
      </c>
    </row>
    <row r="549" spans="1:4" x14ac:dyDescent="0.25">
      <c r="A549" t="s">
        <v>0</v>
      </c>
      <c r="B549">
        <v>1019</v>
      </c>
      <c r="C549" s="7">
        <v>46048</v>
      </c>
      <c r="D549" t="s">
        <v>50</v>
      </c>
    </row>
    <row r="550" spans="1:4" x14ac:dyDescent="0.25">
      <c r="A550" t="s">
        <v>0</v>
      </c>
      <c r="B550">
        <v>1019</v>
      </c>
      <c r="C550" s="7">
        <v>46049</v>
      </c>
      <c r="D550" t="s">
        <v>50</v>
      </c>
    </row>
    <row r="551" spans="1:4" x14ac:dyDescent="0.25">
      <c r="A551" t="s">
        <v>0</v>
      </c>
      <c r="B551">
        <v>1019</v>
      </c>
      <c r="C551" s="7">
        <v>46050</v>
      </c>
      <c r="D551" t="s">
        <v>50</v>
      </c>
    </row>
    <row r="552" spans="1:4" x14ac:dyDescent="0.25">
      <c r="A552" t="s">
        <v>0</v>
      </c>
      <c r="B552">
        <v>1019</v>
      </c>
      <c r="C552" s="7">
        <v>46051</v>
      </c>
      <c r="D552" t="s">
        <v>50</v>
      </c>
    </row>
    <row r="553" spans="1:4" x14ac:dyDescent="0.25">
      <c r="A553" t="s">
        <v>0</v>
      </c>
      <c r="B553">
        <v>1019</v>
      </c>
      <c r="C553" s="7">
        <v>46052</v>
      </c>
      <c r="D553" t="s">
        <v>50</v>
      </c>
    </row>
    <row r="554" spans="1:4" x14ac:dyDescent="0.25">
      <c r="A554" t="s">
        <v>0</v>
      </c>
      <c r="B554">
        <v>1019</v>
      </c>
      <c r="C554" s="7">
        <v>46053</v>
      </c>
      <c r="D554" t="s">
        <v>50</v>
      </c>
    </row>
    <row r="555" spans="1:4" x14ac:dyDescent="0.25">
      <c r="A555" t="s">
        <v>0</v>
      </c>
      <c r="B555">
        <v>1020</v>
      </c>
      <c r="C555" s="7">
        <v>46023</v>
      </c>
      <c r="D555" t="s">
        <v>50</v>
      </c>
    </row>
    <row r="556" spans="1:4" x14ac:dyDescent="0.25">
      <c r="A556" t="s">
        <v>0</v>
      </c>
      <c r="B556">
        <v>1020</v>
      </c>
      <c r="C556" s="7">
        <v>46024</v>
      </c>
      <c r="D556" t="s">
        <v>50</v>
      </c>
    </row>
    <row r="557" spans="1:4" x14ac:dyDescent="0.25">
      <c r="A557" t="s">
        <v>0</v>
      </c>
      <c r="B557">
        <v>1020</v>
      </c>
      <c r="C557" s="7">
        <v>46025</v>
      </c>
      <c r="D557" t="s">
        <v>50</v>
      </c>
    </row>
    <row r="558" spans="1:4" x14ac:dyDescent="0.25">
      <c r="A558" t="s">
        <v>0</v>
      </c>
      <c r="B558">
        <v>1020</v>
      </c>
      <c r="C558" s="7">
        <v>46027</v>
      </c>
      <c r="D558" t="s">
        <v>50</v>
      </c>
    </row>
    <row r="559" spans="1:4" x14ac:dyDescent="0.25">
      <c r="A559" t="s">
        <v>0</v>
      </c>
      <c r="B559">
        <v>1020</v>
      </c>
      <c r="C559" s="7">
        <v>46028</v>
      </c>
      <c r="D559" t="s">
        <v>50</v>
      </c>
    </row>
    <row r="560" spans="1:4" x14ac:dyDescent="0.25">
      <c r="A560" t="s">
        <v>0</v>
      </c>
      <c r="B560">
        <v>1020</v>
      </c>
      <c r="C560" s="7">
        <v>46029</v>
      </c>
      <c r="D560" t="s">
        <v>50</v>
      </c>
    </row>
    <row r="561" spans="1:4" x14ac:dyDescent="0.25">
      <c r="A561" t="s">
        <v>0</v>
      </c>
      <c r="B561">
        <v>1020</v>
      </c>
      <c r="C561" s="7">
        <v>46030</v>
      </c>
      <c r="D561" t="s">
        <v>51</v>
      </c>
    </row>
    <row r="562" spans="1:4" x14ac:dyDescent="0.25">
      <c r="A562" t="s">
        <v>0</v>
      </c>
      <c r="B562">
        <v>1020</v>
      </c>
      <c r="C562" s="7">
        <v>46031</v>
      </c>
      <c r="D562" t="s">
        <v>50</v>
      </c>
    </row>
    <row r="563" spans="1:4" x14ac:dyDescent="0.25">
      <c r="A563" t="s">
        <v>0</v>
      </c>
      <c r="B563">
        <v>1020</v>
      </c>
      <c r="C563" s="7">
        <v>46032</v>
      </c>
      <c r="D563" t="s">
        <v>50</v>
      </c>
    </row>
    <row r="564" spans="1:4" x14ac:dyDescent="0.25">
      <c r="A564" t="s">
        <v>0</v>
      </c>
      <c r="B564">
        <v>1020</v>
      </c>
      <c r="C564" s="7">
        <v>46034</v>
      </c>
      <c r="D564" t="s">
        <v>50</v>
      </c>
    </row>
    <row r="565" spans="1:4" x14ac:dyDescent="0.25">
      <c r="A565" t="s">
        <v>0</v>
      </c>
      <c r="B565">
        <v>1020</v>
      </c>
      <c r="C565" s="7">
        <v>46035</v>
      </c>
      <c r="D565" t="s">
        <v>50</v>
      </c>
    </row>
    <row r="566" spans="1:4" x14ac:dyDescent="0.25">
      <c r="A566" t="s">
        <v>0</v>
      </c>
      <c r="B566">
        <v>1020</v>
      </c>
      <c r="C566" s="7">
        <v>46036</v>
      </c>
      <c r="D566" t="s">
        <v>50</v>
      </c>
    </row>
    <row r="567" spans="1:4" x14ac:dyDescent="0.25">
      <c r="A567" t="s">
        <v>0</v>
      </c>
      <c r="B567">
        <v>1020</v>
      </c>
      <c r="C567" s="7">
        <v>46037</v>
      </c>
      <c r="D567" t="s">
        <v>50</v>
      </c>
    </row>
    <row r="568" spans="1:4" x14ac:dyDescent="0.25">
      <c r="A568" t="s">
        <v>0</v>
      </c>
      <c r="B568">
        <v>1020</v>
      </c>
      <c r="C568" s="7">
        <v>46038</v>
      </c>
      <c r="D568" t="s">
        <v>50</v>
      </c>
    </row>
    <row r="569" spans="1:4" x14ac:dyDescent="0.25">
      <c r="A569" t="s">
        <v>0</v>
      </c>
      <c r="B569">
        <v>1020</v>
      </c>
      <c r="C569" s="7">
        <v>46039</v>
      </c>
      <c r="D569" t="s">
        <v>50</v>
      </c>
    </row>
    <row r="570" spans="1:4" x14ac:dyDescent="0.25">
      <c r="A570" t="s">
        <v>0</v>
      </c>
      <c r="B570">
        <v>1020</v>
      </c>
      <c r="C570" s="7">
        <v>46041</v>
      </c>
      <c r="D570" t="s">
        <v>50</v>
      </c>
    </row>
    <row r="571" spans="1:4" x14ac:dyDescent="0.25">
      <c r="A571" t="s">
        <v>0</v>
      </c>
      <c r="B571">
        <v>1020</v>
      </c>
      <c r="C571" s="7">
        <v>46042</v>
      </c>
      <c r="D571" t="s">
        <v>50</v>
      </c>
    </row>
    <row r="572" spans="1:4" x14ac:dyDescent="0.25">
      <c r="A572" t="s">
        <v>0</v>
      </c>
      <c r="B572">
        <v>1020</v>
      </c>
      <c r="C572" s="7">
        <v>46043</v>
      </c>
      <c r="D572" t="s">
        <v>50</v>
      </c>
    </row>
    <row r="573" spans="1:4" x14ac:dyDescent="0.25">
      <c r="A573" t="s">
        <v>0</v>
      </c>
      <c r="B573">
        <v>1020</v>
      </c>
      <c r="C573" s="7">
        <v>46044</v>
      </c>
      <c r="D573" t="s">
        <v>50</v>
      </c>
    </row>
    <row r="574" spans="1:4" x14ac:dyDescent="0.25">
      <c r="A574" t="s">
        <v>0</v>
      </c>
      <c r="B574">
        <v>1020</v>
      </c>
      <c r="C574" s="7">
        <v>46045</v>
      </c>
      <c r="D574" t="s">
        <v>50</v>
      </c>
    </row>
    <row r="575" spans="1:4" x14ac:dyDescent="0.25">
      <c r="A575" t="s">
        <v>0</v>
      </c>
      <c r="B575">
        <v>1020</v>
      </c>
      <c r="C575" s="7">
        <v>46046</v>
      </c>
      <c r="D575" t="s">
        <v>50</v>
      </c>
    </row>
    <row r="576" spans="1:4" x14ac:dyDescent="0.25">
      <c r="A576" t="s">
        <v>0</v>
      </c>
      <c r="B576">
        <v>1020</v>
      </c>
      <c r="C576" s="7">
        <v>46048</v>
      </c>
      <c r="D576" t="s">
        <v>50</v>
      </c>
    </row>
    <row r="577" spans="1:4" x14ac:dyDescent="0.25">
      <c r="A577" t="s">
        <v>0</v>
      </c>
      <c r="B577">
        <v>1020</v>
      </c>
      <c r="C577" s="7">
        <v>46049</v>
      </c>
      <c r="D577" t="s">
        <v>50</v>
      </c>
    </row>
    <row r="578" spans="1:4" x14ac:dyDescent="0.25">
      <c r="A578" t="s">
        <v>0</v>
      </c>
      <c r="B578">
        <v>1020</v>
      </c>
      <c r="C578" s="7">
        <v>46050</v>
      </c>
      <c r="D578" t="s">
        <v>50</v>
      </c>
    </row>
    <row r="579" spans="1:4" x14ac:dyDescent="0.25">
      <c r="A579" t="s">
        <v>0</v>
      </c>
      <c r="B579">
        <v>1020</v>
      </c>
      <c r="C579" s="7">
        <v>46051</v>
      </c>
      <c r="D579" t="s">
        <v>50</v>
      </c>
    </row>
    <row r="580" spans="1:4" x14ac:dyDescent="0.25">
      <c r="A580" t="s">
        <v>0</v>
      </c>
      <c r="B580">
        <v>1020</v>
      </c>
      <c r="C580" s="7">
        <v>46052</v>
      </c>
      <c r="D580" t="s">
        <v>50</v>
      </c>
    </row>
    <row r="581" spans="1:4" x14ac:dyDescent="0.25">
      <c r="A581" t="s">
        <v>0</v>
      </c>
      <c r="B581">
        <v>1020</v>
      </c>
      <c r="C581" s="7">
        <v>46053</v>
      </c>
      <c r="D581" t="s">
        <v>50</v>
      </c>
    </row>
    <row r="582" spans="1:4" x14ac:dyDescent="0.25">
      <c r="A582" t="s">
        <v>0</v>
      </c>
      <c r="B582">
        <v>1021</v>
      </c>
      <c r="C582" s="7">
        <v>46023</v>
      </c>
      <c r="D582" t="s">
        <v>50</v>
      </c>
    </row>
    <row r="583" spans="1:4" x14ac:dyDescent="0.25">
      <c r="A583" t="s">
        <v>0</v>
      </c>
      <c r="B583">
        <v>1021</v>
      </c>
      <c r="C583" s="7">
        <v>46024</v>
      </c>
      <c r="D583" t="s">
        <v>50</v>
      </c>
    </row>
    <row r="584" spans="1:4" x14ac:dyDescent="0.25">
      <c r="A584" t="s">
        <v>0</v>
      </c>
      <c r="B584">
        <v>1021</v>
      </c>
      <c r="C584" s="7">
        <v>46025</v>
      </c>
      <c r="D584" t="s">
        <v>50</v>
      </c>
    </row>
    <row r="585" spans="1:4" x14ac:dyDescent="0.25">
      <c r="A585" t="s">
        <v>0</v>
      </c>
      <c r="B585">
        <v>1021</v>
      </c>
      <c r="C585" s="7">
        <v>46027</v>
      </c>
      <c r="D585" t="s">
        <v>50</v>
      </c>
    </row>
    <row r="586" spans="1:4" x14ac:dyDescent="0.25">
      <c r="A586" t="s">
        <v>0</v>
      </c>
      <c r="B586">
        <v>1021</v>
      </c>
      <c r="C586" s="7">
        <v>46028</v>
      </c>
      <c r="D586" t="s">
        <v>50</v>
      </c>
    </row>
    <row r="587" spans="1:4" x14ac:dyDescent="0.25">
      <c r="A587" t="s">
        <v>0</v>
      </c>
      <c r="B587">
        <v>1021</v>
      </c>
      <c r="C587" s="7">
        <v>46029</v>
      </c>
      <c r="D587" t="s">
        <v>50</v>
      </c>
    </row>
    <row r="588" spans="1:4" x14ac:dyDescent="0.25">
      <c r="A588" t="s">
        <v>0</v>
      </c>
      <c r="B588">
        <v>1021</v>
      </c>
      <c r="C588" s="7">
        <v>46030</v>
      </c>
      <c r="D588" t="s">
        <v>50</v>
      </c>
    </row>
    <row r="589" spans="1:4" x14ac:dyDescent="0.25">
      <c r="A589" t="s">
        <v>0</v>
      </c>
      <c r="B589">
        <v>1021</v>
      </c>
      <c r="C589" s="7">
        <v>46031</v>
      </c>
      <c r="D589" t="s">
        <v>50</v>
      </c>
    </row>
    <row r="590" spans="1:4" x14ac:dyDescent="0.25">
      <c r="A590" t="s">
        <v>0</v>
      </c>
      <c r="B590">
        <v>1021</v>
      </c>
      <c r="C590" s="7">
        <v>46032</v>
      </c>
      <c r="D590" t="s">
        <v>50</v>
      </c>
    </row>
    <row r="591" spans="1:4" x14ac:dyDescent="0.25">
      <c r="A591" t="s">
        <v>0</v>
      </c>
      <c r="B591">
        <v>1021</v>
      </c>
      <c r="C591" s="7">
        <v>46034</v>
      </c>
      <c r="D591" t="s">
        <v>50</v>
      </c>
    </row>
    <row r="592" spans="1:4" x14ac:dyDescent="0.25">
      <c r="A592" t="s">
        <v>0</v>
      </c>
      <c r="B592">
        <v>1021</v>
      </c>
      <c r="C592" s="7">
        <v>46035</v>
      </c>
      <c r="D592" t="s">
        <v>50</v>
      </c>
    </row>
    <row r="593" spans="1:4" x14ac:dyDescent="0.25">
      <c r="A593" t="s">
        <v>0</v>
      </c>
      <c r="B593">
        <v>1021</v>
      </c>
      <c r="C593" s="7">
        <v>46036</v>
      </c>
      <c r="D593" t="s">
        <v>50</v>
      </c>
    </row>
    <row r="594" spans="1:4" x14ac:dyDescent="0.25">
      <c r="A594" t="s">
        <v>0</v>
      </c>
      <c r="B594">
        <v>1021</v>
      </c>
      <c r="C594" s="7">
        <v>46037</v>
      </c>
      <c r="D594" t="s">
        <v>50</v>
      </c>
    </row>
    <row r="595" spans="1:4" x14ac:dyDescent="0.25">
      <c r="A595" t="s">
        <v>0</v>
      </c>
      <c r="B595">
        <v>1021</v>
      </c>
      <c r="C595" s="7">
        <v>46038</v>
      </c>
      <c r="D595" t="s">
        <v>50</v>
      </c>
    </row>
    <row r="596" spans="1:4" x14ac:dyDescent="0.25">
      <c r="A596" t="s">
        <v>0</v>
      </c>
      <c r="B596">
        <v>1021</v>
      </c>
      <c r="C596" s="7">
        <v>46039</v>
      </c>
      <c r="D596" t="s">
        <v>50</v>
      </c>
    </row>
    <row r="597" spans="1:4" x14ac:dyDescent="0.25">
      <c r="A597" t="s">
        <v>0</v>
      </c>
      <c r="B597">
        <v>1021</v>
      </c>
      <c r="C597" s="7">
        <v>46041</v>
      </c>
      <c r="D597" t="s">
        <v>50</v>
      </c>
    </row>
    <row r="598" spans="1:4" x14ac:dyDescent="0.25">
      <c r="A598" t="s">
        <v>0</v>
      </c>
      <c r="B598">
        <v>1021</v>
      </c>
      <c r="C598" s="7">
        <v>46042</v>
      </c>
      <c r="D598" t="s">
        <v>50</v>
      </c>
    </row>
    <row r="599" spans="1:4" x14ac:dyDescent="0.25">
      <c r="A599" t="s">
        <v>0</v>
      </c>
      <c r="B599">
        <v>1021</v>
      </c>
      <c r="C599" s="7">
        <v>46043</v>
      </c>
      <c r="D599" t="s">
        <v>50</v>
      </c>
    </row>
    <row r="600" spans="1:4" x14ac:dyDescent="0.25">
      <c r="A600" t="s">
        <v>0</v>
      </c>
      <c r="B600">
        <v>1021</v>
      </c>
      <c r="C600" s="7">
        <v>46044</v>
      </c>
      <c r="D600" t="s">
        <v>50</v>
      </c>
    </row>
    <row r="601" spans="1:4" x14ac:dyDescent="0.25">
      <c r="A601" t="s">
        <v>0</v>
      </c>
      <c r="B601">
        <v>1021</v>
      </c>
      <c r="C601" s="7">
        <v>46045</v>
      </c>
      <c r="D601" t="s">
        <v>50</v>
      </c>
    </row>
    <row r="602" spans="1:4" x14ac:dyDescent="0.25">
      <c r="A602" t="s">
        <v>0</v>
      </c>
      <c r="B602">
        <v>1021</v>
      </c>
      <c r="C602" s="7">
        <v>46046</v>
      </c>
      <c r="D602" t="s">
        <v>50</v>
      </c>
    </row>
    <row r="603" spans="1:4" x14ac:dyDescent="0.25">
      <c r="A603" t="s">
        <v>0</v>
      </c>
      <c r="B603">
        <v>1021</v>
      </c>
      <c r="C603" s="7">
        <v>46048</v>
      </c>
      <c r="D603" t="s">
        <v>50</v>
      </c>
    </row>
    <row r="604" spans="1:4" x14ac:dyDescent="0.25">
      <c r="A604" t="s">
        <v>0</v>
      </c>
      <c r="B604">
        <v>1021</v>
      </c>
      <c r="C604" s="7">
        <v>46049</v>
      </c>
      <c r="D604" t="s">
        <v>50</v>
      </c>
    </row>
    <row r="605" spans="1:4" x14ac:dyDescent="0.25">
      <c r="A605" t="s">
        <v>0</v>
      </c>
      <c r="B605">
        <v>1021</v>
      </c>
      <c r="C605" s="7">
        <v>46050</v>
      </c>
      <c r="D605" t="s">
        <v>50</v>
      </c>
    </row>
    <row r="606" spans="1:4" x14ac:dyDescent="0.25">
      <c r="A606" t="s">
        <v>0</v>
      </c>
      <c r="B606">
        <v>1021</v>
      </c>
      <c r="C606" s="7">
        <v>46051</v>
      </c>
      <c r="D606" t="s">
        <v>50</v>
      </c>
    </row>
    <row r="607" spans="1:4" x14ac:dyDescent="0.25">
      <c r="A607" t="s">
        <v>0</v>
      </c>
      <c r="B607">
        <v>1021</v>
      </c>
      <c r="C607" s="7">
        <v>46052</v>
      </c>
      <c r="D607" t="s">
        <v>50</v>
      </c>
    </row>
    <row r="608" spans="1:4" x14ac:dyDescent="0.25">
      <c r="A608" t="s">
        <v>0</v>
      </c>
      <c r="B608">
        <v>1021</v>
      </c>
      <c r="C608" s="7">
        <v>46053</v>
      </c>
      <c r="D608" t="s">
        <v>50</v>
      </c>
    </row>
    <row r="609" spans="1:4" x14ac:dyDescent="0.25">
      <c r="A609" t="s">
        <v>0</v>
      </c>
      <c r="B609">
        <v>1022</v>
      </c>
      <c r="C609" s="7">
        <v>46023</v>
      </c>
      <c r="D609" t="s">
        <v>50</v>
      </c>
    </row>
    <row r="610" spans="1:4" x14ac:dyDescent="0.25">
      <c r="A610" t="s">
        <v>0</v>
      </c>
      <c r="B610">
        <v>1022</v>
      </c>
      <c r="C610" s="7">
        <v>46024</v>
      </c>
      <c r="D610" t="s">
        <v>50</v>
      </c>
    </row>
    <row r="611" spans="1:4" x14ac:dyDescent="0.25">
      <c r="A611" t="s">
        <v>0</v>
      </c>
      <c r="B611">
        <v>1022</v>
      </c>
      <c r="C611" s="7">
        <v>46025</v>
      </c>
      <c r="D611" t="s">
        <v>50</v>
      </c>
    </row>
    <row r="612" spans="1:4" x14ac:dyDescent="0.25">
      <c r="A612" t="s">
        <v>0</v>
      </c>
      <c r="B612">
        <v>1022</v>
      </c>
      <c r="C612" s="7">
        <v>46027</v>
      </c>
      <c r="D612" t="s">
        <v>50</v>
      </c>
    </row>
    <row r="613" spans="1:4" x14ac:dyDescent="0.25">
      <c r="A613" t="s">
        <v>0</v>
      </c>
      <c r="B613">
        <v>1022</v>
      </c>
      <c r="C613" s="7">
        <v>46028</v>
      </c>
      <c r="D613" t="s">
        <v>50</v>
      </c>
    </row>
    <row r="614" spans="1:4" x14ac:dyDescent="0.25">
      <c r="A614" t="s">
        <v>0</v>
      </c>
      <c r="B614">
        <v>1022</v>
      </c>
      <c r="C614" s="7">
        <v>46029</v>
      </c>
      <c r="D614" t="s">
        <v>50</v>
      </c>
    </row>
    <row r="615" spans="1:4" x14ac:dyDescent="0.25">
      <c r="A615" t="s">
        <v>0</v>
      </c>
      <c r="B615">
        <v>1022</v>
      </c>
      <c r="C615" s="7">
        <v>46030</v>
      </c>
      <c r="D615" t="s">
        <v>50</v>
      </c>
    </row>
    <row r="616" spans="1:4" x14ac:dyDescent="0.25">
      <c r="A616" t="s">
        <v>0</v>
      </c>
      <c r="B616">
        <v>1022</v>
      </c>
      <c r="C616" s="7">
        <v>46031</v>
      </c>
      <c r="D616" t="s">
        <v>50</v>
      </c>
    </row>
    <row r="617" spans="1:4" x14ac:dyDescent="0.25">
      <c r="A617" t="s">
        <v>0</v>
      </c>
      <c r="B617">
        <v>1022</v>
      </c>
      <c r="C617" s="7">
        <v>46032</v>
      </c>
      <c r="D617" t="s">
        <v>50</v>
      </c>
    </row>
    <row r="618" spans="1:4" x14ac:dyDescent="0.25">
      <c r="A618" t="s">
        <v>0</v>
      </c>
      <c r="B618">
        <v>1022</v>
      </c>
      <c r="C618" s="7">
        <v>46034</v>
      </c>
      <c r="D618" t="s">
        <v>50</v>
      </c>
    </row>
    <row r="619" spans="1:4" x14ac:dyDescent="0.25">
      <c r="A619" t="s">
        <v>0</v>
      </c>
      <c r="B619">
        <v>1022</v>
      </c>
      <c r="C619" s="7">
        <v>46035</v>
      </c>
      <c r="D619" t="s">
        <v>50</v>
      </c>
    </row>
    <row r="620" spans="1:4" x14ac:dyDescent="0.25">
      <c r="A620" t="s">
        <v>0</v>
      </c>
      <c r="B620">
        <v>1022</v>
      </c>
      <c r="C620" s="7">
        <v>46036</v>
      </c>
      <c r="D620" t="s">
        <v>50</v>
      </c>
    </row>
    <row r="621" spans="1:4" x14ac:dyDescent="0.25">
      <c r="A621" t="s">
        <v>0</v>
      </c>
      <c r="B621">
        <v>1022</v>
      </c>
      <c r="C621" s="7">
        <v>46037</v>
      </c>
      <c r="D621" t="s">
        <v>50</v>
      </c>
    </row>
    <row r="622" spans="1:4" x14ac:dyDescent="0.25">
      <c r="A622" t="s">
        <v>0</v>
      </c>
      <c r="B622">
        <v>1022</v>
      </c>
      <c r="C622" s="7">
        <v>46038</v>
      </c>
      <c r="D622" t="s">
        <v>50</v>
      </c>
    </row>
    <row r="623" spans="1:4" x14ac:dyDescent="0.25">
      <c r="A623" t="s">
        <v>0</v>
      </c>
      <c r="B623">
        <v>1022</v>
      </c>
      <c r="C623" s="7">
        <v>46039</v>
      </c>
      <c r="D623" t="s">
        <v>50</v>
      </c>
    </row>
    <row r="624" spans="1:4" x14ac:dyDescent="0.25">
      <c r="A624" t="s">
        <v>0</v>
      </c>
      <c r="B624">
        <v>1022</v>
      </c>
      <c r="C624" s="7">
        <v>46041</v>
      </c>
      <c r="D624" t="s">
        <v>50</v>
      </c>
    </row>
    <row r="625" spans="1:4" x14ac:dyDescent="0.25">
      <c r="A625" t="s">
        <v>0</v>
      </c>
      <c r="B625">
        <v>1022</v>
      </c>
      <c r="C625" s="7">
        <v>46042</v>
      </c>
      <c r="D625" t="s">
        <v>50</v>
      </c>
    </row>
    <row r="626" spans="1:4" x14ac:dyDescent="0.25">
      <c r="A626" t="s">
        <v>0</v>
      </c>
      <c r="B626">
        <v>1022</v>
      </c>
      <c r="C626" s="7">
        <v>46043</v>
      </c>
      <c r="D626" t="s">
        <v>50</v>
      </c>
    </row>
    <row r="627" spans="1:4" x14ac:dyDescent="0.25">
      <c r="A627" t="s">
        <v>0</v>
      </c>
      <c r="B627">
        <v>1022</v>
      </c>
      <c r="C627" s="7">
        <v>46044</v>
      </c>
      <c r="D627" t="s">
        <v>50</v>
      </c>
    </row>
    <row r="628" spans="1:4" x14ac:dyDescent="0.25">
      <c r="A628" t="s">
        <v>0</v>
      </c>
      <c r="B628">
        <v>1022</v>
      </c>
      <c r="C628" s="7">
        <v>46045</v>
      </c>
      <c r="D628" t="s">
        <v>50</v>
      </c>
    </row>
    <row r="629" spans="1:4" x14ac:dyDescent="0.25">
      <c r="A629" t="s">
        <v>0</v>
      </c>
      <c r="B629">
        <v>1022</v>
      </c>
      <c r="C629" s="7">
        <v>46046</v>
      </c>
      <c r="D629" t="s">
        <v>50</v>
      </c>
    </row>
    <row r="630" spans="1:4" x14ac:dyDescent="0.25">
      <c r="A630" t="s">
        <v>0</v>
      </c>
      <c r="B630">
        <v>1022</v>
      </c>
      <c r="C630" s="7">
        <v>46048</v>
      </c>
      <c r="D630" t="s">
        <v>50</v>
      </c>
    </row>
    <row r="631" spans="1:4" x14ac:dyDescent="0.25">
      <c r="A631" t="s">
        <v>0</v>
      </c>
      <c r="B631">
        <v>1022</v>
      </c>
      <c r="C631" s="7">
        <v>46049</v>
      </c>
      <c r="D631" t="s">
        <v>50</v>
      </c>
    </row>
    <row r="632" spans="1:4" x14ac:dyDescent="0.25">
      <c r="A632" t="s">
        <v>0</v>
      </c>
      <c r="B632">
        <v>1022</v>
      </c>
      <c r="C632" s="7">
        <v>46050</v>
      </c>
      <c r="D632" t="s">
        <v>50</v>
      </c>
    </row>
    <row r="633" spans="1:4" x14ac:dyDescent="0.25">
      <c r="A633" t="s">
        <v>0</v>
      </c>
      <c r="B633">
        <v>1022</v>
      </c>
      <c r="C633" s="7">
        <v>46051</v>
      </c>
      <c r="D633" t="s">
        <v>50</v>
      </c>
    </row>
    <row r="634" spans="1:4" x14ac:dyDescent="0.25">
      <c r="A634" t="s">
        <v>0</v>
      </c>
      <c r="B634">
        <v>1022</v>
      </c>
      <c r="C634" s="7">
        <v>46052</v>
      </c>
      <c r="D634" t="s">
        <v>50</v>
      </c>
    </row>
    <row r="635" spans="1:4" x14ac:dyDescent="0.25">
      <c r="A635" t="s">
        <v>0</v>
      </c>
      <c r="B635">
        <v>1022</v>
      </c>
      <c r="C635" s="7">
        <v>46053</v>
      </c>
      <c r="D635" t="s">
        <v>50</v>
      </c>
    </row>
    <row r="636" spans="1:4" x14ac:dyDescent="0.25">
      <c r="A636" t="s">
        <v>0</v>
      </c>
      <c r="B636">
        <v>1023</v>
      </c>
      <c r="C636" s="7">
        <v>46023</v>
      </c>
      <c r="D636" t="s">
        <v>50</v>
      </c>
    </row>
    <row r="637" spans="1:4" x14ac:dyDescent="0.25">
      <c r="A637" t="s">
        <v>0</v>
      </c>
      <c r="B637">
        <v>1023</v>
      </c>
      <c r="C637" s="7">
        <v>46024</v>
      </c>
      <c r="D637" t="s">
        <v>50</v>
      </c>
    </row>
    <row r="638" spans="1:4" x14ac:dyDescent="0.25">
      <c r="A638" t="s">
        <v>0</v>
      </c>
      <c r="B638">
        <v>1023</v>
      </c>
      <c r="C638" s="7">
        <v>46025</v>
      </c>
      <c r="D638" t="s">
        <v>50</v>
      </c>
    </row>
    <row r="639" spans="1:4" x14ac:dyDescent="0.25">
      <c r="A639" t="s">
        <v>0</v>
      </c>
      <c r="B639">
        <v>1023</v>
      </c>
      <c r="C639" s="7">
        <v>46027</v>
      </c>
      <c r="D639" t="s">
        <v>50</v>
      </c>
    </row>
    <row r="640" spans="1:4" x14ac:dyDescent="0.25">
      <c r="A640" t="s">
        <v>0</v>
      </c>
      <c r="B640">
        <v>1023</v>
      </c>
      <c r="C640" s="7">
        <v>46028</v>
      </c>
      <c r="D640" t="s">
        <v>50</v>
      </c>
    </row>
    <row r="641" spans="1:4" x14ac:dyDescent="0.25">
      <c r="A641" t="s">
        <v>0</v>
      </c>
      <c r="B641">
        <v>1023</v>
      </c>
      <c r="C641" s="7">
        <v>46029</v>
      </c>
      <c r="D641" t="s">
        <v>50</v>
      </c>
    </row>
    <row r="642" spans="1:4" x14ac:dyDescent="0.25">
      <c r="A642" t="s">
        <v>0</v>
      </c>
      <c r="B642">
        <v>1023</v>
      </c>
      <c r="C642" s="7">
        <v>46030</v>
      </c>
      <c r="D642" t="s">
        <v>50</v>
      </c>
    </row>
    <row r="643" spans="1:4" x14ac:dyDescent="0.25">
      <c r="A643" t="s">
        <v>0</v>
      </c>
      <c r="B643">
        <v>1023</v>
      </c>
      <c r="C643" s="7">
        <v>46031</v>
      </c>
      <c r="D643" t="s">
        <v>50</v>
      </c>
    </row>
    <row r="644" spans="1:4" x14ac:dyDescent="0.25">
      <c r="A644" t="s">
        <v>0</v>
      </c>
      <c r="B644">
        <v>1023</v>
      </c>
      <c r="C644" s="7">
        <v>46032</v>
      </c>
      <c r="D644" t="s">
        <v>50</v>
      </c>
    </row>
    <row r="645" spans="1:4" x14ac:dyDescent="0.25">
      <c r="A645" t="s">
        <v>0</v>
      </c>
      <c r="B645">
        <v>1023</v>
      </c>
      <c r="C645" s="7">
        <v>46034</v>
      </c>
      <c r="D645" t="s">
        <v>50</v>
      </c>
    </row>
    <row r="646" spans="1:4" x14ac:dyDescent="0.25">
      <c r="A646" t="s">
        <v>0</v>
      </c>
      <c r="B646">
        <v>1023</v>
      </c>
      <c r="C646" s="7">
        <v>46035</v>
      </c>
      <c r="D646" t="s">
        <v>50</v>
      </c>
    </row>
    <row r="647" spans="1:4" x14ac:dyDescent="0.25">
      <c r="A647" t="s">
        <v>0</v>
      </c>
      <c r="B647">
        <v>1023</v>
      </c>
      <c r="C647" s="7">
        <v>46036</v>
      </c>
      <c r="D647" t="s">
        <v>50</v>
      </c>
    </row>
    <row r="648" spans="1:4" x14ac:dyDescent="0.25">
      <c r="A648" t="s">
        <v>0</v>
      </c>
      <c r="B648">
        <v>1023</v>
      </c>
      <c r="C648" s="7">
        <v>46037</v>
      </c>
      <c r="D648" t="s">
        <v>50</v>
      </c>
    </row>
    <row r="649" spans="1:4" x14ac:dyDescent="0.25">
      <c r="A649" t="s">
        <v>0</v>
      </c>
      <c r="B649">
        <v>1023</v>
      </c>
      <c r="C649" s="7">
        <v>46038</v>
      </c>
      <c r="D649" t="s">
        <v>50</v>
      </c>
    </row>
    <row r="650" spans="1:4" x14ac:dyDescent="0.25">
      <c r="A650" t="s">
        <v>0</v>
      </c>
      <c r="B650">
        <v>1023</v>
      </c>
      <c r="C650" s="7">
        <v>46039</v>
      </c>
      <c r="D650" t="s">
        <v>50</v>
      </c>
    </row>
    <row r="651" spans="1:4" x14ac:dyDescent="0.25">
      <c r="A651" t="s">
        <v>0</v>
      </c>
      <c r="B651">
        <v>1023</v>
      </c>
      <c r="C651" s="7">
        <v>46041</v>
      </c>
      <c r="D651" t="s">
        <v>50</v>
      </c>
    </row>
    <row r="652" spans="1:4" x14ac:dyDescent="0.25">
      <c r="A652" t="s">
        <v>0</v>
      </c>
      <c r="B652">
        <v>1023</v>
      </c>
      <c r="C652" s="7">
        <v>46042</v>
      </c>
      <c r="D652" t="s">
        <v>50</v>
      </c>
    </row>
    <row r="653" spans="1:4" x14ac:dyDescent="0.25">
      <c r="A653" t="s">
        <v>0</v>
      </c>
      <c r="B653">
        <v>1023</v>
      </c>
      <c r="C653" s="7">
        <v>46043</v>
      </c>
      <c r="D653" t="s">
        <v>50</v>
      </c>
    </row>
    <row r="654" spans="1:4" x14ac:dyDescent="0.25">
      <c r="A654" t="s">
        <v>0</v>
      </c>
      <c r="B654">
        <v>1023</v>
      </c>
      <c r="C654" s="7">
        <v>46044</v>
      </c>
      <c r="D654" t="s">
        <v>50</v>
      </c>
    </row>
    <row r="655" spans="1:4" x14ac:dyDescent="0.25">
      <c r="A655" t="s">
        <v>0</v>
      </c>
      <c r="B655">
        <v>1023</v>
      </c>
      <c r="C655" s="7">
        <v>46045</v>
      </c>
      <c r="D655" t="s">
        <v>50</v>
      </c>
    </row>
    <row r="656" spans="1:4" x14ac:dyDescent="0.25">
      <c r="A656" t="s">
        <v>0</v>
      </c>
      <c r="B656">
        <v>1023</v>
      </c>
      <c r="C656" s="7">
        <v>46046</v>
      </c>
      <c r="D656" t="s">
        <v>50</v>
      </c>
    </row>
    <row r="657" spans="1:4" x14ac:dyDescent="0.25">
      <c r="A657" t="s">
        <v>0</v>
      </c>
      <c r="B657">
        <v>1023</v>
      </c>
      <c r="C657" s="7">
        <v>46048</v>
      </c>
      <c r="D657" t="s">
        <v>50</v>
      </c>
    </row>
    <row r="658" spans="1:4" x14ac:dyDescent="0.25">
      <c r="A658" t="s">
        <v>0</v>
      </c>
      <c r="B658">
        <v>1023</v>
      </c>
      <c r="C658" s="7">
        <v>46049</v>
      </c>
      <c r="D658" t="s">
        <v>50</v>
      </c>
    </row>
    <row r="659" spans="1:4" x14ac:dyDescent="0.25">
      <c r="A659" t="s">
        <v>0</v>
      </c>
      <c r="B659">
        <v>1023</v>
      </c>
      <c r="C659" s="7">
        <v>46050</v>
      </c>
      <c r="D659" t="s">
        <v>50</v>
      </c>
    </row>
    <row r="660" spans="1:4" x14ac:dyDescent="0.25">
      <c r="A660" t="s">
        <v>0</v>
      </c>
      <c r="B660">
        <v>1023</v>
      </c>
      <c r="C660" s="7">
        <v>46051</v>
      </c>
      <c r="D660" t="s">
        <v>50</v>
      </c>
    </row>
    <row r="661" spans="1:4" x14ac:dyDescent="0.25">
      <c r="A661" t="s">
        <v>0</v>
      </c>
      <c r="B661">
        <v>1023</v>
      </c>
      <c r="C661" s="7">
        <v>46052</v>
      </c>
      <c r="D661" t="s">
        <v>50</v>
      </c>
    </row>
    <row r="662" spans="1:4" x14ac:dyDescent="0.25">
      <c r="A662" t="s">
        <v>0</v>
      </c>
      <c r="B662">
        <v>1023</v>
      </c>
      <c r="C662" s="7">
        <v>46053</v>
      </c>
      <c r="D662" t="s">
        <v>50</v>
      </c>
    </row>
    <row r="663" spans="1:4" x14ac:dyDescent="0.25">
      <c r="A663" t="s">
        <v>0</v>
      </c>
      <c r="B663">
        <v>1024</v>
      </c>
      <c r="C663" s="7">
        <v>46023</v>
      </c>
      <c r="D663" t="s">
        <v>50</v>
      </c>
    </row>
    <row r="664" spans="1:4" x14ac:dyDescent="0.25">
      <c r="A664" t="s">
        <v>0</v>
      </c>
      <c r="B664">
        <v>1024</v>
      </c>
      <c r="C664" s="7">
        <v>46024</v>
      </c>
      <c r="D664" t="s">
        <v>50</v>
      </c>
    </row>
    <row r="665" spans="1:4" x14ac:dyDescent="0.25">
      <c r="A665" t="s">
        <v>0</v>
      </c>
      <c r="B665">
        <v>1024</v>
      </c>
      <c r="C665" s="7">
        <v>46025</v>
      </c>
      <c r="D665" t="s">
        <v>50</v>
      </c>
    </row>
    <row r="666" spans="1:4" x14ac:dyDescent="0.25">
      <c r="A666" t="s">
        <v>0</v>
      </c>
      <c r="B666">
        <v>1024</v>
      </c>
      <c r="C666" s="7">
        <v>46027</v>
      </c>
      <c r="D666" t="s">
        <v>50</v>
      </c>
    </row>
    <row r="667" spans="1:4" x14ac:dyDescent="0.25">
      <c r="A667" t="s">
        <v>0</v>
      </c>
      <c r="B667">
        <v>1024</v>
      </c>
      <c r="C667" s="7">
        <v>46028</v>
      </c>
      <c r="D667" t="s">
        <v>50</v>
      </c>
    </row>
    <row r="668" spans="1:4" x14ac:dyDescent="0.25">
      <c r="A668" t="s">
        <v>0</v>
      </c>
      <c r="B668">
        <v>1024</v>
      </c>
      <c r="C668" s="7">
        <v>46029</v>
      </c>
      <c r="D668" t="s">
        <v>50</v>
      </c>
    </row>
    <row r="669" spans="1:4" x14ac:dyDescent="0.25">
      <c r="A669" t="s">
        <v>0</v>
      </c>
      <c r="B669">
        <v>1024</v>
      </c>
      <c r="C669" s="7">
        <v>46030</v>
      </c>
      <c r="D669" t="s">
        <v>50</v>
      </c>
    </row>
    <row r="670" spans="1:4" x14ac:dyDescent="0.25">
      <c r="A670" t="s">
        <v>0</v>
      </c>
      <c r="B670">
        <v>1024</v>
      </c>
      <c r="C670" s="7">
        <v>46031</v>
      </c>
      <c r="D670" t="s">
        <v>50</v>
      </c>
    </row>
    <row r="671" spans="1:4" x14ac:dyDescent="0.25">
      <c r="A671" t="s">
        <v>0</v>
      </c>
      <c r="B671">
        <v>1024</v>
      </c>
      <c r="C671" s="7">
        <v>46032</v>
      </c>
      <c r="D671" t="s">
        <v>50</v>
      </c>
    </row>
    <row r="672" spans="1:4" x14ac:dyDescent="0.25">
      <c r="A672" t="s">
        <v>0</v>
      </c>
      <c r="B672">
        <v>1024</v>
      </c>
      <c r="C672" s="7">
        <v>46034</v>
      </c>
      <c r="D672" t="s">
        <v>50</v>
      </c>
    </row>
    <row r="673" spans="1:4" x14ac:dyDescent="0.25">
      <c r="A673" t="s">
        <v>0</v>
      </c>
      <c r="B673">
        <v>1024</v>
      </c>
      <c r="C673" s="7">
        <v>46035</v>
      </c>
      <c r="D673" t="s">
        <v>50</v>
      </c>
    </row>
    <row r="674" spans="1:4" x14ac:dyDescent="0.25">
      <c r="A674" t="s">
        <v>0</v>
      </c>
      <c r="B674">
        <v>1024</v>
      </c>
      <c r="C674" s="7">
        <v>46036</v>
      </c>
      <c r="D674" t="s">
        <v>50</v>
      </c>
    </row>
    <row r="675" spans="1:4" x14ac:dyDescent="0.25">
      <c r="A675" t="s">
        <v>0</v>
      </c>
      <c r="B675">
        <v>1024</v>
      </c>
      <c r="C675" s="7">
        <v>46037</v>
      </c>
      <c r="D675" t="s">
        <v>50</v>
      </c>
    </row>
    <row r="676" spans="1:4" x14ac:dyDescent="0.25">
      <c r="A676" t="s">
        <v>0</v>
      </c>
      <c r="B676">
        <v>1024</v>
      </c>
      <c r="C676" s="7">
        <v>46038</v>
      </c>
      <c r="D676" t="s">
        <v>50</v>
      </c>
    </row>
    <row r="677" spans="1:4" x14ac:dyDescent="0.25">
      <c r="A677" t="s">
        <v>0</v>
      </c>
      <c r="B677">
        <v>1024</v>
      </c>
      <c r="C677" s="7">
        <v>46039</v>
      </c>
      <c r="D677" t="s">
        <v>50</v>
      </c>
    </row>
    <row r="678" spans="1:4" x14ac:dyDescent="0.25">
      <c r="A678" t="s">
        <v>0</v>
      </c>
      <c r="B678">
        <v>1024</v>
      </c>
      <c r="C678" s="7">
        <v>46041</v>
      </c>
      <c r="D678" t="s">
        <v>50</v>
      </c>
    </row>
    <row r="679" spans="1:4" x14ac:dyDescent="0.25">
      <c r="A679" t="s">
        <v>0</v>
      </c>
      <c r="B679">
        <v>1024</v>
      </c>
      <c r="C679" s="7">
        <v>46042</v>
      </c>
      <c r="D679" t="s">
        <v>50</v>
      </c>
    </row>
    <row r="680" spans="1:4" x14ac:dyDescent="0.25">
      <c r="A680" t="s">
        <v>0</v>
      </c>
      <c r="B680">
        <v>1024</v>
      </c>
      <c r="C680" s="7">
        <v>46043</v>
      </c>
      <c r="D680" t="s">
        <v>50</v>
      </c>
    </row>
    <row r="681" spans="1:4" x14ac:dyDescent="0.25">
      <c r="A681" t="s">
        <v>0</v>
      </c>
      <c r="B681">
        <v>1024</v>
      </c>
      <c r="C681" s="7">
        <v>46044</v>
      </c>
      <c r="D681" t="s">
        <v>50</v>
      </c>
    </row>
    <row r="682" spans="1:4" x14ac:dyDescent="0.25">
      <c r="A682" t="s">
        <v>0</v>
      </c>
      <c r="B682">
        <v>1024</v>
      </c>
      <c r="C682" s="7">
        <v>46045</v>
      </c>
      <c r="D682" t="s">
        <v>50</v>
      </c>
    </row>
    <row r="683" spans="1:4" x14ac:dyDescent="0.25">
      <c r="A683" t="s">
        <v>0</v>
      </c>
      <c r="B683">
        <v>1024</v>
      </c>
      <c r="C683" s="7">
        <v>46046</v>
      </c>
      <c r="D683" t="s">
        <v>50</v>
      </c>
    </row>
    <row r="684" spans="1:4" x14ac:dyDescent="0.25">
      <c r="A684" t="s">
        <v>0</v>
      </c>
      <c r="B684">
        <v>1024</v>
      </c>
      <c r="C684" s="7">
        <v>46048</v>
      </c>
      <c r="D684" t="s">
        <v>50</v>
      </c>
    </row>
    <row r="685" spans="1:4" x14ac:dyDescent="0.25">
      <c r="A685" t="s">
        <v>0</v>
      </c>
      <c r="B685">
        <v>1024</v>
      </c>
      <c r="C685" s="7">
        <v>46049</v>
      </c>
      <c r="D685" t="s">
        <v>50</v>
      </c>
    </row>
    <row r="686" spans="1:4" x14ac:dyDescent="0.25">
      <c r="A686" t="s">
        <v>0</v>
      </c>
      <c r="B686">
        <v>1024</v>
      </c>
      <c r="C686" s="7">
        <v>46050</v>
      </c>
      <c r="D686" t="s">
        <v>50</v>
      </c>
    </row>
    <row r="687" spans="1:4" x14ac:dyDescent="0.25">
      <c r="A687" t="s">
        <v>0</v>
      </c>
      <c r="B687">
        <v>1024</v>
      </c>
      <c r="C687" s="7">
        <v>46051</v>
      </c>
      <c r="D687" t="s">
        <v>50</v>
      </c>
    </row>
    <row r="688" spans="1:4" x14ac:dyDescent="0.25">
      <c r="A688" t="s">
        <v>0</v>
      </c>
      <c r="B688">
        <v>1024</v>
      </c>
      <c r="C688" s="7">
        <v>46052</v>
      </c>
      <c r="D688" t="s">
        <v>50</v>
      </c>
    </row>
    <row r="689" spans="1:4" x14ac:dyDescent="0.25">
      <c r="A689" t="s">
        <v>0</v>
      </c>
      <c r="B689">
        <v>1024</v>
      </c>
      <c r="C689" s="7">
        <v>46053</v>
      </c>
      <c r="D689" t="s">
        <v>50</v>
      </c>
    </row>
    <row r="690" spans="1:4" x14ac:dyDescent="0.25">
      <c r="A690" t="s">
        <v>0</v>
      </c>
      <c r="B690">
        <v>1025</v>
      </c>
      <c r="C690" s="7">
        <v>46023</v>
      </c>
      <c r="D690" t="s">
        <v>50</v>
      </c>
    </row>
    <row r="691" spans="1:4" x14ac:dyDescent="0.25">
      <c r="A691" t="s">
        <v>0</v>
      </c>
      <c r="B691">
        <v>1025</v>
      </c>
      <c r="C691" s="7">
        <v>46024</v>
      </c>
      <c r="D691" t="s">
        <v>50</v>
      </c>
    </row>
    <row r="692" spans="1:4" x14ac:dyDescent="0.25">
      <c r="A692" t="s">
        <v>0</v>
      </c>
      <c r="B692">
        <v>1025</v>
      </c>
      <c r="C692" s="7">
        <v>46025</v>
      </c>
      <c r="D692" t="s">
        <v>50</v>
      </c>
    </row>
    <row r="693" spans="1:4" x14ac:dyDescent="0.25">
      <c r="A693" t="s">
        <v>0</v>
      </c>
      <c r="B693">
        <v>1025</v>
      </c>
      <c r="C693" s="7">
        <v>46027</v>
      </c>
      <c r="D693" t="s">
        <v>50</v>
      </c>
    </row>
    <row r="694" spans="1:4" x14ac:dyDescent="0.25">
      <c r="A694" t="s">
        <v>0</v>
      </c>
      <c r="B694">
        <v>1025</v>
      </c>
      <c r="C694" s="7">
        <v>46028</v>
      </c>
      <c r="D694" t="s">
        <v>50</v>
      </c>
    </row>
    <row r="695" spans="1:4" x14ac:dyDescent="0.25">
      <c r="A695" t="s">
        <v>0</v>
      </c>
      <c r="B695">
        <v>1025</v>
      </c>
      <c r="C695" s="7">
        <v>46029</v>
      </c>
      <c r="D695" t="s">
        <v>50</v>
      </c>
    </row>
    <row r="696" spans="1:4" x14ac:dyDescent="0.25">
      <c r="A696" t="s">
        <v>0</v>
      </c>
      <c r="B696">
        <v>1025</v>
      </c>
      <c r="C696" s="7">
        <v>46030</v>
      </c>
      <c r="D696" t="s">
        <v>50</v>
      </c>
    </row>
    <row r="697" spans="1:4" x14ac:dyDescent="0.25">
      <c r="A697" t="s">
        <v>0</v>
      </c>
      <c r="B697">
        <v>1025</v>
      </c>
      <c r="C697" s="7">
        <v>46031</v>
      </c>
      <c r="D697" t="s">
        <v>50</v>
      </c>
    </row>
    <row r="698" spans="1:4" x14ac:dyDescent="0.25">
      <c r="A698" t="s">
        <v>0</v>
      </c>
      <c r="B698">
        <v>1025</v>
      </c>
      <c r="C698" s="7">
        <v>46032</v>
      </c>
      <c r="D698" t="s">
        <v>50</v>
      </c>
    </row>
    <row r="699" spans="1:4" x14ac:dyDescent="0.25">
      <c r="A699" t="s">
        <v>0</v>
      </c>
      <c r="B699">
        <v>1025</v>
      </c>
      <c r="C699" s="7">
        <v>46034</v>
      </c>
      <c r="D699" t="s">
        <v>50</v>
      </c>
    </row>
    <row r="700" spans="1:4" x14ac:dyDescent="0.25">
      <c r="A700" t="s">
        <v>0</v>
      </c>
      <c r="B700">
        <v>1025</v>
      </c>
      <c r="C700" s="7">
        <v>46035</v>
      </c>
      <c r="D700" t="s">
        <v>50</v>
      </c>
    </row>
    <row r="701" spans="1:4" x14ac:dyDescent="0.25">
      <c r="A701" t="s">
        <v>0</v>
      </c>
      <c r="B701">
        <v>1025</v>
      </c>
      <c r="C701" s="7">
        <v>46036</v>
      </c>
      <c r="D701" t="s">
        <v>50</v>
      </c>
    </row>
    <row r="702" spans="1:4" x14ac:dyDescent="0.25">
      <c r="A702" t="s">
        <v>0</v>
      </c>
      <c r="B702">
        <v>1025</v>
      </c>
      <c r="C702" s="7">
        <v>46037</v>
      </c>
      <c r="D702" t="s">
        <v>50</v>
      </c>
    </row>
    <row r="703" spans="1:4" x14ac:dyDescent="0.25">
      <c r="A703" t="s">
        <v>0</v>
      </c>
      <c r="B703">
        <v>1025</v>
      </c>
      <c r="C703" s="7">
        <v>46038</v>
      </c>
      <c r="D703" t="s">
        <v>50</v>
      </c>
    </row>
    <row r="704" spans="1:4" x14ac:dyDescent="0.25">
      <c r="A704" t="s">
        <v>0</v>
      </c>
      <c r="B704">
        <v>1025</v>
      </c>
      <c r="C704" s="7">
        <v>46039</v>
      </c>
      <c r="D704" t="s">
        <v>50</v>
      </c>
    </row>
    <row r="705" spans="1:4" x14ac:dyDescent="0.25">
      <c r="A705" t="s">
        <v>0</v>
      </c>
      <c r="B705">
        <v>1025</v>
      </c>
      <c r="C705" s="7">
        <v>46041</v>
      </c>
      <c r="D705" t="s">
        <v>50</v>
      </c>
    </row>
    <row r="706" spans="1:4" x14ac:dyDescent="0.25">
      <c r="A706" t="s">
        <v>0</v>
      </c>
      <c r="B706">
        <v>1025</v>
      </c>
      <c r="C706" s="7">
        <v>46042</v>
      </c>
      <c r="D706" t="s">
        <v>50</v>
      </c>
    </row>
    <row r="707" spans="1:4" x14ac:dyDescent="0.25">
      <c r="A707" t="s">
        <v>0</v>
      </c>
      <c r="B707">
        <v>1025</v>
      </c>
      <c r="C707" s="7">
        <v>46043</v>
      </c>
      <c r="D707" t="s">
        <v>50</v>
      </c>
    </row>
    <row r="708" spans="1:4" x14ac:dyDescent="0.25">
      <c r="A708" t="s">
        <v>0</v>
      </c>
      <c r="B708">
        <v>1025</v>
      </c>
      <c r="C708" s="7">
        <v>46044</v>
      </c>
      <c r="D708" t="s">
        <v>50</v>
      </c>
    </row>
    <row r="709" spans="1:4" x14ac:dyDescent="0.25">
      <c r="A709" t="s">
        <v>0</v>
      </c>
      <c r="B709">
        <v>1025</v>
      </c>
      <c r="C709" s="7">
        <v>46045</v>
      </c>
      <c r="D709" t="s">
        <v>50</v>
      </c>
    </row>
    <row r="710" spans="1:4" x14ac:dyDescent="0.25">
      <c r="A710" t="s">
        <v>0</v>
      </c>
      <c r="B710">
        <v>1025</v>
      </c>
      <c r="C710" s="7">
        <v>46046</v>
      </c>
      <c r="D710" t="s">
        <v>50</v>
      </c>
    </row>
    <row r="711" spans="1:4" x14ac:dyDescent="0.25">
      <c r="A711" t="s">
        <v>0</v>
      </c>
      <c r="B711">
        <v>1025</v>
      </c>
      <c r="C711" s="7">
        <v>46048</v>
      </c>
      <c r="D711" t="s">
        <v>50</v>
      </c>
    </row>
    <row r="712" spans="1:4" x14ac:dyDescent="0.25">
      <c r="A712" t="s">
        <v>0</v>
      </c>
      <c r="B712">
        <v>1025</v>
      </c>
      <c r="C712" s="7">
        <v>46049</v>
      </c>
      <c r="D712" t="s">
        <v>50</v>
      </c>
    </row>
    <row r="713" spans="1:4" x14ac:dyDescent="0.25">
      <c r="A713" t="s">
        <v>0</v>
      </c>
      <c r="B713">
        <v>1025</v>
      </c>
      <c r="C713" s="7">
        <v>46050</v>
      </c>
      <c r="D713" t="s">
        <v>50</v>
      </c>
    </row>
    <row r="714" spans="1:4" x14ac:dyDescent="0.25">
      <c r="A714" t="s">
        <v>0</v>
      </c>
      <c r="B714">
        <v>1025</v>
      </c>
      <c r="C714" s="7">
        <v>46051</v>
      </c>
      <c r="D714" t="s">
        <v>50</v>
      </c>
    </row>
    <row r="715" spans="1:4" x14ac:dyDescent="0.25">
      <c r="A715" t="s">
        <v>0</v>
      </c>
      <c r="B715">
        <v>1025</v>
      </c>
      <c r="C715" s="7">
        <v>46052</v>
      </c>
      <c r="D715" t="s">
        <v>50</v>
      </c>
    </row>
    <row r="716" spans="1:4" x14ac:dyDescent="0.25">
      <c r="A716" t="s">
        <v>0</v>
      </c>
      <c r="B716">
        <v>1025</v>
      </c>
      <c r="C716" s="7">
        <v>46053</v>
      </c>
      <c r="D716" t="s">
        <v>50</v>
      </c>
    </row>
    <row r="717" spans="1:4" x14ac:dyDescent="0.25">
      <c r="A717" t="s">
        <v>0</v>
      </c>
      <c r="B717">
        <v>1026</v>
      </c>
      <c r="C717" s="7">
        <v>46023</v>
      </c>
      <c r="D717" t="s">
        <v>50</v>
      </c>
    </row>
    <row r="718" spans="1:4" x14ac:dyDescent="0.25">
      <c r="A718" t="s">
        <v>0</v>
      </c>
      <c r="B718">
        <v>1026</v>
      </c>
      <c r="C718" s="7">
        <v>46024</v>
      </c>
      <c r="D718" t="s">
        <v>50</v>
      </c>
    </row>
    <row r="719" spans="1:4" x14ac:dyDescent="0.25">
      <c r="A719" t="s">
        <v>0</v>
      </c>
      <c r="B719">
        <v>1026</v>
      </c>
      <c r="C719" s="7">
        <v>46025</v>
      </c>
      <c r="D719" t="s">
        <v>50</v>
      </c>
    </row>
    <row r="720" spans="1:4" x14ac:dyDescent="0.25">
      <c r="A720" t="s">
        <v>0</v>
      </c>
      <c r="B720">
        <v>1026</v>
      </c>
      <c r="C720" s="7">
        <v>46027</v>
      </c>
      <c r="D720" t="s">
        <v>50</v>
      </c>
    </row>
    <row r="721" spans="1:4" x14ac:dyDescent="0.25">
      <c r="A721" t="s">
        <v>0</v>
      </c>
      <c r="B721">
        <v>1026</v>
      </c>
      <c r="C721" s="7">
        <v>46028</v>
      </c>
      <c r="D721" t="s">
        <v>50</v>
      </c>
    </row>
    <row r="722" spans="1:4" x14ac:dyDescent="0.25">
      <c r="A722" t="s">
        <v>0</v>
      </c>
      <c r="B722">
        <v>1026</v>
      </c>
      <c r="C722" s="7">
        <v>46029</v>
      </c>
      <c r="D722" t="s">
        <v>50</v>
      </c>
    </row>
    <row r="723" spans="1:4" x14ac:dyDescent="0.25">
      <c r="A723" t="s">
        <v>0</v>
      </c>
      <c r="B723">
        <v>1026</v>
      </c>
      <c r="C723" s="7">
        <v>46030</v>
      </c>
      <c r="D723" t="s">
        <v>50</v>
      </c>
    </row>
    <row r="724" spans="1:4" x14ac:dyDescent="0.25">
      <c r="A724" t="s">
        <v>0</v>
      </c>
      <c r="B724">
        <v>1026</v>
      </c>
      <c r="C724" s="7">
        <v>46031</v>
      </c>
      <c r="D724" t="s">
        <v>50</v>
      </c>
    </row>
    <row r="725" spans="1:4" x14ac:dyDescent="0.25">
      <c r="A725" t="s">
        <v>0</v>
      </c>
      <c r="B725">
        <v>1026</v>
      </c>
      <c r="C725" s="7">
        <v>46032</v>
      </c>
      <c r="D725" t="s">
        <v>50</v>
      </c>
    </row>
    <row r="726" spans="1:4" x14ac:dyDescent="0.25">
      <c r="A726" t="s">
        <v>0</v>
      </c>
      <c r="B726">
        <v>1026</v>
      </c>
      <c r="C726" s="7">
        <v>46034</v>
      </c>
      <c r="D726" t="s">
        <v>50</v>
      </c>
    </row>
    <row r="727" spans="1:4" x14ac:dyDescent="0.25">
      <c r="A727" t="s">
        <v>0</v>
      </c>
      <c r="B727">
        <v>1026</v>
      </c>
      <c r="C727" s="7">
        <v>46035</v>
      </c>
      <c r="D727" t="s">
        <v>50</v>
      </c>
    </row>
    <row r="728" spans="1:4" x14ac:dyDescent="0.25">
      <c r="A728" t="s">
        <v>0</v>
      </c>
      <c r="B728">
        <v>1026</v>
      </c>
      <c r="C728" s="7">
        <v>46036</v>
      </c>
      <c r="D728" t="s">
        <v>50</v>
      </c>
    </row>
    <row r="729" spans="1:4" x14ac:dyDescent="0.25">
      <c r="A729" t="s">
        <v>0</v>
      </c>
      <c r="B729">
        <v>1026</v>
      </c>
      <c r="C729" s="7">
        <v>46037</v>
      </c>
      <c r="D729" t="s">
        <v>50</v>
      </c>
    </row>
    <row r="730" spans="1:4" x14ac:dyDescent="0.25">
      <c r="A730" t="s">
        <v>0</v>
      </c>
      <c r="B730">
        <v>1026</v>
      </c>
      <c r="C730" s="7">
        <v>46038</v>
      </c>
      <c r="D730" t="s">
        <v>50</v>
      </c>
    </row>
    <row r="731" spans="1:4" x14ac:dyDescent="0.25">
      <c r="A731" t="s">
        <v>0</v>
      </c>
      <c r="B731">
        <v>1026</v>
      </c>
      <c r="C731" s="7">
        <v>46039</v>
      </c>
      <c r="D731" t="s">
        <v>50</v>
      </c>
    </row>
    <row r="732" spans="1:4" x14ac:dyDescent="0.25">
      <c r="A732" t="s">
        <v>0</v>
      </c>
      <c r="B732">
        <v>1026</v>
      </c>
      <c r="C732" s="7">
        <v>46041</v>
      </c>
      <c r="D732" t="s">
        <v>50</v>
      </c>
    </row>
    <row r="733" spans="1:4" x14ac:dyDescent="0.25">
      <c r="A733" t="s">
        <v>0</v>
      </c>
      <c r="B733">
        <v>1026</v>
      </c>
      <c r="C733" s="7">
        <v>46042</v>
      </c>
      <c r="D733" t="s">
        <v>50</v>
      </c>
    </row>
    <row r="734" spans="1:4" x14ac:dyDescent="0.25">
      <c r="A734" t="s">
        <v>0</v>
      </c>
      <c r="B734">
        <v>1026</v>
      </c>
      <c r="C734" s="7">
        <v>46043</v>
      </c>
      <c r="D734" t="s">
        <v>50</v>
      </c>
    </row>
    <row r="735" spans="1:4" x14ac:dyDescent="0.25">
      <c r="A735" t="s">
        <v>0</v>
      </c>
      <c r="B735">
        <v>1026</v>
      </c>
      <c r="C735" s="7">
        <v>46044</v>
      </c>
      <c r="D735" t="s">
        <v>50</v>
      </c>
    </row>
    <row r="736" spans="1:4" x14ac:dyDescent="0.25">
      <c r="A736" t="s">
        <v>0</v>
      </c>
      <c r="B736">
        <v>1026</v>
      </c>
      <c r="C736" s="7">
        <v>46045</v>
      </c>
      <c r="D736" t="s">
        <v>50</v>
      </c>
    </row>
    <row r="737" spans="1:4" x14ac:dyDescent="0.25">
      <c r="A737" t="s">
        <v>0</v>
      </c>
      <c r="B737">
        <v>1026</v>
      </c>
      <c r="C737" s="7">
        <v>46046</v>
      </c>
      <c r="D737" t="s">
        <v>50</v>
      </c>
    </row>
    <row r="738" spans="1:4" x14ac:dyDescent="0.25">
      <c r="A738" t="s">
        <v>0</v>
      </c>
      <c r="B738">
        <v>1026</v>
      </c>
      <c r="C738" s="7">
        <v>46048</v>
      </c>
      <c r="D738" t="s">
        <v>50</v>
      </c>
    </row>
    <row r="739" spans="1:4" x14ac:dyDescent="0.25">
      <c r="A739" t="s">
        <v>0</v>
      </c>
      <c r="B739">
        <v>1026</v>
      </c>
      <c r="C739" s="7">
        <v>46049</v>
      </c>
      <c r="D739" t="s">
        <v>51</v>
      </c>
    </row>
    <row r="740" spans="1:4" x14ac:dyDescent="0.25">
      <c r="A740" t="s">
        <v>0</v>
      </c>
      <c r="B740">
        <v>1026</v>
      </c>
      <c r="C740" s="7">
        <v>46050</v>
      </c>
      <c r="D740" t="s">
        <v>50</v>
      </c>
    </row>
    <row r="741" spans="1:4" x14ac:dyDescent="0.25">
      <c r="A741" t="s">
        <v>0</v>
      </c>
      <c r="B741">
        <v>1026</v>
      </c>
      <c r="C741" s="7">
        <v>46051</v>
      </c>
      <c r="D741" t="s">
        <v>50</v>
      </c>
    </row>
    <row r="742" spans="1:4" x14ac:dyDescent="0.25">
      <c r="A742" t="s">
        <v>0</v>
      </c>
      <c r="B742">
        <v>1026</v>
      </c>
      <c r="C742" s="7">
        <v>46052</v>
      </c>
      <c r="D742" t="s">
        <v>50</v>
      </c>
    </row>
    <row r="743" spans="1:4" x14ac:dyDescent="0.25">
      <c r="A743" t="s">
        <v>0</v>
      </c>
      <c r="B743">
        <v>1026</v>
      </c>
      <c r="C743" s="7">
        <v>46053</v>
      </c>
      <c r="D743" t="s">
        <v>50</v>
      </c>
    </row>
    <row r="744" spans="1:4" x14ac:dyDescent="0.25">
      <c r="A744" t="s">
        <v>0</v>
      </c>
      <c r="B744">
        <v>1027</v>
      </c>
      <c r="C744" s="7">
        <v>46023</v>
      </c>
      <c r="D744" t="s">
        <v>50</v>
      </c>
    </row>
    <row r="745" spans="1:4" x14ac:dyDescent="0.25">
      <c r="A745" t="s">
        <v>0</v>
      </c>
      <c r="B745">
        <v>1027</v>
      </c>
      <c r="C745" s="7">
        <v>46024</v>
      </c>
      <c r="D745" t="s">
        <v>50</v>
      </c>
    </row>
    <row r="746" spans="1:4" x14ac:dyDescent="0.25">
      <c r="A746" t="s">
        <v>0</v>
      </c>
      <c r="B746">
        <v>1027</v>
      </c>
      <c r="C746" s="7">
        <v>46025</v>
      </c>
      <c r="D746" t="s">
        <v>50</v>
      </c>
    </row>
    <row r="747" spans="1:4" x14ac:dyDescent="0.25">
      <c r="A747" t="s">
        <v>0</v>
      </c>
      <c r="B747">
        <v>1027</v>
      </c>
      <c r="C747" s="7">
        <v>46027</v>
      </c>
      <c r="D747" t="s">
        <v>50</v>
      </c>
    </row>
    <row r="748" spans="1:4" x14ac:dyDescent="0.25">
      <c r="A748" t="s">
        <v>0</v>
      </c>
      <c r="B748">
        <v>1027</v>
      </c>
      <c r="C748" s="7">
        <v>46028</v>
      </c>
      <c r="D748" t="s">
        <v>50</v>
      </c>
    </row>
    <row r="749" spans="1:4" x14ac:dyDescent="0.25">
      <c r="A749" t="s">
        <v>0</v>
      </c>
      <c r="B749">
        <v>1027</v>
      </c>
      <c r="C749" s="7">
        <v>46029</v>
      </c>
      <c r="D749" t="s">
        <v>50</v>
      </c>
    </row>
    <row r="750" spans="1:4" x14ac:dyDescent="0.25">
      <c r="A750" t="s">
        <v>0</v>
      </c>
      <c r="B750">
        <v>1027</v>
      </c>
      <c r="C750" s="7">
        <v>46030</v>
      </c>
      <c r="D750" t="s">
        <v>51</v>
      </c>
    </row>
    <row r="751" spans="1:4" x14ac:dyDescent="0.25">
      <c r="A751" t="s">
        <v>0</v>
      </c>
      <c r="B751">
        <v>1027</v>
      </c>
      <c r="C751" s="7">
        <v>46031</v>
      </c>
      <c r="D751" t="s">
        <v>50</v>
      </c>
    </row>
    <row r="752" spans="1:4" x14ac:dyDescent="0.25">
      <c r="A752" t="s">
        <v>0</v>
      </c>
      <c r="B752">
        <v>1027</v>
      </c>
      <c r="C752" s="7">
        <v>46032</v>
      </c>
      <c r="D752" t="s">
        <v>50</v>
      </c>
    </row>
    <row r="753" spans="1:4" x14ac:dyDescent="0.25">
      <c r="A753" t="s">
        <v>0</v>
      </c>
      <c r="B753">
        <v>1027</v>
      </c>
      <c r="C753" s="7">
        <v>46034</v>
      </c>
      <c r="D753" t="s">
        <v>50</v>
      </c>
    </row>
    <row r="754" spans="1:4" x14ac:dyDescent="0.25">
      <c r="A754" t="s">
        <v>0</v>
      </c>
      <c r="B754">
        <v>1027</v>
      </c>
      <c r="C754" s="7">
        <v>46035</v>
      </c>
      <c r="D754" t="s">
        <v>50</v>
      </c>
    </row>
    <row r="755" spans="1:4" x14ac:dyDescent="0.25">
      <c r="A755" t="s">
        <v>0</v>
      </c>
      <c r="B755">
        <v>1027</v>
      </c>
      <c r="C755" s="7">
        <v>46036</v>
      </c>
      <c r="D755" t="s">
        <v>50</v>
      </c>
    </row>
    <row r="756" spans="1:4" x14ac:dyDescent="0.25">
      <c r="A756" t="s">
        <v>0</v>
      </c>
      <c r="B756">
        <v>1027</v>
      </c>
      <c r="C756" s="7">
        <v>46037</v>
      </c>
      <c r="D756" t="s">
        <v>50</v>
      </c>
    </row>
    <row r="757" spans="1:4" x14ac:dyDescent="0.25">
      <c r="A757" t="s">
        <v>0</v>
      </c>
      <c r="B757">
        <v>1027</v>
      </c>
      <c r="C757" s="7">
        <v>46038</v>
      </c>
      <c r="D757" t="s">
        <v>50</v>
      </c>
    </row>
    <row r="758" spans="1:4" x14ac:dyDescent="0.25">
      <c r="A758" t="s">
        <v>0</v>
      </c>
      <c r="B758">
        <v>1027</v>
      </c>
      <c r="C758" s="7">
        <v>46039</v>
      </c>
      <c r="D758" t="s">
        <v>50</v>
      </c>
    </row>
    <row r="759" spans="1:4" x14ac:dyDescent="0.25">
      <c r="A759" t="s">
        <v>0</v>
      </c>
      <c r="B759">
        <v>1027</v>
      </c>
      <c r="C759" s="7">
        <v>46041</v>
      </c>
      <c r="D759" t="s">
        <v>50</v>
      </c>
    </row>
    <row r="760" spans="1:4" x14ac:dyDescent="0.25">
      <c r="A760" t="s">
        <v>0</v>
      </c>
      <c r="B760">
        <v>1027</v>
      </c>
      <c r="C760" s="7">
        <v>46042</v>
      </c>
      <c r="D760" t="s">
        <v>50</v>
      </c>
    </row>
    <row r="761" spans="1:4" x14ac:dyDescent="0.25">
      <c r="A761" t="s">
        <v>0</v>
      </c>
      <c r="B761">
        <v>1027</v>
      </c>
      <c r="C761" s="7">
        <v>46043</v>
      </c>
      <c r="D761" t="s">
        <v>50</v>
      </c>
    </row>
    <row r="762" spans="1:4" x14ac:dyDescent="0.25">
      <c r="A762" t="s">
        <v>0</v>
      </c>
      <c r="B762">
        <v>1027</v>
      </c>
      <c r="C762" s="7">
        <v>46044</v>
      </c>
      <c r="D762" t="s">
        <v>50</v>
      </c>
    </row>
    <row r="763" spans="1:4" x14ac:dyDescent="0.25">
      <c r="A763" t="s">
        <v>0</v>
      </c>
      <c r="B763">
        <v>1027</v>
      </c>
      <c r="C763" s="7">
        <v>46045</v>
      </c>
      <c r="D763" t="s">
        <v>50</v>
      </c>
    </row>
    <row r="764" spans="1:4" x14ac:dyDescent="0.25">
      <c r="A764" t="s">
        <v>0</v>
      </c>
      <c r="B764">
        <v>1027</v>
      </c>
      <c r="C764" s="7">
        <v>46046</v>
      </c>
      <c r="D764" t="s">
        <v>50</v>
      </c>
    </row>
    <row r="765" spans="1:4" x14ac:dyDescent="0.25">
      <c r="A765" t="s">
        <v>0</v>
      </c>
      <c r="B765">
        <v>1027</v>
      </c>
      <c r="C765" s="7">
        <v>46048</v>
      </c>
      <c r="D765" t="s">
        <v>50</v>
      </c>
    </row>
    <row r="766" spans="1:4" x14ac:dyDescent="0.25">
      <c r="A766" t="s">
        <v>0</v>
      </c>
      <c r="B766">
        <v>1027</v>
      </c>
      <c r="C766" s="7">
        <v>46049</v>
      </c>
      <c r="D766" t="s">
        <v>50</v>
      </c>
    </row>
    <row r="767" spans="1:4" x14ac:dyDescent="0.25">
      <c r="A767" t="s">
        <v>0</v>
      </c>
      <c r="B767">
        <v>1027</v>
      </c>
      <c r="C767" s="7">
        <v>46050</v>
      </c>
      <c r="D767" t="s">
        <v>50</v>
      </c>
    </row>
    <row r="768" spans="1:4" x14ac:dyDescent="0.25">
      <c r="A768" t="s">
        <v>0</v>
      </c>
      <c r="B768">
        <v>1027</v>
      </c>
      <c r="C768" s="7">
        <v>46051</v>
      </c>
      <c r="D768" t="s">
        <v>50</v>
      </c>
    </row>
    <row r="769" spans="1:4" x14ac:dyDescent="0.25">
      <c r="A769" t="s">
        <v>0</v>
      </c>
      <c r="B769">
        <v>1027</v>
      </c>
      <c r="C769" s="7">
        <v>46052</v>
      </c>
      <c r="D769" t="s">
        <v>50</v>
      </c>
    </row>
    <row r="770" spans="1:4" x14ac:dyDescent="0.25">
      <c r="A770" t="s">
        <v>0</v>
      </c>
      <c r="B770">
        <v>1027</v>
      </c>
      <c r="C770" s="7">
        <v>46053</v>
      </c>
      <c r="D770" t="s">
        <v>50</v>
      </c>
    </row>
    <row r="771" spans="1:4" x14ac:dyDescent="0.25">
      <c r="A771" t="s">
        <v>0</v>
      </c>
      <c r="B771">
        <v>1028</v>
      </c>
      <c r="C771" s="7">
        <v>46023</v>
      </c>
      <c r="D771" t="s">
        <v>50</v>
      </c>
    </row>
    <row r="772" spans="1:4" x14ac:dyDescent="0.25">
      <c r="A772" t="s">
        <v>0</v>
      </c>
      <c r="B772">
        <v>1028</v>
      </c>
      <c r="C772" s="7">
        <v>46024</v>
      </c>
      <c r="D772" t="s">
        <v>50</v>
      </c>
    </row>
    <row r="773" spans="1:4" x14ac:dyDescent="0.25">
      <c r="A773" t="s">
        <v>0</v>
      </c>
      <c r="B773">
        <v>1028</v>
      </c>
      <c r="C773" s="7">
        <v>46025</v>
      </c>
      <c r="D773" t="s">
        <v>50</v>
      </c>
    </row>
    <row r="774" spans="1:4" x14ac:dyDescent="0.25">
      <c r="A774" t="s">
        <v>0</v>
      </c>
      <c r="B774">
        <v>1028</v>
      </c>
      <c r="C774" s="7">
        <v>46027</v>
      </c>
      <c r="D774" t="s">
        <v>50</v>
      </c>
    </row>
    <row r="775" spans="1:4" x14ac:dyDescent="0.25">
      <c r="A775" t="s">
        <v>0</v>
      </c>
      <c r="B775">
        <v>1028</v>
      </c>
      <c r="C775" s="7">
        <v>46028</v>
      </c>
      <c r="D775" t="s">
        <v>50</v>
      </c>
    </row>
    <row r="776" spans="1:4" x14ac:dyDescent="0.25">
      <c r="A776" t="s">
        <v>0</v>
      </c>
      <c r="B776">
        <v>1028</v>
      </c>
      <c r="C776" s="7">
        <v>46029</v>
      </c>
      <c r="D776" t="s">
        <v>50</v>
      </c>
    </row>
    <row r="777" spans="1:4" x14ac:dyDescent="0.25">
      <c r="A777" t="s">
        <v>0</v>
      </c>
      <c r="B777">
        <v>1028</v>
      </c>
      <c r="C777" s="7">
        <v>46030</v>
      </c>
      <c r="D777" t="s">
        <v>50</v>
      </c>
    </row>
    <row r="778" spans="1:4" x14ac:dyDescent="0.25">
      <c r="A778" t="s">
        <v>0</v>
      </c>
      <c r="B778">
        <v>1028</v>
      </c>
      <c r="C778" s="7">
        <v>46031</v>
      </c>
      <c r="D778" t="s">
        <v>50</v>
      </c>
    </row>
    <row r="779" spans="1:4" x14ac:dyDescent="0.25">
      <c r="A779" t="s">
        <v>0</v>
      </c>
      <c r="B779">
        <v>1028</v>
      </c>
      <c r="C779" s="7">
        <v>46032</v>
      </c>
      <c r="D779" t="s">
        <v>50</v>
      </c>
    </row>
    <row r="780" spans="1:4" x14ac:dyDescent="0.25">
      <c r="A780" t="s">
        <v>0</v>
      </c>
      <c r="B780">
        <v>1028</v>
      </c>
      <c r="C780" s="7">
        <v>46034</v>
      </c>
      <c r="D780" t="s">
        <v>50</v>
      </c>
    </row>
    <row r="781" spans="1:4" x14ac:dyDescent="0.25">
      <c r="A781" t="s">
        <v>0</v>
      </c>
      <c r="B781">
        <v>1028</v>
      </c>
      <c r="C781" s="7">
        <v>46035</v>
      </c>
      <c r="D781" t="s">
        <v>50</v>
      </c>
    </row>
    <row r="782" spans="1:4" x14ac:dyDescent="0.25">
      <c r="A782" t="s">
        <v>0</v>
      </c>
      <c r="B782">
        <v>1028</v>
      </c>
      <c r="C782" s="7">
        <v>46036</v>
      </c>
      <c r="D782" t="s">
        <v>50</v>
      </c>
    </row>
    <row r="783" spans="1:4" x14ac:dyDescent="0.25">
      <c r="A783" t="s">
        <v>0</v>
      </c>
      <c r="B783">
        <v>1028</v>
      </c>
      <c r="C783" s="7">
        <v>46037</v>
      </c>
      <c r="D783" t="s">
        <v>50</v>
      </c>
    </row>
    <row r="784" spans="1:4" x14ac:dyDescent="0.25">
      <c r="A784" t="s">
        <v>0</v>
      </c>
      <c r="B784">
        <v>1028</v>
      </c>
      <c r="C784" s="7">
        <v>46038</v>
      </c>
      <c r="D784" t="s">
        <v>50</v>
      </c>
    </row>
    <row r="785" spans="1:4" x14ac:dyDescent="0.25">
      <c r="A785" t="s">
        <v>0</v>
      </c>
      <c r="B785">
        <v>1028</v>
      </c>
      <c r="C785" s="7">
        <v>46039</v>
      </c>
      <c r="D785" t="s">
        <v>50</v>
      </c>
    </row>
    <row r="786" spans="1:4" x14ac:dyDescent="0.25">
      <c r="A786" t="s">
        <v>0</v>
      </c>
      <c r="B786">
        <v>1028</v>
      </c>
      <c r="C786" s="7">
        <v>46041</v>
      </c>
      <c r="D786" t="s">
        <v>50</v>
      </c>
    </row>
    <row r="787" spans="1:4" x14ac:dyDescent="0.25">
      <c r="A787" t="s">
        <v>0</v>
      </c>
      <c r="B787">
        <v>1028</v>
      </c>
      <c r="C787" s="7">
        <v>46042</v>
      </c>
      <c r="D787" t="s">
        <v>50</v>
      </c>
    </row>
    <row r="788" spans="1:4" x14ac:dyDescent="0.25">
      <c r="A788" t="s">
        <v>0</v>
      </c>
      <c r="B788">
        <v>1028</v>
      </c>
      <c r="C788" s="7">
        <v>46043</v>
      </c>
      <c r="D788" t="s">
        <v>50</v>
      </c>
    </row>
    <row r="789" spans="1:4" x14ac:dyDescent="0.25">
      <c r="A789" t="s">
        <v>0</v>
      </c>
      <c r="B789">
        <v>1028</v>
      </c>
      <c r="C789" s="7">
        <v>46044</v>
      </c>
      <c r="D789" t="s">
        <v>50</v>
      </c>
    </row>
    <row r="790" spans="1:4" x14ac:dyDescent="0.25">
      <c r="A790" t="s">
        <v>0</v>
      </c>
      <c r="B790">
        <v>1028</v>
      </c>
      <c r="C790" s="7">
        <v>46045</v>
      </c>
      <c r="D790" t="s">
        <v>50</v>
      </c>
    </row>
    <row r="791" spans="1:4" x14ac:dyDescent="0.25">
      <c r="A791" t="s">
        <v>0</v>
      </c>
      <c r="B791">
        <v>1028</v>
      </c>
      <c r="C791" s="7">
        <v>46046</v>
      </c>
      <c r="D791" t="s">
        <v>50</v>
      </c>
    </row>
    <row r="792" spans="1:4" x14ac:dyDescent="0.25">
      <c r="A792" t="s">
        <v>0</v>
      </c>
      <c r="B792">
        <v>1028</v>
      </c>
      <c r="C792" s="7">
        <v>46048</v>
      </c>
      <c r="D792" t="s">
        <v>50</v>
      </c>
    </row>
    <row r="793" spans="1:4" x14ac:dyDescent="0.25">
      <c r="A793" t="s">
        <v>0</v>
      </c>
      <c r="B793">
        <v>1028</v>
      </c>
      <c r="C793" s="7">
        <v>46049</v>
      </c>
      <c r="D793" t="s">
        <v>50</v>
      </c>
    </row>
    <row r="794" spans="1:4" x14ac:dyDescent="0.25">
      <c r="A794" t="s">
        <v>0</v>
      </c>
      <c r="B794">
        <v>1028</v>
      </c>
      <c r="C794" s="7">
        <v>46050</v>
      </c>
      <c r="D794" t="s">
        <v>50</v>
      </c>
    </row>
    <row r="795" spans="1:4" x14ac:dyDescent="0.25">
      <c r="A795" t="s">
        <v>0</v>
      </c>
      <c r="B795">
        <v>1028</v>
      </c>
      <c r="C795" s="7">
        <v>46051</v>
      </c>
      <c r="D795" t="s">
        <v>50</v>
      </c>
    </row>
    <row r="796" spans="1:4" x14ac:dyDescent="0.25">
      <c r="A796" t="s">
        <v>0</v>
      </c>
      <c r="B796">
        <v>1028</v>
      </c>
      <c r="C796" s="7">
        <v>46052</v>
      </c>
      <c r="D796" t="s">
        <v>50</v>
      </c>
    </row>
    <row r="797" spans="1:4" x14ac:dyDescent="0.25">
      <c r="A797" t="s">
        <v>0</v>
      </c>
      <c r="B797">
        <v>1028</v>
      </c>
      <c r="C797" s="7">
        <v>46053</v>
      </c>
      <c r="D797" t="s">
        <v>50</v>
      </c>
    </row>
    <row r="798" spans="1:4" x14ac:dyDescent="0.25">
      <c r="A798" t="s">
        <v>0</v>
      </c>
      <c r="B798">
        <v>1029</v>
      </c>
      <c r="C798" s="7">
        <v>46023</v>
      </c>
      <c r="D798" t="s">
        <v>50</v>
      </c>
    </row>
    <row r="799" spans="1:4" x14ac:dyDescent="0.25">
      <c r="A799" t="s">
        <v>0</v>
      </c>
      <c r="B799">
        <v>1029</v>
      </c>
      <c r="C799" s="7">
        <v>46024</v>
      </c>
      <c r="D799" t="s">
        <v>50</v>
      </c>
    </row>
    <row r="800" spans="1:4" x14ac:dyDescent="0.25">
      <c r="A800" t="s">
        <v>0</v>
      </c>
      <c r="B800">
        <v>1029</v>
      </c>
      <c r="C800" s="7">
        <v>46025</v>
      </c>
      <c r="D800" t="s">
        <v>50</v>
      </c>
    </row>
    <row r="801" spans="1:4" x14ac:dyDescent="0.25">
      <c r="A801" t="s">
        <v>0</v>
      </c>
      <c r="B801">
        <v>1029</v>
      </c>
      <c r="C801" s="7">
        <v>46027</v>
      </c>
      <c r="D801" t="s">
        <v>50</v>
      </c>
    </row>
    <row r="802" spans="1:4" x14ac:dyDescent="0.25">
      <c r="A802" t="s">
        <v>0</v>
      </c>
      <c r="B802">
        <v>1029</v>
      </c>
      <c r="C802" s="7">
        <v>46028</v>
      </c>
      <c r="D802" t="s">
        <v>50</v>
      </c>
    </row>
    <row r="803" spans="1:4" x14ac:dyDescent="0.25">
      <c r="A803" t="s">
        <v>0</v>
      </c>
      <c r="B803">
        <v>1029</v>
      </c>
      <c r="C803" s="7">
        <v>46029</v>
      </c>
      <c r="D803" t="s">
        <v>50</v>
      </c>
    </row>
    <row r="804" spans="1:4" x14ac:dyDescent="0.25">
      <c r="A804" t="s">
        <v>0</v>
      </c>
      <c r="B804">
        <v>1029</v>
      </c>
      <c r="C804" s="7">
        <v>46030</v>
      </c>
      <c r="D804" t="s">
        <v>50</v>
      </c>
    </row>
    <row r="805" spans="1:4" x14ac:dyDescent="0.25">
      <c r="A805" t="s">
        <v>0</v>
      </c>
      <c r="B805">
        <v>1029</v>
      </c>
      <c r="C805" s="7">
        <v>46031</v>
      </c>
      <c r="D805" t="s">
        <v>50</v>
      </c>
    </row>
    <row r="806" spans="1:4" x14ac:dyDescent="0.25">
      <c r="A806" t="s">
        <v>0</v>
      </c>
      <c r="B806">
        <v>1029</v>
      </c>
      <c r="C806" s="7">
        <v>46032</v>
      </c>
      <c r="D806" t="s">
        <v>50</v>
      </c>
    </row>
    <row r="807" spans="1:4" x14ac:dyDescent="0.25">
      <c r="A807" t="s">
        <v>0</v>
      </c>
      <c r="B807">
        <v>1029</v>
      </c>
      <c r="C807" s="7">
        <v>46034</v>
      </c>
      <c r="D807" t="s">
        <v>50</v>
      </c>
    </row>
    <row r="808" spans="1:4" x14ac:dyDescent="0.25">
      <c r="A808" t="s">
        <v>0</v>
      </c>
      <c r="B808">
        <v>1029</v>
      </c>
      <c r="C808" s="7">
        <v>46035</v>
      </c>
      <c r="D808" t="s">
        <v>50</v>
      </c>
    </row>
    <row r="809" spans="1:4" x14ac:dyDescent="0.25">
      <c r="A809" t="s">
        <v>0</v>
      </c>
      <c r="B809">
        <v>1029</v>
      </c>
      <c r="C809" s="7">
        <v>46036</v>
      </c>
      <c r="D809" t="s">
        <v>50</v>
      </c>
    </row>
    <row r="810" spans="1:4" x14ac:dyDescent="0.25">
      <c r="A810" t="s">
        <v>0</v>
      </c>
      <c r="B810">
        <v>1029</v>
      </c>
      <c r="C810" s="7">
        <v>46037</v>
      </c>
      <c r="D810" t="s">
        <v>50</v>
      </c>
    </row>
    <row r="811" spans="1:4" x14ac:dyDescent="0.25">
      <c r="A811" t="s">
        <v>0</v>
      </c>
      <c r="B811">
        <v>1029</v>
      </c>
      <c r="C811" s="7">
        <v>46038</v>
      </c>
      <c r="D811" t="s">
        <v>50</v>
      </c>
    </row>
    <row r="812" spans="1:4" x14ac:dyDescent="0.25">
      <c r="A812" t="s">
        <v>0</v>
      </c>
      <c r="B812">
        <v>1029</v>
      </c>
      <c r="C812" s="7">
        <v>46039</v>
      </c>
      <c r="D812" t="s">
        <v>50</v>
      </c>
    </row>
    <row r="813" spans="1:4" x14ac:dyDescent="0.25">
      <c r="A813" t="s">
        <v>0</v>
      </c>
      <c r="B813">
        <v>1029</v>
      </c>
      <c r="C813" s="7">
        <v>46041</v>
      </c>
      <c r="D813" t="s">
        <v>50</v>
      </c>
    </row>
    <row r="814" spans="1:4" x14ac:dyDescent="0.25">
      <c r="A814" t="s">
        <v>0</v>
      </c>
      <c r="B814">
        <v>1029</v>
      </c>
      <c r="C814" s="7">
        <v>46042</v>
      </c>
      <c r="D814" t="s">
        <v>50</v>
      </c>
    </row>
    <row r="815" spans="1:4" x14ac:dyDescent="0.25">
      <c r="A815" t="s">
        <v>0</v>
      </c>
      <c r="B815">
        <v>1029</v>
      </c>
      <c r="C815" s="7">
        <v>46043</v>
      </c>
      <c r="D815" t="s">
        <v>50</v>
      </c>
    </row>
    <row r="816" spans="1:4" x14ac:dyDescent="0.25">
      <c r="A816" t="s">
        <v>0</v>
      </c>
      <c r="B816">
        <v>1029</v>
      </c>
      <c r="C816" s="7">
        <v>46044</v>
      </c>
      <c r="D816" t="s">
        <v>50</v>
      </c>
    </row>
    <row r="817" spans="1:4" x14ac:dyDescent="0.25">
      <c r="A817" t="s">
        <v>0</v>
      </c>
      <c r="B817">
        <v>1029</v>
      </c>
      <c r="C817" s="7">
        <v>46045</v>
      </c>
      <c r="D817" t="s">
        <v>50</v>
      </c>
    </row>
    <row r="818" spans="1:4" x14ac:dyDescent="0.25">
      <c r="A818" t="s">
        <v>0</v>
      </c>
      <c r="B818">
        <v>1029</v>
      </c>
      <c r="C818" s="7">
        <v>46046</v>
      </c>
      <c r="D818" t="s">
        <v>50</v>
      </c>
    </row>
    <row r="819" spans="1:4" x14ac:dyDescent="0.25">
      <c r="A819" t="s">
        <v>0</v>
      </c>
      <c r="B819">
        <v>1029</v>
      </c>
      <c r="C819" s="7">
        <v>46048</v>
      </c>
      <c r="D819" t="s">
        <v>50</v>
      </c>
    </row>
    <row r="820" spans="1:4" x14ac:dyDescent="0.25">
      <c r="A820" t="s">
        <v>0</v>
      </c>
      <c r="B820">
        <v>1029</v>
      </c>
      <c r="C820" s="7">
        <v>46049</v>
      </c>
      <c r="D820" t="s">
        <v>50</v>
      </c>
    </row>
    <row r="821" spans="1:4" x14ac:dyDescent="0.25">
      <c r="A821" t="s">
        <v>0</v>
      </c>
      <c r="B821">
        <v>1029</v>
      </c>
      <c r="C821" s="7">
        <v>46050</v>
      </c>
      <c r="D821" t="s">
        <v>50</v>
      </c>
    </row>
    <row r="822" spans="1:4" x14ac:dyDescent="0.25">
      <c r="A822" t="s">
        <v>0</v>
      </c>
      <c r="B822">
        <v>1029</v>
      </c>
      <c r="C822" s="7">
        <v>46051</v>
      </c>
      <c r="D822" t="s">
        <v>50</v>
      </c>
    </row>
    <row r="823" spans="1:4" x14ac:dyDescent="0.25">
      <c r="A823" t="s">
        <v>0</v>
      </c>
      <c r="B823">
        <v>1029</v>
      </c>
      <c r="C823" s="7">
        <v>46052</v>
      </c>
      <c r="D823" t="s">
        <v>50</v>
      </c>
    </row>
    <row r="824" spans="1:4" x14ac:dyDescent="0.25">
      <c r="A824" t="s">
        <v>0</v>
      </c>
      <c r="B824">
        <v>1029</v>
      </c>
      <c r="C824" s="7">
        <v>46053</v>
      </c>
      <c r="D824" t="s">
        <v>50</v>
      </c>
    </row>
    <row r="825" spans="1:4" x14ac:dyDescent="0.25">
      <c r="A825" t="s">
        <v>0</v>
      </c>
      <c r="B825">
        <v>1030</v>
      </c>
      <c r="C825" s="7">
        <v>46023</v>
      </c>
      <c r="D825" t="s">
        <v>50</v>
      </c>
    </row>
    <row r="826" spans="1:4" x14ac:dyDescent="0.25">
      <c r="A826" t="s">
        <v>0</v>
      </c>
      <c r="B826">
        <v>1030</v>
      </c>
      <c r="C826" s="7">
        <v>46024</v>
      </c>
      <c r="D826" t="s">
        <v>50</v>
      </c>
    </row>
    <row r="827" spans="1:4" x14ac:dyDescent="0.25">
      <c r="A827" t="s">
        <v>0</v>
      </c>
      <c r="B827">
        <v>1030</v>
      </c>
      <c r="C827" s="7">
        <v>46025</v>
      </c>
      <c r="D827" t="s">
        <v>50</v>
      </c>
    </row>
    <row r="828" spans="1:4" x14ac:dyDescent="0.25">
      <c r="A828" t="s">
        <v>0</v>
      </c>
      <c r="B828">
        <v>1030</v>
      </c>
      <c r="C828" s="7">
        <v>46027</v>
      </c>
      <c r="D828" t="s">
        <v>50</v>
      </c>
    </row>
    <row r="829" spans="1:4" x14ac:dyDescent="0.25">
      <c r="A829" t="s">
        <v>0</v>
      </c>
      <c r="B829">
        <v>1030</v>
      </c>
      <c r="C829" s="7">
        <v>46028</v>
      </c>
      <c r="D829" t="s">
        <v>50</v>
      </c>
    </row>
    <row r="830" spans="1:4" x14ac:dyDescent="0.25">
      <c r="A830" t="s">
        <v>0</v>
      </c>
      <c r="B830">
        <v>1030</v>
      </c>
      <c r="C830" s="7">
        <v>46029</v>
      </c>
      <c r="D830" t="s">
        <v>50</v>
      </c>
    </row>
    <row r="831" spans="1:4" x14ac:dyDescent="0.25">
      <c r="A831" t="s">
        <v>0</v>
      </c>
      <c r="B831">
        <v>1030</v>
      </c>
      <c r="C831" s="7">
        <v>46030</v>
      </c>
      <c r="D831" t="s">
        <v>50</v>
      </c>
    </row>
    <row r="832" spans="1:4" x14ac:dyDescent="0.25">
      <c r="A832" t="s">
        <v>0</v>
      </c>
      <c r="B832">
        <v>1030</v>
      </c>
      <c r="C832" s="7">
        <v>46031</v>
      </c>
      <c r="D832" t="s">
        <v>50</v>
      </c>
    </row>
    <row r="833" spans="1:4" x14ac:dyDescent="0.25">
      <c r="A833" t="s">
        <v>0</v>
      </c>
      <c r="B833">
        <v>1030</v>
      </c>
      <c r="C833" s="7">
        <v>46032</v>
      </c>
      <c r="D833" t="s">
        <v>50</v>
      </c>
    </row>
    <row r="834" spans="1:4" x14ac:dyDescent="0.25">
      <c r="A834" t="s">
        <v>0</v>
      </c>
      <c r="B834">
        <v>1030</v>
      </c>
      <c r="C834" s="7">
        <v>46034</v>
      </c>
      <c r="D834" t="s">
        <v>50</v>
      </c>
    </row>
    <row r="835" spans="1:4" x14ac:dyDescent="0.25">
      <c r="A835" t="s">
        <v>0</v>
      </c>
      <c r="B835">
        <v>1030</v>
      </c>
      <c r="C835" s="7">
        <v>46035</v>
      </c>
      <c r="D835" t="s">
        <v>50</v>
      </c>
    </row>
    <row r="836" spans="1:4" x14ac:dyDescent="0.25">
      <c r="A836" t="s">
        <v>0</v>
      </c>
      <c r="B836">
        <v>1030</v>
      </c>
      <c r="C836" s="7">
        <v>46036</v>
      </c>
      <c r="D836" t="s">
        <v>50</v>
      </c>
    </row>
    <row r="837" spans="1:4" x14ac:dyDescent="0.25">
      <c r="A837" t="s">
        <v>0</v>
      </c>
      <c r="B837">
        <v>1030</v>
      </c>
      <c r="C837" s="7">
        <v>46037</v>
      </c>
      <c r="D837" t="s">
        <v>50</v>
      </c>
    </row>
    <row r="838" spans="1:4" x14ac:dyDescent="0.25">
      <c r="A838" t="s">
        <v>0</v>
      </c>
      <c r="B838">
        <v>1030</v>
      </c>
      <c r="C838" s="7">
        <v>46038</v>
      </c>
      <c r="D838" t="s">
        <v>50</v>
      </c>
    </row>
    <row r="839" spans="1:4" x14ac:dyDescent="0.25">
      <c r="A839" t="s">
        <v>0</v>
      </c>
      <c r="B839">
        <v>1030</v>
      </c>
      <c r="C839" s="7">
        <v>46039</v>
      </c>
      <c r="D839" t="s">
        <v>50</v>
      </c>
    </row>
    <row r="840" spans="1:4" x14ac:dyDescent="0.25">
      <c r="A840" t="s">
        <v>0</v>
      </c>
      <c r="B840">
        <v>1030</v>
      </c>
      <c r="C840" s="7">
        <v>46041</v>
      </c>
      <c r="D840" t="s">
        <v>50</v>
      </c>
    </row>
    <row r="841" spans="1:4" x14ac:dyDescent="0.25">
      <c r="A841" t="s">
        <v>0</v>
      </c>
      <c r="B841">
        <v>1030</v>
      </c>
      <c r="C841" s="7">
        <v>46042</v>
      </c>
      <c r="D841" t="s">
        <v>50</v>
      </c>
    </row>
    <row r="842" spans="1:4" x14ac:dyDescent="0.25">
      <c r="A842" t="s">
        <v>0</v>
      </c>
      <c r="B842">
        <v>1030</v>
      </c>
      <c r="C842" s="7">
        <v>46043</v>
      </c>
      <c r="D842" t="s">
        <v>50</v>
      </c>
    </row>
    <row r="843" spans="1:4" x14ac:dyDescent="0.25">
      <c r="A843" t="s">
        <v>0</v>
      </c>
      <c r="B843">
        <v>1030</v>
      </c>
      <c r="C843" s="7">
        <v>46044</v>
      </c>
      <c r="D843" t="s">
        <v>50</v>
      </c>
    </row>
    <row r="844" spans="1:4" x14ac:dyDescent="0.25">
      <c r="A844" t="s">
        <v>0</v>
      </c>
      <c r="B844">
        <v>1030</v>
      </c>
      <c r="C844" s="7">
        <v>46045</v>
      </c>
      <c r="D844" t="s">
        <v>50</v>
      </c>
    </row>
    <row r="845" spans="1:4" x14ac:dyDescent="0.25">
      <c r="A845" t="s">
        <v>0</v>
      </c>
      <c r="B845">
        <v>1030</v>
      </c>
      <c r="C845" s="7">
        <v>46046</v>
      </c>
      <c r="D845" t="s">
        <v>50</v>
      </c>
    </row>
    <row r="846" spans="1:4" x14ac:dyDescent="0.25">
      <c r="A846" t="s">
        <v>0</v>
      </c>
      <c r="B846">
        <v>1030</v>
      </c>
      <c r="C846" s="7">
        <v>46048</v>
      </c>
      <c r="D846" t="s">
        <v>50</v>
      </c>
    </row>
    <row r="847" spans="1:4" x14ac:dyDescent="0.25">
      <c r="A847" t="s">
        <v>0</v>
      </c>
      <c r="B847">
        <v>1030</v>
      </c>
      <c r="C847" s="7">
        <v>46049</v>
      </c>
      <c r="D847" t="s">
        <v>50</v>
      </c>
    </row>
    <row r="848" spans="1:4" x14ac:dyDescent="0.25">
      <c r="A848" t="s">
        <v>0</v>
      </c>
      <c r="B848">
        <v>1030</v>
      </c>
      <c r="C848" s="7">
        <v>46050</v>
      </c>
      <c r="D848" t="s">
        <v>50</v>
      </c>
    </row>
    <row r="849" spans="1:4" x14ac:dyDescent="0.25">
      <c r="A849" t="s">
        <v>0</v>
      </c>
      <c r="B849">
        <v>1030</v>
      </c>
      <c r="C849" s="7">
        <v>46051</v>
      </c>
      <c r="D849" t="s">
        <v>50</v>
      </c>
    </row>
    <row r="850" spans="1:4" x14ac:dyDescent="0.25">
      <c r="A850" t="s">
        <v>0</v>
      </c>
      <c r="B850">
        <v>1030</v>
      </c>
      <c r="C850" s="7">
        <v>46052</v>
      </c>
      <c r="D850" t="s">
        <v>50</v>
      </c>
    </row>
    <row r="851" spans="1:4" x14ac:dyDescent="0.25">
      <c r="A851" t="s">
        <v>0</v>
      </c>
      <c r="B851">
        <v>1030</v>
      </c>
      <c r="C851" s="7">
        <v>46053</v>
      </c>
      <c r="D851" t="s">
        <v>50</v>
      </c>
    </row>
    <row r="852" spans="1:4" x14ac:dyDescent="0.25">
      <c r="A852" t="s">
        <v>0</v>
      </c>
      <c r="B852">
        <v>1031</v>
      </c>
      <c r="C852" s="7">
        <v>46023</v>
      </c>
      <c r="D852" t="s">
        <v>50</v>
      </c>
    </row>
    <row r="853" spans="1:4" x14ac:dyDescent="0.25">
      <c r="A853" t="s">
        <v>0</v>
      </c>
      <c r="B853">
        <v>1031</v>
      </c>
      <c r="C853" s="7">
        <v>46024</v>
      </c>
      <c r="D853" t="s">
        <v>50</v>
      </c>
    </row>
    <row r="854" spans="1:4" x14ac:dyDescent="0.25">
      <c r="A854" t="s">
        <v>0</v>
      </c>
      <c r="B854">
        <v>1031</v>
      </c>
      <c r="C854" s="7">
        <v>46025</v>
      </c>
      <c r="D854" t="s">
        <v>50</v>
      </c>
    </row>
    <row r="855" spans="1:4" x14ac:dyDescent="0.25">
      <c r="A855" t="s">
        <v>0</v>
      </c>
      <c r="B855">
        <v>1031</v>
      </c>
      <c r="C855" s="7">
        <v>46027</v>
      </c>
      <c r="D855" t="s">
        <v>50</v>
      </c>
    </row>
    <row r="856" spans="1:4" x14ac:dyDescent="0.25">
      <c r="A856" t="s">
        <v>0</v>
      </c>
      <c r="B856">
        <v>1031</v>
      </c>
      <c r="C856" s="7">
        <v>46028</v>
      </c>
      <c r="D856" t="s">
        <v>50</v>
      </c>
    </row>
    <row r="857" spans="1:4" x14ac:dyDescent="0.25">
      <c r="A857" t="s">
        <v>0</v>
      </c>
      <c r="B857">
        <v>1031</v>
      </c>
      <c r="C857" s="7">
        <v>46029</v>
      </c>
      <c r="D857" t="s">
        <v>50</v>
      </c>
    </row>
    <row r="858" spans="1:4" x14ac:dyDescent="0.25">
      <c r="A858" t="s">
        <v>0</v>
      </c>
      <c r="B858">
        <v>1031</v>
      </c>
      <c r="C858" s="7">
        <v>46030</v>
      </c>
      <c r="D858" t="s">
        <v>50</v>
      </c>
    </row>
    <row r="859" spans="1:4" x14ac:dyDescent="0.25">
      <c r="A859" t="s">
        <v>0</v>
      </c>
      <c r="B859">
        <v>1031</v>
      </c>
      <c r="C859" s="7">
        <v>46031</v>
      </c>
      <c r="D859" t="s">
        <v>50</v>
      </c>
    </row>
    <row r="860" spans="1:4" x14ac:dyDescent="0.25">
      <c r="A860" t="s">
        <v>0</v>
      </c>
      <c r="B860">
        <v>1031</v>
      </c>
      <c r="C860" s="7">
        <v>46032</v>
      </c>
      <c r="D860" t="s">
        <v>50</v>
      </c>
    </row>
    <row r="861" spans="1:4" x14ac:dyDescent="0.25">
      <c r="A861" t="s">
        <v>0</v>
      </c>
      <c r="B861">
        <v>1031</v>
      </c>
      <c r="C861" s="7">
        <v>46034</v>
      </c>
      <c r="D861" t="s">
        <v>50</v>
      </c>
    </row>
    <row r="862" spans="1:4" x14ac:dyDescent="0.25">
      <c r="A862" t="s">
        <v>0</v>
      </c>
      <c r="B862">
        <v>1031</v>
      </c>
      <c r="C862" s="7">
        <v>46035</v>
      </c>
      <c r="D862" t="s">
        <v>50</v>
      </c>
    </row>
    <row r="863" spans="1:4" x14ac:dyDescent="0.25">
      <c r="A863" t="s">
        <v>0</v>
      </c>
      <c r="B863">
        <v>1031</v>
      </c>
      <c r="C863" s="7">
        <v>46036</v>
      </c>
      <c r="D863" t="s">
        <v>50</v>
      </c>
    </row>
    <row r="864" spans="1:4" x14ac:dyDescent="0.25">
      <c r="A864" t="s">
        <v>0</v>
      </c>
      <c r="B864">
        <v>1031</v>
      </c>
      <c r="C864" s="7">
        <v>46037</v>
      </c>
      <c r="D864" t="s">
        <v>50</v>
      </c>
    </row>
    <row r="865" spans="1:4" x14ac:dyDescent="0.25">
      <c r="A865" t="s">
        <v>0</v>
      </c>
      <c r="B865">
        <v>1031</v>
      </c>
      <c r="C865" s="7">
        <v>46038</v>
      </c>
      <c r="D865" t="s">
        <v>50</v>
      </c>
    </row>
    <row r="866" spans="1:4" x14ac:dyDescent="0.25">
      <c r="A866" t="s">
        <v>0</v>
      </c>
      <c r="B866">
        <v>1031</v>
      </c>
      <c r="C866" s="7">
        <v>46039</v>
      </c>
      <c r="D866" t="s">
        <v>50</v>
      </c>
    </row>
    <row r="867" spans="1:4" x14ac:dyDescent="0.25">
      <c r="A867" t="s">
        <v>0</v>
      </c>
      <c r="B867">
        <v>1031</v>
      </c>
      <c r="C867" s="7">
        <v>46041</v>
      </c>
      <c r="D867" t="s">
        <v>50</v>
      </c>
    </row>
    <row r="868" spans="1:4" x14ac:dyDescent="0.25">
      <c r="A868" t="s">
        <v>0</v>
      </c>
      <c r="B868">
        <v>1031</v>
      </c>
      <c r="C868" s="7">
        <v>46042</v>
      </c>
      <c r="D868" t="s">
        <v>50</v>
      </c>
    </row>
    <row r="869" spans="1:4" x14ac:dyDescent="0.25">
      <c r="A869" t="s">
        <v>0</v>
      </c>
      <c r="B869">
        <v>1031</v>
      </c>
      <c r="C869" s="7">
        <v>46043</v>
      </c>
      <c r="D869" t="s">
        <v>51</v>
      </c>
    </row>
    <row r="870" spans="1:4" x14ac:dyDescent="0.25">
      <c r="A870" t="s">
        <v>0</v>
      </c>
      <c r="B870">
        <v>1031</v>
      </c>
      <c r="C870" s="7">
        <v>46044</v>
      </c>
      <c r="D870" t="s">
        <v>50</v>
      </c>
    </row>
    <row r="871" spans="1:4" x14ac:dyDescent="0.25">
      <c r="A871" t="s">
        <v>0</v>
      </c>
      <c r="B871">
        <v>1031</v>
      </c>
      <c r="C871" s="7">
        <v>46045</v>
      </c>
      <c r="D871" t="s">
        <v>50</v>
      </c>
    </row>
    <row r="872" spans="1:4" x14ac:dyDescent="0.25">
      <c r="A872" t="s">
        <v>0</v>
      </c>
      <c r="B872">
        <v>1031</v>
      </c>
      <c r="C872" s="7">
        <v>46046</v>
      </c>
      <c r="D872" t="s">
        <v>50</v>
      </c>
    </row>
    <row r="873" spans="1:4" x14ac:dyDescent="0.25">
      <c r="A873" t="s">
        <v>0</v>
      </c>
      <c r="B873">
        <v>1031</v>
      </c>
      <c r="C873" s="7">
        <v>46048</v>
      </c>
      <c r="D873" t="s">
        <v>50</v>
      </c>
    </row>
    <row r="874" spans="1:4" x14ac:dyDescent="0.25">
      <c r="A874" t="s">
        <v>0</v>
      </c>
      <c r="B874">
        <v>1031</v>
      </c>
      <c r="C874" s="7">
        <v>46049</v>
      </c>
      <c r="D874" t="s">
        <v>50</v>
      </c>
    </row>
    <row r="875" spans="1:4" x14ac:dyDescent="0.25">
      <c r="A875" t="s">
        <v>0</v>
      </c>
      <c r="B875">
        <v>1031</v>
      </c>
      <c r="C875" s="7">
        <v>46050</v>
      </c>
      <c r="D875" t="s">
        <v>50</v>
      </c>
    </row>
    <row r="876" spans="1:4" x14ac:dyDescent="0.25">
      <c r="A876" t="s">
        <v>0</v>
      </c>
      <c r="B876">
        <v>1031</v>
      </c>
      <c r="C876" s="7">
        <v>46051</v>
      </c>
      <c r="D876" t="s">
        <v>50</v>
      </c>
    </row>
    <row r="877" spans="1:4" x14ac:dyDescent="0.25">
      <c r="A877" t="s">
        <v>0</v>
      </c>
      <c r="B877">
        <v>1031</v>
      </c>
      <c r="C877" s="7">
        <v>46052</v>
      </c>
      <c r="D877" t="s">
        <v>50</v>
      </c>
    </row>
    <row r="878" spans="1:4" x14ac:dyDescent="0.25">
      <c r="A878" t="s">
        <v>0</v>
      </c>
      <c r="B878">
        <v>1031</v>
      </c>
      <c r="C878" s="7">
        <v>46053</v>
      </c>
      <c r="D878" t="s">
        <v>50</v>
      </c>
    </row>
    <row r="879" spans="1:4" x14ac:dyDescent="0.25">
      <c r="A879" t="s">
        <v>0</v>
      </c>
      <c r="B879">
        <v>1032</v>
      </c>
      <c r="C879" s="7">
        <v>46023</v>
      </c>
      <c r="D879" t="s">
        <v>50</v>
      </c>
    </row>
    <row r="880" spans="1:4" x14ac:dyDescent="0.25">
      <c r="A880" t="s">
        <v>0</v>
      </c>
      <c r="B880">
        <v>1032</v>
      </c>
      <c r="C880" s="7">
        <v>46024</v>
      </c>
      <c r="D880" t="s">
        <v>50</v>
      </c>
    </row>
    <row r="881" spans="1:4" x14ac:dyDescent="0.25">
      <c r="A881" t="s">
        <v>0</v>
      </c>
      <c r="B881">
        <v>1032</v>
      </c>
      <c r="C881" s="7">
        <v>46025</v>
      </c>
      <c r="D881" t="s">
        <v>50</v>
      </c>
    </row>
    <row r="882" spans="1:4" x14ac:dyDescent="0.25">
      <c r="A882" t="s">
        <v>0</v>
      </c>
      <c r="B882">
        <v>1032</v>
      </c>
      <c r="C882" s="7">
        <v>46027</v>
      </c>
      <c r="D882" t="s">
        <v>50</v>
      </c>
    </row>
    <row r="883" spans="1:4" x14ac:dyDescent="0.25">
      <c r="A883" t="s">
        <v>0</v>
      </c>
      <c r="B883">
        <v>1032</v>
      </c>
      <c r="C883" s="7">
        <v>46028</v>
      </c>
      <c r="D883" t="s">
        <v>50</v>
      </c>
    </row>
    <row r="884" spans="1:4" x14ac:dyDescent="0.25">
      <c r="A884" t="s">
        <v>0</v>
      </c>
      <c r="B884">
        <v>1032</v>
      </c>
      <c r="C884" s="7">
        <v>46029</v>
      </c>
      <c r="D884" t="s">
        <v>50</v>
      </c>
    </row>
    <row r="885" spans="1:4" x14ac:dyDescent="0.25">
      <c r="A885" t="s">
        <v>0</v>
      </c>
      <c r="B885">
        <v>1032</v>
      </c>
      <c r="C885" s="7">
        <v>46030</v>
      </c>
      <c r="D885" t="s">
        <v>51</v>
      </c>
    </row>
    <row r="886" spans="1:4" x14ac:dyDescent="0.25">
      <c r="A886" t="s">
        <v>0</v>
      </c>
      <c r="B886">
        <v>1032</v>
      </c>
      <c r="C886" s="7">
        <v>46031</v>
      </c>
      <c r="D886" t="s">
        <v>50</v>
      </c>
    </row>
    <row r="887" spans="1:4" x14ac:dyDescent="0.25">
      <c r="A887" t="s">
        <v>0</v>
      </c>
      <c r="B887">
        <v>1032</v>
      </c>
      <c r="C887" s="7">
        <v>46032</v>
      </c>
      <c r="D887" t="s">
        <v>50</v>
      </c>
    </row>
    <row r="888" spans="1:4" x14ac:dyDescent="0.25">
      <c r="A888" t="s">
        <v>0</v>
      </c>
      <c r="B888">
        <v>1032</v>
      </c>
      <c r="C888" s="7">
        <v>46034</v>
      </c>
      <c r="D888" t="s">
        <v>50</v>
      </c>
    </row>
    <row r="889" spans="1:4" x14ac:dyDescent="0.25">
      <c r="A889" t="s">
        <v>0</v>
      </c>
      <c r="B889">
        <v>1032</v>
      </c>
      <c r="C889" s="7">
        <v>46035</v>
      </c>
      <c r="D889" t="s">
        <v>50</v>
      </c>
    </row>
    <row r="890" spans="1:4" x14ac:dyDescent="0.25">
      <c r="A890" t="s">
        <v>0</v>
      </c>
      <c r="B890">
        <v>1032</v>
      </c>
      <c r="C890" s="7">
        <v>46036</v>
      </c>
      <c r="D890" t="s">
        <v>50</v>
      </c>
    </row>
    <row r="891" spans="1:4" x14ac:dyDescent="0.25">
      <c r="A891" t="s">
        <v>0</v>
      </c>
      <c r="B891">
        <v>1032</v>
      </c>
      <c r="C891" s="7">
        <v>46037</v>
      </c>
      <c r="D891" t="s">
        <v>50</v>
      </c>
    </row>
    <row r="892" spans="1:4" x14ac:dyDescent="0.25">
      <c r="A892" t="s">
        <v>0</v>
      </c>
      <c r="B892">
        <v>1032</v>
      </c>
      <c r="C892" s="7">
        <v>46038</v>
      </c>
      <c r="D892" t="s">
        <v>50</v>
      </c>
    </row>
    <row r="893" spans="1:4" x14ac:dyDescent="0.25">
      <c r="A893" t="s">
        <v>0</v>
      </c>
      <c r="B893">
        <v>1032</v>
      </c>
      <c r="C893" s="7">
        <v>46039</v>
      </c>
      <c r="D893" t="s">
        <v>50</v>
      </c>
    </row>
    <row r="894" spans="1:4" x14ac:dyDescent="0.25">
      <c r="A894" t="s">
        <v>0</v>
      </c>
      <c r="B894">
        <v>1032</v>
      </c>
      <c r="C894" s="7">
        <v>46041</v>
      </c>
      <c r="D894" t="s">
        <v>50</v>
      </c>
    </row>
    <row r="895" spans="1:4" x14ac:dyDescent="0.25">
      <c r="A895" t="s">
        <v>0</v>
      </c>
      <c r="B895">
        <v>1032</v>
      </c>
      <c r="C895" s="7">
        <v>46042</v>
      </c>
      <c r="D895" t="s">
        <v>50</v>
      </c>
    </row>
    <row r="896" spans="1:4" x14ac:dyDescent="0.25">
      <c r="A896" t="s">
        <v>0</v>
      </c>
      <c r="B896">
        <v>1032</v>
      </c>
      <c r="C896" s="7">
        <v>46043</v>
      </c>
      <c r="D896" t="s">
        <v>50</v>
      </c>
    </row>
    <row r="897" spans="1:4" x14ac:dyDescent="0.25">
      <c r="A897" t="s">
        <v>0</v>
      </c>
      <c r="B897">
        <v>1032</v>
      </c>
      <c r="C897" s="7">
        <v>46044</v>
      </c>
      <c r="D897" t="s">
        <v>50</v>
      </c>
    </row>
    <row r="898" spans="1:4" x14ac:dyDescent="0.25">
      <c r="A898" t="s">
        <v>0</v>
      </c>
      <c r="B898">
        <v>1032</v>
      </c>
      <c r="C898" s="7">
        <v>46045</v>
      </c>
      <c r="D898" t="s">
        <v>50</v>
      </c>
    </row>
    <row r="899" spans="1:4" x14ac:dyDescent="0.25">
      <c r="A899" t="s">
        <v>0</v>
      </c>
      <c r="B899">
        <v>1032</v>
      </c>
      <c r="C899" s="7">
        <v>46046</v>
      </c>
      <c r="D899" t="s">
        <v>50</v>
      </c>
    </row>
    <row r="900" spans="1:4" x14ac:dyDescent="0.25">
      <c r="A900" t="s">
        <v>0</v>
      </c>
      <c r="B900">
        <v>1032</v>
      </c>
      <c r="C900" s="7">
        <v>46048</v>
      </c>
      <c r="D900" t="s">
        <v>50</v>
      </c>
    </row>
    <row r="901" spans="1:4" x14ac:dyDescent="0.25">
      <c r="A901" t="s">
        <v>0</v>
      </c>
      <c r="B901">
        <v>1032</v>
      </c>
      <c r="C901" s="7">
        <v>46049</v>
      </c>
      <c r="D901" t="s">
        <v>50</v>
      </c>
    </row>
    <row r="902" spans="1:4" x14ac:dyDescent="0.25">
      <c r="A902" t="s">
        <v>0</v>
      </c>
      <c r="B902">
        <v>1032</v>
      </c>
      <c r="C902" s="7">
        <v>46050</v>
      </c>
      <c r="D902" t="s">
        <v>50</v>
      </c>
    </row>
    <row r="903" spans="1:4" x14ac:dyDescent="0.25">
      <c r="A903" t="s">
        <v>0</v>
      </c>
      <c r="B903">
        <v>1032</v>
      </c>
      <c r="C903" s="7">
        <v>46051</v>
      </c>
      <c r="D903" t="s">
        <v>50</v>
      </c>
    </row>
    <row r="904" spans="1:4" x14ac:dyDescent="0.25">
      <c r="A904" t="s">
        <v>0</v>
      </c>
      <c r="B904">
        <v>1032</v>
      </c>
      <c r="C904" s="7">
        <v>46052</v>
      </c>
      <c r="D904" t="s">
        <v>50</v>
      </c>
    </row>
    <row r="905" spans="1:4" x14ac:dyDescent="0.25">
      <c r="A905" t="s">
        <v>0</v>
      </c>
      <c r="B905">
        <v>1032</v>
      </c>
      <c r="C905" s="7">
        <v>46053</v>
      </c>
      <c r="D905" t="s">
        <v>50</v>
      </c>
    </row>
    <row r="906" spans="1:4" x14ac:dyDescent="0.25">
      <c r="A906" t="s">
        <v>0</v>
      </c>
      <c r="B906">
        <v>1033</v>
      </c>
      <c r="C906" s="7">
        <v>46023</v>
      </c>
      <c r="D906" t="s">
        <v>50</v>
      </c>
    </row>
    <row r="907" spans="1:4" x14ac:dyDescent="0.25">
      <c r="A907" t="s">
        <v>0</v>
      </c>
      <c r="B907">
        <v>1033</v>
      </c>
      <c r="C907" s="7">
        <v>46024</v>
      </c>
      <c r="D907" t="s">
        <v>50</v>
      </c>
    </row>
    <row r="908" spans="1:4" x14ac:dyDescent="0.25">
      <c r="A908" t="s">
        <v>0</v>
      </c>
      <c r="B908">
        <v>1033</v>
      </c>
      <c r="C908" s="7">
        <v>46025</v>
      </c>
      <c r="D908" t="s">
        <v>50</v>
      </c>
    </row>
    <row r="909" spans="1:4" x14ac:dyDescent="0.25">
      <c r="A909" t="s">
        <v>0</v>
      </c>
      <c r="B909">
        <v>1033</v>
      </c>
      <c r="C909" s="7">
        <v>46027</v>
      </c>
      <c r="D909" t="s">
        <v>50</v>
      </c>
    </row>
    <row r="910" spans="1:4" x14ac:dyDescent="0.25">
      <c r="A910" t="s">
        <v>0</v>
      </c>
      <c r="B910">
        <v>1033</v>
      </c>
      <c r="C910" s="7">
        <v>46028</v>
      </c>
      <c r="D910" t="s">
        <v>50</v>
      </c>
    </row>
    <row r="911" spans="1:4" x14ac:dyDescent="0.25">
      <c r="A911" t="s">
        <v>0</v>
      </c>
      <c r="B911">
        <v>1033</v>
      </c>
      <c r="C911" s="7">
        <v>46029</v>
      </c>
      <c r="D911" t="s">
        <v>50</v>
      </c>
    </row>
    <row r="912" spans="1:4" x14ac:dyDescent="0.25">
      <c r="A912" t="s">
        <v>0</v>
      </c>
      <c r="B912">
        <v>1033</v>
      </c>
      <c r="C912" s="7">
        <v>46030</v>
      </c>
      <c r="D912" t="s">
        <v>50</v>
      </c>
    </row>
    <row r="913" spans="1:4" x14ac:dyDescent="0.25">
      <c r="A913" t="s">
        <v>0</v>
      </c>
      <c r="B913">
        <v>1033</v>
      </c>
      <c r="C913" s="7">
        <v>46031</v>
      </c>
      <c r="D913" t="s">
        <v>50</v>
      </c>
    </row>
    <row r="914" spans="1:4" x14ac:dyDescent="0.25">
      <c r="A914" t="s">
        <v>0</v>
      </c>
      <c r="B914">
        <v>1033</v>
      </c>
      <c r="C914" s="7">
        <v>46032</v>
      </c>
      <c r="D914" t="s">
        <v>50</v>
      </c>
    </row>
    <row r="915" spans="1:4" x14ac:dyDescent="0.25">
      <c r="A915" t="s">
        <v>0</v>
      </c>
      <c r="B915">
        <v>1033</v>
      </c>
      <c r="C915" s="7">
        <v>46034</v>
      </c>
      <c r="D915" t="s">
        <v>50</v>
      </c>
    </row>
    <row r="916" spans="1:4" x14ac:dyDescent="0.25">
      <c r="A916" t="s">
        <v>0</v>
      </c>
      <c r="B916">
        <v>1033</v>
      </c>
      <c r="C916" s="7">
        <v>46035</v>
      </c>
      <c r="D916" t="s">
        <v>50</v>
      </c>
    </row>
    <row r="917" spans="1:4" x14ac:dyDescent="0.25">
      <c r="A917" t="s">
        <v>0</v>
      </c>
      <c r="B917">
        <v>1033</v>
      </c>
      <c r="C917" s="7">
        <v>46036</v>
      </c>
      <c r="D917" t="s">
        <v>50</v>
      </c>
    </row>
    <row r="918" spans="1:4" x14ac:dyDescent="0.25">
      <c r="A918" t="s">
        <v>0</v>
      </c>
      <c r="B918">
        <v>1033</v>
      </c>
      <c r="C918" s="7">
        <v>46037</v>
      </c>
      <c r="D918" t="s">
        <v>50</v>
      </c>
    </row>
    <row r="919" spans="1:4" x14ac:dyDescent="0.25">
      <c r="A919" t="s">
        <v>0</v>
      </c>
      <c r="B919">
        <v>1033</v>
      </c>
      <c r="C919" s="7">
        <v>46038</v>
      </c>
      <c r="D919" t="s">
        <v>50</v>
      </c>
    </row>
    <row r="920" spans="1:4" x14ac:dyDescent="0.25">
      <c r="A920" t="s">
        <v>0</v>
      </c>
      <c r="B920">
        <v>1033</v>
      </c>
      <c r="C920" s="7">
        <v>46039</v>
      </c>
      <c r="D920" t="s">
        <v>50</v>
      </c>
    </row>
    <row r="921" spans="1:4" x14ac:dyDescent="0.25">
      <c r="A921" t="s">
        <v>0</v>
      </c>
      <c r="B921">
        <v>1033</v>
      </c>
      <c r="C921" s="7">
        <v>46041</v>
      </c>
      <c r="D921" t="s">
        <v>50</v>
      </c>
    </row>
    <row r="922" spans="1:4" x14ac:dyDescent="0.25">
      <c r="A922" t="s">
        <v>0</v>
      </c>
      <c r="B922">
        <v>1033</v>
      </c>
      <c r="C922" s="7">
        <v>46042</v>
      </c>
      <c r="D922" t="s">
        <v>50</v>
      </c>
    </row>
    <row r="923" spans="1:4" x14ac:dyDescent="0.25">
      <c r="A923" t="s">
        <v>0</v>
      </c>
      <c r="B923">
        <v>1033</v>
      </c>
      <c r="C923" s="7">
        <v>46043</v>
      </c>
      <c r="D923" t="s">
        <v>50</v>
      </c>
    </row>
    <row r="924" spans="1:4" x14ac:dyDescent="0.25">
      <c r="A924" t="s">
        <v>0</v>
      </c>
      <c r="B924">
        <v>1033</v>
      </c>
      <c r="C924" s="7">
        <v>46044</v>
      </c>
      <c r="D924" t="s">
        <v>50</v>
      </c>
    </row>
    <row r="925" spans="1:4" x14ac:dyDescent="0.25">
      <c r="A925" t="s">
        <v>0</v>
      </c>
      <c r="B925">
        <v>1033</v>
      </c>
      <c r="C925" s="7">
        <v>46045</v>
      </c>
      <c r="D925" t="s">
        <v>50</v>
      </c>
    </row>
    <row r="926" spans="1:4" x14ac:dyDescent="0.25">
      <c r="A926" t="s">
        <v>0</v>
      </c>
      <c r="B926">
        <v>1033</v>
      </c>
      <c r="C926" s="7">
        <v>46046</v>
      </c>
      <c r="D926" t="s">
        <v>50</v>
      </c>
    </row>
    <row r="927" spans="1:4" x14ac:dyDescent="0.25">
      <c r="A927" t="s">
        <v>0</v>
      </c>
      <c r="B927">
        <v>1033</v>
      </c>
      <c r="C927" s="7">
        <v>46048</v>
      </c>
      <c r="D927" t="s">
        <v>50</v>
      </c>
    </row>
    <row r="928" spans="1:4" x14ac:dyDescent="0.25">
      <c r="A928" t="s">
        <v>0</v>
      </c>
      <c r="B928">
        <v>1033</v>
      </c>
      <c r="C928" s="7">
        <v>46049</v>
      </c>
      <c r="D928" t="s">
        <v>50</v>
      </c>
    </row>
    <row r="929" spans="1:4" x14ac:dyDescent="0.25">
      <c r="A929" t="s">
        <v>0</v>
      </c>
      <c r="B929">
        <v>1033</v>
      </c>
      <c r="C929" s="7">
        <v>46050</v>
      </c>
      <c r="D929" t="s">
        <v>50</v>
      </c>
    </row>
    <row r="930" spans="1:4" x14ac:dyDescent="0.25">
      <c r="A930" t="s">
        <v>0</v>
      </c>
      <c r="B930">
        <v>1033</v>
      </c>
      <c r="C930" s="7">
        <v>46051</v>
      </c>
      <c r="D930" t="s">
        <v>50</v>
      </c>
    </row>
    <row r="931" spans="1:4" x14ac:dyDescent="0.25">
      <c r="A931" t="s">
        <v>0</v>
      </c>
      <c r="B931">
        <v>1033</v>
      </c>
      <c r="C931" s="7">
        <v>46052</v>
      </c>
      <c r="D931" t="s">
        <v>50</v>
      </c>
    </row>
    <row r="932" spans="1:4" x14ac:dyDescent="0.25">
      <c r="A932" t="s">
        <v>0</v>
      </c>
      <c r="B932">
        <v>1033</v>
      </c>
      <c r="C932" s="7">
        <v>46053</v>
      </c>
      <c r="D932" t="s">
        <v>50</v>
      </c>
    </row>
    <row r="933" spans="1:4" x14ac:dyDescent="0.25">
      <c r="A933" t="s">
        <v>0</v>
      </c>
      <c r="B933">
        <v>1034</v>
      </c>
      <c r="C933" s="7">
        <v>46023</v>
      </c>
      <c r="D933" t="s">
        <v>50</v>
      </c>
    </row>
    <row r="934" spans="1:4" x14ac:dyDescent="0.25">
      <c r="A934" t="s">
        <v>0</v>
      </c>
      <c r="B934">
        <v>1034</v>
      </c>
      <c r="C934" s="7">
        <v>46024</v>
      </c>
      <c r="D934" t="s">
        <v>50</v>
      </c>
    </row>
    <row r="935" spans="1:4" x14ac:dyDescent="0.25">
      <c r="A935" t="s">
        <v>0</v>
      </c>
      <c r="B935">
        <v>1034</v>
      </c>
      <c r="C935" s="7">
        <v>46025</v>
      </c>
      <c r="D935" t="s">
        <v>50</v>
      </c>
    </row>
    <row r="936" spans="1:4" x14ac:dyDescent="0.25">
      <c r="A936" t="s">
        <v>0</v>
      </c>
      <c r="B936">
        <v>1034</v>
      </c>
      <c r="C936" s="7">
        <v>46027</v>
      </c>
      <c r="D936" t="s">
        <v>50</v>
      </c>
    </row>
    <row r="937" spans="1:4" x14ac:dyDescent="0.25">
      <c r="A937" t="s">
        <v>0</v>
      </c>
      <c r="B937">
        <v>1034</v>
      </c>
      <c r="C937" s="7">
        <v>46028</v>
      </c>
      <c r="D937" t="s">
        <v>50</v>
      </c>
    </row>
    <row r="938" spans="1:4" x14ac:dyDescent="0.25">
      <c r="A938" t="s">
        <v>0</v>
      </c>
      <c r="B938">
        <v>1034</v>
      </c>
      <c r="C938" s="7">
        <v>46029</v>
      </c>
      <c r="D938" t="s">
        <v>50</v>
      </c>
    </row>
    <row r="939" spans="1:4" x14ac:dyDescent="0.25">
      <c r="A939" t="s">
        <v>0</v>
      </c>
      <c r="B939">
        <v>1034</v>
      </c>
      <c r="C939" s="7">
        <v>46030</v>
      </c>
      <c r="D939" t="s">
        <v>50</v>
      </c>
    </row>
    <row r="940" spans="1:4" x14ac:dyDescent="0.25">
      <c r="A940" t="s">
        <v>0</v>
      </c>
      <c r="B940">
        <v>1034</v>
      </c>
      <c r="C940" s="7">
        <v>46031</v>
      </c>
      <c r="D940" t="s">
        <v>50</v>
      </c>
    </row>
    <row r="941" spans="1:4" x14ac:dyDescent="0.25">
      <c r="A941" t="s">
        <v>0</v>
      </c>
      <c r="B941">
        <v>1034</v>
      </c>
      <c r="C941" s="7">
        <v>46032</v>
      </c>
      <c r="D941" t="s">
        <v>50</v>
      </c>
    </row>
    <row r="942" spans="1:4" x14ac:dyDescent="0.25">
      <c r="A942" t="s">
        <v>0</v>
      </c>
      <c r="B942">
        <v>1034</v>
      </c>
      <c r="C942" s="7">
        <v>46034</v>
      </c>
      <c r="D942" t="s">
        <v>50</v>
      </c>
    </row>
    <row r="943" spans="1:4" x14ac:dyDescent="0.25">
      <c r="A943" t="s">
        <v>0</v>
      </c>
      <c r="B943">
        <v>1034</v>
      </c>
      <c r="C943" s="7">
        <v>46035</v>
      </c>
      <c r="D943" t="s">
        <v>50</v>
      </c>
    </row>
    <row r="944" spans="1:4" x14ac:dyDescent="0.25">
      <c r="A944" t="s">
        <v>0</v>
      </c>
      <c r="B944">
        <v>1034</v>
      </c>
      <c r="C944" s="7">
        <v>46036</v>
      </c>
      <c r="D944" t="s">
        <v>50</v>
      </c>
    </row>
    <row r="945" spans="1:4" x14ac:dyDescent="0.25">
      <c r="A945" t="s">
        <v>0</v>
      </c>
      <c r="B945">
        <v>1034</v>
      </c>
      <c r="C945" s="7">
        <v>46037</v>
      </c>
      <c r="D945" t="s">
        <v>50</v>
      </c>
    </row>
    <row r="946" spans="1:4" x14ac:dyDescent="0.25">
      <c r="A946" t="s">
        <v>0</v>
      </c>
      <c r="B946">
        <v>1034</v>
      </c>
      <c r="C946" s="7">
        <v>46038</v>
      </c>
      <c r="D946" t="s">
        <v>50</v>
      </c>
    </row>
    <row r="947" spans="1:4" x14ac:dyDescent="0.25">
      <c r="A947" t="s">
        <v>0</v>
      </c>
      <c r="B947">
        <v>1034</v>
      </c>
      <c r="C947" s="7">
        <v>46039</v>
      </c>
      <c r="D947" t="s">
        <v>50</v>
      </c>
    </row>
    <row r="948" spans="1:4" x14ac:dyDescent="0.25">
      <c r="A948" t="s">
        <v>0</v>
      </c>
      <c r="B948">
        <v>1034</v>
      </c>
      <c r="C948" s="7">
        <v>46041</v>
      </c>
      <c r="D948" t="s">
        <v>50</v>
      </c>
    </row>
    <row r="949" spans="1:4" x14ac:dyDescent="0.25">
      <c r="A949" t="s">
        <v>0</v>
      </c>
      <c r="B949">
        <v>1034</v>
      </c>
      <c r="C949" s="7">
        <v>46042</v>
      </c>
      <c r="D949" t="s">
        <v>50</v>
      </c>
    </row>
    <row r="950" spans="1:4" x14ac:dyDescent="0.25">
      <c r="A950" t="s">
        <v>0</v>
      </c>
      <c r="B950">
        <v>1034</v>
      </c>
      <c r="C950" s="7">
        <v>46043</v>
      </c>
      <c r="D950" t="s">
        <v>50</v>
      </c>
    </row>
    <row r="951" spans="1:4" x14ac:dyDescent="0.25">
      <c r="A951" t="s">
        <v>0</v>
      </c>
      <c r="B951">
        <v>1034</v>
      </c>
      <c r="C951" s="7">
        <v>46044</v>
      </c>
      <c r="D951" t="s">
        <v>50</v>
      </c>
    </row>
    <row r="952" spans="1:4" x14ac:dyDescent="0.25">
      <c r="A952" t="s">
        <v>0</v>
      </c>
      <c r="B952">
        <v>1034</v>
      </c>
      <c r="C952" s="7">
        <v>46045</v>
      </c>
      <c r="D952" t="s">
        <v>50</v>
      </c>
    </row>
    <row r="953" spans="1:4" x14ac:dyDescent="0.25">
      <c r="A953" t="s">
        <v>0</v>
      </c>
      <c r="B953">
        <v>1034</v>
      </c>
      <c r="C953" s="7">
        <v>46046</v>
      </c>
      <c r="D953" t="s">
        <v>50</v>
      </c>
    </row>
    <row r="954" spans="1:4" x14ac:dyDescent="0.25">
      <c r="A954" t="s">
        <v>0</v>
      </c>
      <c r="B954">
        <v>1034</v>
      </c>
      <c r="C954" s="7">
        <v>46048</v>
      </c>
      <c r="D954" t="s">
        <v>50</v>
      </c>
    </row>
    <row r="955" spans="1:4" x14ac:dyDescent="0.25">
      <c r="A955" t="s">
        <v>0</v>
      </c>
      <c r="B955">
        <v>1034</v>
      </c>
      <c r="C955" s="7">
        <v>46049</v>
      </c>
      <c r="D955" t="s">
        <v>50</v>
      </c>
    </row>
    <row r="956" spans="1:4" x14ac:dyDescent="0.25">
      <c r="A956" t="s">
        <v>0</v>
      </c>
      <c r="B956">
        <v>1034</v>
      </c>
      <c r="C956" s="7">
        <v>46050</v>
      </c>
      <c r="D956" t="s">
        <v>50</v>
      </c>
    </row>
    <row r="957" spans="1:4" x14ac:dyDescent="0.25">
      <c r="A957" t="s">
        <v>0</v>
      </c>
      <c r="B957">
        <v>1034</v>
      </c>
      <c r="C957" s="7">
        <v>46051</v>
      </c>
      <c r="D957" t="s">
        <v>51</v>
      </c>
    </row>
    <row r="958" spans="1:4" x14ac:dyDescent="0.25">
      <c r="A958" t="s">
        <v>0</v>
      </c>
      <c r="B958">
        <v>1034</v>
      </c>
      <c r="C958" s="7">
        <v>46052</v>
      </c>
      <c r="D958" t="s">
        <v>50</v>
      </c>
    </row>
    <row r="959" spans="1:4" x14ac:dyDescent="0.25">
      <c r="A959" t="s">
        <v>0</v>
      </c>
      <c r="B959">
        <v>1034</v>
      </c>
      <c r="C959" s="7">
        <v>46053</v>
      </c>
      <c r="D959" t="s">
        <v>50</v>
      </c>
    </row>
    <row r="960" spans="1:4" x14ac:dyDescent="0.25">
      <c r="A960" t="s">
        <v>0</v>
      </c>
      <c r="B960">
        <v>1035</v>
      </c>
      <c r="C960" s="7">
        <v>46023</v>
      </c>
      <c r="D960" t="s">
        <v>50</v>
      </c>
    </row>
    <row r="961" spans="1:4" x14ac:dyDescent="0.25">
      <c r="A961" t="s">
        <v>0</v>
      </c>
      <c r="B961">
        <v>1035</v>
      </c>
      <c r="C961" s="7">
        <v>46024</v>
      </c>
      <c r="D961" t="s">
        <v>50</v>
      </c>
    </row>
    <row r="962" spans="1:4" x14ac:dyDescent="0.25">
      <c r="A962" t="s">
        <v>0</v>
      </c>
      <c r="B962">
        <v>1035</v>
      </c>
      <c r="C962" s="7">
        <v>46025</v>
      </c>
      <c r="D962" t="s">
        <v>50</v>
      </c>
    </row>
    <row r="963" spans="1:4" x14ac:dyDescent="0.25">
      <c r="A963" t="s">
        <v>0</v>
      </c>
      <c r="B963">
        <v>1035</v>
      </c>
      <c r="C963" s="7">
        <v>46027</v>
      </c>
      <c r="D963" t="s">
        <v>50</v>
      </c>
    </row>
    <row r="964" spans="1:4" x14ac:dyDescent="0.25">
      <c r="A964" t="s">
        <v>0</v>
      </c>
      <c r="B964">
        <v>1035</v>
      </c>
      <c r="C964" s="7">
        <v>46028</v>
      </c>
      <c r="D964" t="s">
        <v>50</v>
      </c>
    </row>
    <row r="965" spans="1:4" x14ac:dyDescent="0.25">
      <c r="A965" t="s">
        <v>0</v>
      </c>
      <c r="B965">
        <v>1035</v>
      </c>
      <c r="C965" s="7">
        <v>46029</v>
      </c>
      <c r="D965" t="s">
        <v>50</v>
      </c>
    </row>
    <row r="966" spans="1:4" x14ac:dyDescent="0.25">
      <c r="A966" t="s">
        <v>0</v>
      </c>
      <c r="B966">
        <v>1035</v>
      </c>
      <c r="C966" s="7">
        <v>46030</v>
      </c>
      <c r="D966" t="s">
        <v>50</v>
      </c>
    </row>
    <row r="967" spans="1:4" x14ac:dyDescent="0.25">
      <c r="A967" t="s">
        <v>0</v>
      </c>
      <c r="B967">
        <v>1035</v>
      </c>
      <c r="C967" s="7">
        <v>46031</v>
      </c>
      <c r="D967" t="s">
        <v>50</v>
      </c>
    </row>
    <row r="968" spans="1:4" x14ac:dyDescent="0.25">
      <c r="A968" t="s">
        <v>0</v>
      </c>
      <c r="B968">
        <v>1035</v>
      </c>
      <c r="C968" s="7">
        <v>46032</v>
      </c>
      <c r="D968" t="s">
        <v>50</v>
      </c>
    </row>
    <row r="969" spans="1:4" x14ac:dyDescent="0.25">
      <c r="A969" t="s">
        <v>0</v>
      </c>
      <c r="B969">
        <v>1035</v>
      </c>
      <c r="C969" s="7">
        <v>46034</v>
      </c>
      <c r="D969" t="s">
        <v>50</v>
      </c>
    </row>
    <row r="970" spans="1:4" x14ac:dyDescent="0.25">
      <c r="A970" t="s">
        <v>0</v>
      </c>
      <c r="B970">
        <v>1035</v>
      </c>
      <c r="C970" s="7">
        <v>46035</v>
      </c>
      <c r="D970" t="s">
        <v>50</v>
      </c>
    </row>
    <row r="971" spans="1:4" x14ac:dyDescent="0.25">
      <c r="A971" t="s">
        <v>0</v>
      </c>
      <c r="B971">
        <v>1035</v>
      </c>
      <c r="C971" s="7">
        <v>46036</v>
      </c>
      <c r="D971" t="s">
        <v>50</v>
      </c>
    </row>
    <row r="972" spans="1:4" x14ac:dyDescent="0.25">
      <c r="A972" t="s">
        <v>0</v>
      </c>
      <c r="B972">
        <v>1035</v>
      </c>
      <c r="C972" s="7">
        <v>46037</v>
      </c>
      <c r="D972" t="s">
        <v>50</v>
      </c>
    </row>
    <row r="973" spans="1:4" x14ac:dyDescent="0.25">
      <c r="A973" t="s">
        <v>0</v>
      </c>
      <c r="B973">
        <v>1035</v>
      </c>
      <c r="C973" s="7">
        <v>46038</v>
      </c>
      <c r="D973" t="s">
        <v>50</v>
      </c>
    </row>
    <row r="974" spans="1:4" x14ac:dyDescent="0.25">
      <c r="A974" t="s">
        <v>0</v>
      </c>
      <c r="B974">
        <v>1035</v>
      </c>
      <c r="C974" s="7">
        <v>46039</v>
      </c>
      <c r="D974" t="s">
        <v>50</v>
      </c>
    </row>
    <row r="975" spans="1:4" x14ac:dyDescent="0.25">
      <c r="A975" t="s">
        <v>0</v>
      </c>
      <c r="B975">
        <v>1035</v>
      </c>
      <c r="C975" s="7">
        <v>46041</v>
      </c>
      <c r="D975" t="s">
        <v>50</v>
      </c>
    </row>
    <row r="976" spans="1:4" x14ac:dyDescent="0.25">
      <c r="A976" t="s">
        <v>0</v>
      </c>
      <c r="B976">
        <v>1035</v>
      </c>
      <c r="C976" s="7">
        <v>46042</v>
      </c>
      <c r="D976" t="s">
        <v>50</v>
      </c>
    </row>
    <row r="977" spans="1:4" x14ac:dyDescent="0.25">
      <c r="A977" t="s">
        <v>0</v>
      </c>
      <c r="B977">
        <v>1035</v>
      </c>
      <c r="C977" s="7">
        <v>46043</v>
      </c>
      <c r="D977" t="s">
        <v>51</v>
      </c>
    </row>
    <row r="978" spans="1:4" x14ac:dyDescent="0.25">
      <c r="A978" t="s">
        <v>0</v>
      </c>
      <c r="B978">
        <v>1035</v>
      </c>
      <c r="C978" s="7">
        <v>46044</v>
      </c>
      <c r="D978" t="s">
        <v>50</v>
      </c>
    </row>
    <row r="979" spans="1:4" x14ac:dyDescent="0.25">
      <c r="A979" t="s">
        <v>0</v>
      </c>
      <c r="B979">
        <v>1035</v>
      </c>
      <c r="C979" s="7">
        <v>46045</v>
      </c>
      <c r="D979" t="s">
        <v>50</v>
      </c>
    </row>
    <row r="980" spans="1:4" x14ac:dyDescent="0.25">
      <c r="A980" t="s">
        <v>0</v>
      </c>
      <c r="B980">
        <v>1035</v>
      </c>
      <c r="C980" s="7">
        <v>46046</v>
      </c>
      <c r="D980" t="s">
        <v>50</v>
      </c>
    </row>
    <row r="981" spans="1:4" x14ac:dyDescent="0.25">
      <c r="A981" t="s">
        <v>0</v>
      </c>
      <c r="B981">
        <v>1035</v>
      </c>
      <c r="C981" s="7">
        <v>46048</v>
      </c>
      <c r="D981" t="s">
        <v>50</v>
      </c>
    </row>
    <row r="982" spans="1:4" x14ac:dyDescent="0.25">
      <c r="A982" t="s">
        <v>0</v>
      </c>
      <c r="B982">
        <v>1035</v>
      </c>
      <c r="C982" s="7">
        <v>46049</v>
      </c>
      <c r="D982" t="s">
        <v>50</v>
      </c>
    </row>
    <row r="983" spans="1:4" x14ac:dyDescent="0.25">
      <c r="A983" t="s">
        <v>0</v>
      </c>
      <c r="B983">
        <v>1035</v>
      </c>
      <c r="C983" s="7">
        <v>46050</v>
      </c>
      <c r="D983" t="s">
        <v>50</v>
      </c>
    </row>
    <row r="984" spans="1:4" x14ac:dyDescent="0.25">
      <c r="A984" t="s">
        <v>0</v>
      </c>
      <c r="B984">
        <v>1035</v>
      </c>
      <c r="C984" s="7">
        <v>46051</v>
      </c>
      <c r="D984" t="s">
        <v>50</v>
      </c>
    </row>
    <row r="985" spans="1:4" x14ac:dyDescent="0.25">
      <c r="A985" t="s">
        <v>0</v>
      </c>
      <c r="B985">
        <v>1035</v>
      </c>
      <c r="C985" s="7">
        <v>46052</v>
      </c>
      <c r="D985" t="s">
        <v>50</v>
      </c>
    </row>
    <row r="986" spans="1:4" x14ac:dyDescent="0.25">
      <c r="A986" t="s">
        <v>0</v>
      </c>
      <c r="B986">
        <v>1035</v>
      </c>
      <c r="C986" s="7">
        <v>46053</v>
      </c>
      <c r="D986" t="s">
        <v>50</v>
      </c>
    </row>
    <row r="987" spans="1:4" x14ac:dyDescent="0.25">
      <c r="A987" t="s">
        <v>0</v>
      </c>
      <c r="B987">
        <v>1036</v>
      </c>
      <c r="C987" s="7">
        <v>46023</v>
      </c>
      <c r="D987" t="s">
        <v>50</v>
      </c>
    </row>
    <row r="988" spans="1:4" x14ac:dyDescent="0.25">
      <c r="A988" t="s">
        <v>0</v>
      </c>
      <c r="B988">
        <v>1036</v>
      </c>
      <c r="C988" s="7">
        <v>46024</v>
      </c>
      <c r="D988" t="s">
        <v>50</v>
      </c>
    </row>
    <row r="989" spans="1:4" x14ac:dyDescent="0.25">
      <c r="A989" t="s">
        <v>0</v>
      </c>
      <c r="B989">
        <v>1036</v>
      </c>
      <c r="C989" s="7">
        <v>46025</v>
      </c>
      <c r="D989" t="s">
        <v>50</v>
      </c>
    </row>
    <row r="990" spans="1:4" x14ac:dyDescent="0.25">
      <c r="A990" t="s">
        <v>0</v>
      </c>
      <c r="B990">
        <v>1036</v>
      </c>
      <c r="C990" s="7">
        <v>46027</v>
      </c>
      <c r="D990" t="s">
        <v>50</v>
      </c>
    </row>
    <row r="991" spans="1:4" x14ac:dyDescent="0.25">
      <c r="A991" t="s">
        <v>0</v>
      </c>
      <c r="B991">
        <v>1036</v>
      </c>
      <c r="C991" s="7">
        <v>46028</v>
      </c>
      <c r="D991" t="s">
        <v>50</v>
      </c>
    </row>
    <row r="992" spans="1:4" x14ac:dyDescent="0.25">
      <c r="A992" t="s">
        <v>0</v>
      </c>
      <c r="B992">
        <v>1036</v>
      </c>
      <c r="C992" s="7">
        <v>46029</v>
      </c>
      <c r="D992" t="s">
        <v>50</v>
      </c>
    </row>
    <row r="993" spans="1:4" x14ac:dyDescent="0.25">
      <c r="A993" t="s">
        <v>0</v>
      </c>
      <c r="B993">
        <v>1036</v>
      </c>
      <c r="C993" s="7">
        <v>46030</v>
      </c>
      <c r="D993" t="s">
        <v>51</v>
      </c>
    </row>
    <row r="994" spans="1:4" x14ac:dyDescent="0.25">
      <c r="A994" t="s">
        <v>0</v>
      </c>
      <c r="B994">
        <v>1036</v>
      </c>
      <c r="C994" s="7">
        <v>46031</v>
      </c>
      <c r="D994" t="s">
        <v>50</v>
      </c>
    </row>
    <row r="995" spans="1:4" x14ac:dyDescent="0.25">
      <c r="A995" t="s">
        <v>0</v>
      </c>
      <c r="B995">
        <v>1036</v>
      </c>
      <c r="C995" s="7">
        <v>46032</v>
      </c>
      <c r="D995" t="s">
        <v>50</v>
      </c>
    </row>
    <row r="996" spans="1:4" x14ac:dyDescent="0.25">
      <c r="A996" t="s">
        <v>0</v>
      </c>
      <c r="B996">
        <v>1036</v>
      </c>
      <c r="C996" s="7">
        <v>46034</v>
      </c>
      <c r="D996" t="s">
        <v>50</v>
      </c>
    </row>
    <row r="997" spans="1:4" x14ac:dyDescent="0.25">
      <c r="A997" t="s">
        <v>0</v>
      </c>
      <c r="B997">
        <v>1036</v>
      </c>
      <c r="C997" s="7">
        <v>46035</v>
      </c>
      <c r="D997" t="s">
        <v>50</v>
      </c>
    </row>
    <row r="998" spans="1:4" x14ac:dyDescent="0.25">
      <c r="A998" t="s">
        <v>0</v>
      </c>
      <c r="B998">
        <v>1036</v>
      </c>
      <c r="C998" s="7">
        <v>46036</v>
      </c>
      <c r="D998" t="s">
        <v>50</v>
      </c>
    </row>
    <row r="999" spans="1:4" x14ac:dyDescent="0.25">
      <c r="A999" t="s">
        <v>0</v>
      </c>
      <c r="B999">
        <v>1036</v>
      </c>
      <c r="C999" s="7">
        <v>46037</v>
      </c>
      <c r="D999" t="s">
        <v>50</v>
      </c>
    </row>
    <row r="1000" spans="1:4" x14ac:dyDescent="0.25">
      <c r="A1000" t="s">
        <v>0</v>
      </c>
      <c r="B1000">
        <v>1036</v>
      </c>
      <c r="C1000" s="7">
        <v>46038</v>
      </c>
      <c r="D1000" t="s">
        <v>50</v>
      </c>
    </row>
    <row r="1001" spans="1:4" x14ac:dyDescent="0.25">
      <c r="A1001" t="s">
        <v>0</v>
      </c>
      <c r="B1001">
        <v>1036</v>
      </c>
      <c r="C1001" s="7">
        <v>46039</v>
      </c>
      <c r="D1001" t="s">
        <v>50</v>
      </c>
    </row>
    <row r="1002" spans="1:4" x14ac:dyDescent="0.25">
      <c r="A1002" t="s">
        <v>0</v>
      </c>
      <c r="B1002">
        <v>1036</v>
      </c>
      <c r="C1002" s="7">
        <v>46041</v>
      </c>
      <c r="D1002" t="s">
        <v>50</v>
      </c>
    </row>
    <row r="1003" spans="1:4" x14ac:dyDescent="0.25">
      <c r="A1003" t="s">
        <v>0</v>
      </c>
      <c r="B1003">
        <v>1036</v>
      </c>
      <c r="C1003" s="7">
        <v>46042</v>
      </c>
      <c r="D1003" t="s">
        <v>50</v>
      </c>
    </row>
    <row r="1004" spans="1:4" x14ac:dyDescent="0.25">
      <c r="A1004" t="s">
        <v>0</v>
      </c>
      <c r="B1004">
        <v>1036</v>
      </c>
      <c r="C1004" s="7">
        <v>46043</v>
      </c>
      <c r="D1004" t="s">
        <v>50</v>
      </c>
    </row>
    <row r="1005" spans="1:4" x14ac:dyDescent="0.25">
      <c r="A1005" t="s">
        <v>0</v>
      </c>
      <c r="B1005">
        <v>1036</v>
      </c>
      <c r="C1005" s="7">
        <v>46044</v>
      </c>
      <c r="D1005" t="s">
        <v>50</v>
      </c>
    </row>
    <row r="1006" spans="1:4" x14ac:dyDescent="0.25">
      <c r="A1006" t="s">
        <v>0</v>
      </c>
      <c r="B1006">
        <v>1036</v>
      </c>
      <c r="C1006" s="7">
        <v>46045</v>
      </c>
      <c r="D1006" t="s">
        <v>50</v>
      </c>
    </row>
    <row r="1007" spans="1:4" x14ac:dyDescent="0.25">
      <c r="A1007" t="s">
        <v>0</v>
      </c>
      <c r="B1007">
        <v>1036</v>
      </c>
      <c r="C1007" s="7">
        <v>46046</v>
      </c>
      <c r="D1007" t="s">
        <v>50</v>
      </c>
    </row>
    <row r="1008" spans="1:4" x14ac:dyDescent="0.25">
      <c r="A1008" t="s">
        <v>0</v>
      </c>
      <c r="B1008">
        <v>1036</v>
      </c>
      <c r="C1008" s="7">
        <v>46048</v>
      </c>
      <c r="D1008" t="s">
        <v>50</v>
      </c>
    </row>
    <row r="1009" spans="1:4" x14ac:dyDescent="0.25">
      <c r="A1009" t="s">
        <v>0</v>
      </c>
      <c r="B1009">
        <v>1036</v>
      </c>
      <c r="C1009" s="7">
        <v>46049</v>
      </c>
      <c r="D1009" t="s">
        <v>50</v>
      </c>
    </row>
    <row r="1010" spans="1:4" x14ac:dyDescent="0.25">
      <c r="A1010" t="s">
        <v>0</v>
      </c>
      <c r="B1010">
        <v>1036</v>
      </c>
      <c r="C1010" s="7">
        <v>46050</v>
      </c>
      <c r="D1010" t="s">
        <v>50</v>
      </c>
    </row>
    <row r="1011" spans="1:4" x14ac:dyDescent="0.25">
      <c r="A1011" t="s">
        <v>0</v>
      </c>
      <c r="B1011">
        <v>1036</v>
      </c>
      <c r="C1011" s="7">
        <v>46051</v>
      </c>
      <c r="D1011" t="s">
        <v>50</v>
      </c>
    </row>
    <row r="1012" spans="1:4" x14ac:dyDescent="0.25">
      <c r="A1012" t="s">
        <v>0</v>
      </c>
      <c r="B1012">
        <v>1036</v>
      </c>
      <c r="C1012" s="7">
        <v>46052</v>
      </c>
      <c r="D1012" t="s">
        <v>50</v>
      </c>
    </row>
    <row r="1013" spans="1:4" x14ac:dyDescent="0.25">
      <c r="A1013" t="s">
        <v>0</v>
      </c>
      <c r="B1013">
        <v>1036</v>
      </c>
      <c r="C1013" s="7">
        <v>46053</v>
      </c>
      <c r="D1013" t="s">
        <v>50</v>
      </c>
    </row>
    <row r="1014" spans="1:4" x14ac:dyDescent="0.25">
      <c r="A1014" t="s">
        <v>0</v>
      </c>
      <c r="B1014">
        <v>1037</v>
      </c>
      <c r="C1014" s="7">
        <v>46023</v>
      </c>
      <c r="D1014" t="s">
        <v>50</v>
      </c>
    </row>
    <row r="1015" spans="1:4" x14ac:dyDescent="0.25">
      <c r="A1015" t="s">
        <v>0</v>
      </c>
      <c r="B1015">
        <v>1037</v>
      </c>
      <c r="C1015" s="7">
        <v>46024</v>
      </c>
      <c r="D1015" t="s">
        <v>50</v>
      </c>
    </row>
    <row r="1016" spans="1:4" x14ac:dyDescent="0.25">
      <c r="A1016" t="s">
        <v>0</v>
      </c>
      <c r="B1016">
        <v>1037</v>
      </c>
      <c r="C1016" s="7">
        <v>46025</v>
      </c>
      <c r="D1016" t="s">
        <v>50</v>
      </c>
    </row>
    <row r="1017" spans="1:4" x14ac:dyDescent="0.25">
      <c r="A1017" t="s">
        <v>0</v>
      </c>
      <c r="B1017">
        <v>1037</v>
      </c>
      <c r="C1017" s="7">
        <v>46027</v>
      </c>
      <c r="D1017" t="s">
        <v>50</v>
      </c>
    </row>
    <row r="1018" spans="1:4" x14ac:dyDescent="0.25">
      <c r="A1018" t="s">
        <v>0</v>
      </c>
      <c r="B1018">
        <v>1037</v>
      </c>
      <c r="C1018" s="7">
        <v>46028</v>
      </c>
      <c r="D1018" t="s">
        <v>50</v>
      </c>
    </row>
    <row r="1019" spans="1:4" x14ac:dyDescent="0.25">
      <c r="A1019" t="s">
        <v>0</v>
      </c>
      <c r="B1019">
        <v>1037</v>
      </c>
      <c r="C1019" s="7">
        <v>46029</v>
      </c>
      <c r="D1019" t="s">
        <v>50</v>
      </c>
    </row>
    <row r="1020" spans="1:4" x14ac:dyDescent="0.25">
      <c r="A1020" t="s">
        <v>0</v>
      </c>
      <c r="B1020">
        <v>1037</v>
      </c>
      <c r="C1020" s="7">
        <v>46030</v>
      </c>
      <c r="D1020" t="s">
        <v>50</v>
      </c>
    </row>
    <row r="1021" spans="1:4" x14ac:dyDescent="0.25">
      <c r="A1021" t="s">
        <v>0</v>
      </c>
      <c r="B1021">
        <v>1037</v>
      </c>
      <c r="C1021" s="7">
        <v>46031</v>
      </c>
      <c r="D1021" t="s">
        <v>50</v>
      </c>
    </row>
    <row r="1022" spans="1:4" x14ac:dyDescent="0.25">
      <c r="A1022" t="s">
        <v>0</v>
      </c>
      <c r="B1022">
        <v>1037</v>
      </c>
      <c r="C1022" s="7">
        <v>46032</v>
      </c>
      <c r="D1022" t="s">
        <v>50</v>
      </c>
    </row>
    <row r="1023" spans="1:4" x14ac:dyDescent="0.25">
      <c r="A1023" t="s">
        <v>0</v>
      </c>
      <c r="B1023">
        <v>1037</v>
      </c>
      <c r="C1023" s="7">
        <v>46034</v>
      </c>
      <c r="D1023" t="s">
        <v>50</v>
      </c>
    </row>
    <row r="1024" spans="1:4" x14ac:dyDescent="0.25">
      <c r="A1024" t="s">
        <v>0</v>
      </c>
      <c r="B1024">
        <v>1037</v>
      </c>
      <c r="C1024" s="7">
        <v>46035</v>
      </c>
      <c r="D1024" t="s">
        <v>50</v>
      </c>
    </row>
    <row r="1025" spans="1:4" x14ac:dyDescent="0.25">
      <c r="A1025" t="s">
        <v>0</v>
      </c>
      <c r="B1025">
        <v>1037</v>
      </c>
      <c r="C1025" s="7">
        <v>46036</v>
      </c>
      <c r="D1025" t="s">
        <v>50</v>
      </c>
    </row>
    <row r="1026" spans="1:4" x14ac:dyDescent="0.25">
      <c r="A1026" t="s">
        <v>0</v>
      </c>
      <c r="B1026">
        <v>1037</v>
      </c>
      <c r="C1026" s="7">
        <v>46037</v>
      </c>
      <c r="D1026" t="s">
        <v>50</v>
      </c>
    </row>
    <row r="1027" spans="1:4" x14ac:dyDescent="0.25">
      <c r="A1027" t="s">
        <v>0</v>
      </c>
      <c r="B1027">
        <v>1037</v>
      </c>
      <c r="C1027" s="7">
        <v>46038</v>
      </c>
      <c r="D1027" t="s">
        <v>50</v>
      </c>
    </row>
    <row r="1028" spans="1:4" x14ac:dyDescent="0.25">
      <c r="A1028" t="s">
        <v>0</v>
      </c>
      <c r="B1028">
        <v>1037</v>
      </c>
      <c r="C1028" s="7">
        <v>46039</v>
      </c>
      <c r="D1028" t="s">
        <v>50</v>
      </c>
    </row>
    <row r="1029" spans="1:4" x14ac:dyDescent="0.25">
      <c r="A1029" t="s">
        <v>0</v>
      </c>
      <c r="B1029">
        <v>1037</v>
      </c>
      <c r="C1029" s="7">
        <v>46041</v>
      </c>
      <c r="D1029" t="s">
        <v>50</v>
      </c>
    </row>
    <row r="1030" spans="1:4" x14ac:dyDescent="0.25">
      <c r="A1030" t="s">
        <v>0</v>
      </c>
      <c r="B1030">
        <v>1037</v>
      </c>
      <c r="C1030" s="7">
        <v>46042</v>
      </c>
      <c r="D1030" t="s">
        <v>50</v>
      </c>
    </row>
    <row r="1031" spans="1:4" x14ac:dyDescent="0.25">
      <c r="A1031" t="s">
        <v>0</v>
      </c>
      <c r="B1031">
        <v>1037</v>
      </c>
      <c r="C1031" s="7">
        <v>46043</v>
      </c>
      <c r="D1031" t="s">
        <v>50</v>
      </c>
    </row>
    <row r="1032" spans="1:4" x14ac:dyDescent="0.25">
      <c r="A1032" t="s">
        <v>0</v>
      </c>
      <c r="B1032">
        <v>1037</v>
      </c>
      <c r="C1032" s="7">
        <v>46044</v>
      </c>
      <c r="D1032" t="s">
        <v>50</v>
      </c>
    </row>
    <row r="1033" spans="1:4" x14ac:dyDescent="0.25">
      <c r="A1033" t="s">
        <v>0</v>
      </c>
      <c r="B1033">
        <v>1037</v>
      </c>
      <c r="C1033" s="7">
        <v>46045</v>
      </c>
      <c r="D1033" t="s">
        <v>50</v>
      </c>
    </row>
    <row r="1034" spans="1:4" x14ac:dyDescent="0.25">
      <c r="A1034" t="s">
        <v>0</v>
      </c>
      <c r="B1034">
        <v>1037</v>
      </c>
      <c r="C1034" s="7">
        <v>46046</v>
      </c>
      <c r="D1034" t="s">
        <v>50</v>
      </c>
    </row>
    <row r="1035" spans="1:4" x14ac:dyDescent="0.25">
      <c r="A1035" t="s">
        <v>0</v>
      </c>
      <c r="B1035">
        <v>1037</v>
      </c>
      <c r="C1035" s="7">
        <v>46048</v>
      </c>
      <c r="D1035" t="s">
        <v>50</v>
      </c>
    </row>
    <row r="1036" spans="1:4" x14ac:dyDescent="0.25">
      <c r="A1036" t="s">
        <v>0</v>
      </c>
      <c r="B1036">
        <v>1037</v>
      </c>
      <c r="C1036" s="7">
        <v>46049</v>
      </c>
      <c r="D1036" t="s">
        <v>50</v>
      </c>
    </row>
    <row r="1037" spans="1:4" x14ac:dyDescent="0.25">
      <c r="A1037" t="s">
        <v>0</v>
      </c>
      <c r="B1037">
        <v>1037</v>
      </c>
      <c r="C1037" s="7">
        <v>46050</v>
      </c>
      <c r="D1037" t="s">
        <v>50</v>
      </c>
    </row>
    <row r="1038" spans="1:4" x14ac:dyDescent="0.25">
      <c r="A1038" t="s">
        <v>0</v>
      </c>
      <c r="B1038">
        <v>1037</v>
      </c>
      <c r="C1038" s="7">
        <v>46051</v>
      </c>
      <c r="D1038" t="s">
        <v>50</v>
      </c>
    </row>
    <row r="1039" spans="1:4" x14ac:dyDescent="0.25">
      <c r="A1039" t="s">
        <v>0</v>
      </c>
      <c r="B1039">
        <v>1037</v>
      </c>
      <c r="C1039" s="7">
        <v>46052</v>
      </c>
      <c r="D1039" t="s">
        <v>50</v>
      </c>
    </row>
    <row r="1040" spans="1:4" x14ac:dyDescent="0.25">
      <c r="A1040" t="s">
        <v>0</v>
      </c>
      <c r="B1040">
        <v>1037</v>
      </c>
      <c r="C1040" s="7">
        <v>46053</v>
      </c>
      <c r="D1040" t="s">
        <v>50</v>
      </c>
    </row>
    <row r="1041" spans="1:4" x14ac:dyDescent="0.25">
      <c r="A1041" t="s">
        <v>0</v>
      </c>
      <c r="B1041">
        <v>1038</v>
      </c>
      <c r="C1041" s="7">
        <v>46023</v>
      </c>
      <c r="D1041" t="s">
        <v>50</v>
      </c>
    </row>
    <row r="1042" spans="1:4" x14ac:dyDescent="0.25">
      <c r="A1042" t="s">
        <v>0</v>
      </c>
      <c r="B1042">
        <v>1038</v>
      </c>
      <c r="C1042" s="7">
        <v>46024</v>
      </c>
      <c r="D1042" t="s">
        <v>50</v>
      </c>
    </row>
    <row r="1043" spans="1:4" x14ac:dyDescent="0.25">
      <c r="A1043" t="s">
        <v>0</v>
      </c>
      <c r="B1043">
        <v>1038</v>
      </c>
      <c r="C1043" s="7">
        <v>46025</v>
      </c>
      <c r="D1043" t="s">
        <v>50</v>
      </c>
    </row>
    <row r="1044" spans="1:4" x14ac:dyDescent="0.25">
      <c r="A1044" t="s">
        <v>0</v>
      </c>
      <c r="B1044">
        <v>1038</v>
      </c>
      <c r="C1044" s="7">
        <v>46027</v>
      </c>
      <c r="D1044" t="s">
        <v>50</v>
      </c>
    </row>
    <row r="1045" spans="1:4" x14ac:dyDescent="0.25">
      <c r="A1045" t="s">
        <v>0</v>
      </c>
      <c r="B1045">
        <v>1038</v>
      </c>
      <c r="C1045" s="7">
        <v>46028</v>
      </c>
      <c r="D1045" t="s">
        <v>50</v>
      </c>
    </row>
    <row r="1046" spans="1:4" x14ac:dyDescent="0.25">
      <c r="A1046" t="s">
        <v>0</v>
      </c>
      <c r="B1046">
        <v>1038</v>
      </c>
      <c r="C1046" s="7">
        <v>46029</v>
      </c>
      <c r="D1046" t="s">
        <v>50</v>
      </c>
    </row>
    <row r="1047" spans="1:4" x14ac:dyDescent="0.25">
      <c r="A1047" t="s">
        <v>0</v>
      </c>
      <c r="B1047">
        <v>1038</v>
      </c>
      <c r="C1047" s="7">
        <v>46030</v>
      </c>
      <c r="D1047" t="s">
        <v>50</v>
      </c>
    </row>
    <row r="1048" spans="1:4" x14ac:dyDescent="0.25">
      <c r="A1048" t="s">
        <v>0</v>
      </c>
      <c r="B1048">
        <v>1038</v>
      </c>
      <c r="C1048" s="7">
        <v>46031</v>
      </c>
      <c r="D1048" t="s">
        <v>50</v>
      </c>
    </row>
    <row r="1049" spans="1:4" x14ac:dyDescent="0.25">
      <c r="A1049" t="s">
        <v>0</v>
      </c>
      <c r="B1049">
        <v>1038</v>
      </c>
      <c r="C1049" s="7">
        <v>46032</v>
      </c>
      <c r="D1049" t="s">
        <v>50</v>
      </c>
    </row>
    <row r="1050" spans="1:4" x14ac:dyDescent="0.25">
      <c r="A1050" t="s">
        <v>0</v>
      </c>
      <c r="B1050">
        <v>1038</v>
      </c>
      <c r="C1050" s="7">
        <v>46034</v>
      </c>
      <c r="D1050" t="s">
        <v>50</v>
      </c>
    </row>
    <row r="1051" spans="1:4" x14ac:dyDescent="0.25">
      <c r="A1051" t="s">
        <v>0</v>
      </c>
      <c r="B1051">
        <v>1038</v>
      </c>
      <c r="C1051" s="7">
        <v>46035</v>
      </c>
      <c r="D1051" t="s">
        <v>50</v>
      </c>
    </row>
    <row r="1052" spans="1:4" x14ac:dyDescent="0.25">
      <c r="A1052" t="s">
        <v>0</v>
      </c>
      <c r="B1052">
        <v>1038</v>
      </c>
      <c r="C1052" s="7">
        <v>46036</v>
      </c>
      <c r="D1052" t="s">
        <v>50</v>
      </c>
    </row>
    <row r="1053" spans="1:4" x14ac:dyDescent="0.25">
      <c r="A1053" t="s">
        <v>0</v>
      </c>
      <c r="B1053">
        <v>1038</v>
      </c>
      <c r="C1053" s="7">
        <v>46037</v>
      </c>
      <c r="D1053" t="s">
        <v>50</v>
      </c>
    </row>
    <row r="1054" spans="1:4" x14ac:dyDescent="0.25">
      <c r="A1054" t="s">
        <v>0</v>
      </c>
      <c r="B1054">
        <v>1038</v>
      </c>
      <c r="C1054" s="7">
        <v>46038</v>
      </c>
      <c r="D1054" t="s">
        <v>50</v>
      </c>
    </row>
    <row r="1055" spans="1:4" x14ac:dyDescent="0.25">
      <c r="A1055" t="s">
        <v>0</v>
      </c>
      <c r="B1055">
        <v>1038</v>
      </c>
      <c r="C1055" s="7">
        <v>46039</v>
      </c>
      <c r="D1055" t="s">
        <v>50</v>
      </c>
    </row>
    <row r="1056" spans="1:4" x14ac:dyDescent="0.25">
      <c r="A1056" t="s">
        <v>0</v>
      </c>
      <c r="B1056">
        <v>1038</v>
      </c>
      <c r="C1056" s="7">
        <v>46041</v>
      </c>
      <c r="D1056" t="s">
        <v>50</v>
      </c>
    </row>
    <row r="1057" spans="1:4" x14ac:dyDescent="0.25">
      <c r="A1057" t="s">
        <v>0</v>
      </c>
      <c r="B1057">
        <v>1038</v>
      </c>
      <c r="C1057" s="7">
        <v>46042</v>
      </c>
      <c r="D1057" t="s">
        <v>50</v>
      </c>
    </row>
    <row r="1058" spans="1:4" x14ac:dyDescent="0.25">
      <c r="A1058" t="s">
        <v>0</v>
      </c>
      <c r="B1058">
        <v>1038</v>
      </c>
      <c r="C1058" s="7">
        <v>46043</v>
      </c>
      <c r="D1058" t="s">
        <v>50</v>
      </c>
    </row>
    <row r="1059" spans="1:4" x14ac:dyDescent="0.25">
      <c r="A1059" t="s">
        <v>0</v>
      </c>
      <c r="B1059">
        <v>1038</v>
      </c>
      <c r="C1059" s="7">
        <v>46044</v>
      </c>
      <c r="D1059" t="s">
        <v>50</v>
      </c>
    </row>
    <row r="1060" spans="1:4" x14ac:dyDescent="0.25">
      <c r="A1060" t="s">
        <v>0</v>
      </c>
      <c r="B1060">
        <v>1038</v>
      </c>
      <c r="C1060" s="7">
        <v>46045</v>
      </c>
      <c r="D1060" t="s">
        <v>50</v>
      </c>
    </row>
    <row r="1061" spans="1:4" x14ac:dyDescent="0.25">
      <c r="A1061" t="s">
        <v>0</v>
      </c>
      <c r="B1061">
        <v>1038</v>
      </c>
      <c r="C1061" s="7">
        <v>46046</v>
      </c>
      <c r="D1061" t="s">
        <v>50</v>
      </c>
    </row>
    <row r="1062" spans="1:4" x14ac:dyDescent="0.25">
      <c r="A1062" t="s">
        <v>0</v>
      </c>
      <c r="B1062">
        <v>1038</v>
      </c>
      <c r="C1062" s="7">
        <v>46048</v>
      </c>
      <c r="D1062" t="s">
        <v>50</v>
      </c>
    </row>
    <row r="1063" spans="1:4" x14ac:dyDescent="0.25">
      <c r="A1063" t="s">
        <v>0</v>
      </c>
      <c r="B1063">
        <v>1038</v>
      </c>
      <c r="C1063" s="7">
        <v>46049</v>
      </c>
      <c r="D1063" t="s">
        <v>50</v>
      </c>
    </row>
    <row r="1064" spans="1:4" x14ac:dyDescent="0.25">
      <c r="A1064" t="s">
        <v>0</v>
      </c>
      <c r="B1064">
        <v>1038</v>
      </c>
      <c r="C1064" s="7">
        <v>46050</v>
      </c>
      <c r="D1064" t="s">
        <v>50</v>
      </c>
    </row>
    <row r="1065" spans="1:4" x14ac:dyDescent="0.25">
      <c r="A1065" t="s">
        <v>0</v>
      </c>
      <c r="B1065">
        <v>1038</v>
      </c>
      <c r="C1065" s="7">
        <v>46051</v>
      </c>
      <c r="D1065" t="s">
        <v>50</v>
      </c>
    </row>
    <row r="1066" spans="1:4" x14ac:dyDescent="0.25">
      <c r="A1066" t="s">
        <v>0</v>
      </c>
      <c r="B1066">
        <v>1038</v>
      </c>
      <c r="C1066" s="7">
        <v>46052</v>
      </c>
      <c r="D1066" t="s">
        <v>50</v>
      </c>
    </row>
    <row r="1067" spans="1:4" x14ac:dyDescent="0.25">
      <c r="A1067" t="s">
        <v>0</v>
      </c>
      <c r="B1067">
        <v>1038</v>
      </c>
      <c r="C1067" s="7">
        <v>46053</v>
      </c>
      <c r="D1067" t="s">
        <v>50</v>
      </c>
    </row>
    <row r="1068" spans="1:4" x14ac:dyDescent="0.25">
      <c r="A1068" t="s">
        <v>0</v>
      </c>
      <c r="B1068">
        <v>1039</v>
      </c>
      <c r="C1068" s="7">
        <v>46023</v>
      </c>
      <c r="D1068" t="s">
        <v>50</v>
      </c>
    </row>
    <row r="1069" spans="1:4" x14ac:dyDescent="0.25">
      <c r="A1069" t="s">
        <v>0</v>
      </c>
      <c r="B1069">
        <v>1039</v>
      </c>
      <c r="C1069" s="7">
        <v>46024</v>
      </c>
      <c r="D1069" t="s">
        <v>50</v>
      </c>
    </row>
    <row r="1070" spans="1:4" x14ac:dyDescent="0.25">
      <c r="A1070" t="s">
        <v>2</v>
      </c>
      <c r="B1070">
        <v>1001</v>
      </c>
      <c r="C1070" s="7">
        <v>46083</v>
      </c>
      <c r="D1070" t="s">
        <v>50</v>
      </c>
    </row>
    <row r="1071" spans="1:4" x14ac:dyDescent="0.25">
      <c r="A1071" t="s">
        <v>2</v>
      </c>
      <c r="B1071">
        <v>1001</v>
      </c>
      <c r="C1071" s="7">
        <v>46084</v>
      </c>
      <c r="D1071" t="s">
        <v>50</v>
      </c>
    </row>
    <row r="1072" spans="1:4" x14ac:dyDescent="0.25">
      <c r="A1072" t="s">
        <v>2</v>
      </c>
      <c r="B1072">
        <v>1001</v>
      </c>
      <c r="C1072" s="7">
        <v>46085</v>
      </c>
      <c r="D1072" t="s">
        <v>50</v>
      </c>
    </row>
    <row r="1073" spans="1:4" x14ac:dyDescent="0.25">
      <c r="A1073" t="s">
        <v>2</v>
      </c>
      <c r="B1073">
        <v>1001</v>
      </c>
      <c r="C1073" s="7">
        <v>46086</v>
      </c>
      <c r="D1073" t="s">
        <v>50</v>
      </c>
    </row>
    <row r="1074" spans="1:4" x14ac:dyDescent="0.25">
      <c r="A1074" t="s">
        <v>2</v>
      </c>
      <c r="B1074">
        <v>1001</v>
      </c>
      <c r="C1074" s="7">
        <v>46087</v>
      </c>
      <c r="D1074" t="s">
        <v>50</v>
      </c>
    </row>
    <row r="1075" spans="1:4" x14ac:dyDescent="0.25">
      <c r="A1075" t="s">
        <v>2</v>
      </c>
      <c r="B1075">
        <v>1001</v>
      </c>
      <c r="C1075" s="7">
        <v>46088</v>
      </c>
      <c r="D1075" t="s">
        <v>50</v>
      </c>
    </row>
    <row r="1076" spans="1:4" x14ac:dyDescent="0.25">
      <c r="A1076" t="s">
        <v>2</v>
      </c>
      <c r="B1076">
        <v>1039</v>
      </c>
      <c r="C1076" s="7">
        <v>46083</v>
      </c>
      <c r="D1076" t="s">
        <v>50</v>
      </c>
    </row>
    <row r="1077" spans="1:4" x14ac:dyDescent="0.25">
      <c r="A1077" t="s">
        <v>2</v>
      </c>
      <c r="B1077">
        <v>1039</v>
      </c>
      <c r="C1077" s="7">
        <v>46084</v>
      </c>
      <c r="D1077" t="s">
        <v>50</v>
      </c>
    </row>
    <row r="1078" spans="1:4" x14ac:dyDescent="0.25">
      <c r="A1078" t="s">
        <v>2</v>
      </c>
      <c r="B1078">
        <v>1039</v>
      </c>
      <c r="C1078" s="7">
        <v>46085</v>
      </c>
      <c r="D1078" t="s">
        <v>50</v>
      </c>
    </row>
    <row r="1079" spans="1:4" x14ac:dyDescent="0.25">
      <c r="A1079" t="s">
        <v>2</v>
      </c>
      <c r="B1079">
        <v>1039</v>
      </c>
      <c r="C1079" s="7">
        <v>46086</v>
      </c>
      <c r="D1079" t="s">
        <v>50</v>
      </c>
    </row>
    <row r="1080" spans="1:4" x14ac:dyDescent="0.25">
      <c r="A1080" t="s">
        <v>2</v>
      </c>
      <c r="B1080">
        <v>1039</v>
      </c>
      <c r="C1080" s="7">
        <v>46087</v>
      </c>
      <c r="D1080" t="s">
        <v>50</v>
      </c>
    </row>
    <row r="1081" spans="1:4" x14ac:dyDescent="0.25">
      <c r="A1081" t="s">
        <v>2</v>
      </c>
      <c r="B1081">
        <v>1039</v>
      </c>
      <c r="C1081" s="7">
        <v>46088</v>
      </c>
      <c r="D1081" t="s">
        <v>50</v>
      </c>
    </row>
    <row r="1082" spans="1:4" x14ac:dyDescent="0.25">
      <c r="A1082" t="s">
        <v>7</v>
      </c>
      <c r="B1082">
        <v>1001</v>
      </c>
      <c r="C1082" s="7">
        <v>46235</v>
      </c>
      <c r="D1082" t="s">
        <v>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ECA7-9A89-4939-9D1E-240565A826EB}">
  <sheetPr codeName="Sheet2"/>
  <dimension ref="A1:A12"/>
  <sheetViews>
    <sheetView workbookViewId="0">
      <selection activeCell="F23" sqref="F23"/>
    </sheetView>
  </sheetViews>
  <sheetFormatPr defaultRowHeight="15" x14ac:dyDescent="0.25"/>
  <cols>
    <col min="1" max="1" width="10.85546875" bestFit="1" customWidth="1"/>
  </cols>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ENTERIES</vt:lpstr>
      <vt:lpstr>Dashboard</vt:lpstr>
      <vt:lpstr>PIVOT TABLES</vt:lpstr>
      <vt:lpstr>AttendanceData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piyush sooryavanshi</dc:creator>
  <cp:lastModifiedBy>piyush sooryavanshi</cp:lastModifiedBy>
  <dcterms:created xsi:type="dcterms:W3CDTF">2026-08-24T13:57:50Z</dcterms:created>
  <dcterms:modified xsi:type="dcterms:W3CDTF">2026-08-30T08:15:18Z</dcterms:modified>
</cp:coreProperties>
</file>